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a/Downloads/"/>
    </mc:Choice>
  </mc:AlternateContent>
  <xr:revisionPtr revIDLastSave="0" documentId="8_{A8D5E25C-EEA6-9341-ADFA-A9ED467D733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trato Financeiro" sheetId="1" r:id="rId1"/>
    <sheet name="Cadastro clientes" sheetId="2" r:id="rId2"/>
  </sheets>
  <definedNames>
    <definedName name="_xlnm._FilterDatabase" localSheetId="0" hidden="1">'Extrato Financeiro'!$B$1:$X$1807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tc={EB138178-87C2-4B47-AAF9-32DD234EE3AC}</author>
    <author>tc={B4037BE6-B9A3-F143-B940-2A0F8D9061E5}</author>
  </authors>
  <commentList>
    <comment ref="P1" authorId="0" shapeId="0" xr:uid="{EB138178-87C2-4B47-AAF9-32DD234EE3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Realizado
</t>
      </text>
    </comment>
    <comment ref="S1" authorId="1" shapeId="0" xr:uid="{B4037BE6-B9A3-F143-B940-2A0F8D9061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Emissão
</t>
      </text>
    </comment>
  </commentList>
</comments>
</file>

<file path=xl/sharedStrings.xml><?xml version="1.0" encoding="utf-8"?>
<sst xmlns="http://schemas.openxmlformats.org/spreadsheetml/2006/main" count="27824" uniqueCount="4320">
  <si>
    <t>Data movimento</t>
  </si>
  <si>
    <t>Identificador do fornecedor/cliente</t>
  </si>
  <si>
    <t>Nome do fornecedor/cliente</t>
  </si>
  <si>
    <t>Descrição</t>
  </si>
  <si>
    <t>Tipo da operação</t>
  </si>
  <si>
    <t>Conta bancária</t>
  </si>
  <si>
    <t>Forma de pgto/recbto</t>
  </si>
  <si>
    <t>Valor (R$)</t>
  </si>
  <si>
    <t>Saldo conta (R$)</t>
  </si>
  <si>
    <t>Situação</t>
  </si>
  <si>
    <t>Valor original (R$)</t>
  </si>
  <si>
    <t>Desconto (R$)</t>
  </si>
  <si>
    <t>Data de competência</t>
  </si>
  <si>
    <t>Data original de vencimento</t>
  </si>
  <si>
    <t>Data prevista</t>
  </si>
  <si>
    <t>Observações</t>
  </si>
  <si>
    <t>Categoria 1</t>
  </si>
  <si>
    <t>Valor na Categoria 1</t>
  </si>
  <si>
    <t>Centro de Custo 1</t>
  </si>
  <si>
    <t>Valor no Centro de Custo 1</t>
  </si>
  <si>
    <t>18/10/2020</t>
  </si>
  <si>
    <t>FAMILIA NAJM_COSTELLE</t>
  </si>
  <si>
    <t>1/4</t>
  </si>
  <si>
    <t>FAMILIA NAJM</t>
  </si>
  <si>
    <t>Crédito</t>
  </si>
  <si>
    <t>CONTA CORRENTE</t>
  </si>
  <si>
    <t>Outro</t>
  </si>
  <si>
    <t>Quitado</t>
  </si>
  <si>
    <t>08/10/2020</t>
  </si>
  <si>
    <t>30/10/2020</t>
  </si>
  <si>
    <t/>
  </si>
  <si>
    <t xml:space="preserve"> PROJETO</t>
  </si>
  <si>
    <t>PROJETO</t>
  </si>
  <si>
    <t>05/02/2021</t>
  </si>
  <si>
    <t>2/4</t>
  </si>
  <si>
    <t>22/11/2020</t>
  </si>
  <si>
    <t>28/12/2020</t>
  </si>
  <si>
    <t>12/03/2021</t>
  </si>
  <si>
    <t>1/3</t>
  </si>
  <si>
    <t xml:space="preserve">FAUSTO VARGAS BOLDRINI _MARIEL ROMANI </t>
  </si>
  <si>
    <t>CLIENTE</t>
  </si>
  <si>
    <t>3/4</t>
  </si>
  <si>
    <t>22/12/2020</t>
  </si>
  <si>
    <t>05/03/2021</t>
  </si>
  <si>
    <t>15/03/2021</t>
  </si>
  <si>
    <t>12619086604</t>
  </si>
  <si>
    <t>ALDEMIRA FARIAS</t>
  </si>
  <si>
    <t>SILVESTRE VIDROS</t>
  </si>
  <si>
    <t>11/02/2021</t>
  </si>
  <si>
    <t>RESERVA TÉCNICA</t>
  </si>
  <si>
    <t>16/03/2021</t>
  </si>
  <si>
    <t>Saldo Inicial CONTA CORRENTE</t>
  </si>
  <si>
    <t>Saldo Inicial</t>
  </si>
  <si>
    <t>FORNECEDOR</t>
  </si>
  <si>
    <t>KNOT HOME</t>
  </si>
  <si>
    <t>01/03/2021</t>
  </si>
  <si>
    <t>19/03/2021</t>
  </si>
  <si>
    <t>PATRICIA MEIRELLES</t>
  </si>
  <si>
    <t>1/6</t>
  </si>
  <si>
    <t>ESPAÇO REFORMAR ( DMP REFORMAS)</t>
  </si>
  <si>
    <t>26/02/2021</t>
  </si>
  <si>
    <t>PROJETO PATRICIA MEIRELLES</t>
  </si>
  <si>
    <t>NET SERV COMUNICAÇÃO</t>
  </si>
  <si>
    <t>Débito</t>
  </si>
  <si>
    <t>CLARO NET_NATASHA</t>
  </si>
  <si>
    <t>17/03/2021</t>
  </si>
  <si>
    <t>23/03/2021</t>
  </si>
  <si>
    <t>1/2</t>
  </si>
  <si>
    <t>ANA CAROLINA FURQUIM</t>
  </si>
  <si>
    <t>22/03/2021</t>
  </si>
  <si>
    <t>CASA DE UBATUBA: Total 3.000,00</t>
  </si>
  <si>
    <t>20949689000102</t>
  </si>
  <si>
    <t>GAPAZ</t>
  </si>
  <si>
    <t>1/5</t>
  </si>
  <si>
    <t>VIA MADEIRA</t>
  </si>
  <si>
    <t>11/03/2021</t>
  </si>
  <si>
    <t>25/03/2021</t>
  </si>
  <si>
    <t>LABLUZ</t>
  </si>
  <si>
    <t>PROJETO GAPAZ &gt; Orç 14114463</t>
  </si>
  <si>
    <t>PROJETO ALDEMIRA _ORÇ 119472_14114264</t>
  </si>
  <si>
    <t>30/03/2021</t>
  </si>
  <si>
    <t>STACCATO</t>
  </si>
  <si>
    <t>PROJETO GAPAZ  GABR210260</t>
  </si>
  <si>
    <t>03/04/2021</t>
  </si>
  <si>
    <t>31442564806</t>
  </si>
  <si>
    <t>JULIANA COVINO E THIAGO</t>
  </si>
  <si>
    <t>26/04/2021</t>
  </si>
  <si>
    <t>29/04/2021</t>
  </si>
  <si>
    <t>05/04/2021</t>
  </si>
  <si>
    <t>ANA PAULA CALFA</t>
  </si>
  <si>
    <t>06/04/2021</t>
  </si>
  <si>
    <t>SODEXO</t>
  </si>
  <si>
    <t>30/04/2021</t>
  </si>
  <si>
    <t>Benefício Vale Refeição</t>
  </si>
  <si>
    <t>07/04/2021</t>
  </si>
  <si>
    <t>2/2</t>
  </si>
  <si>
    <t>CAROLINA FURQUIM</t>
  </si>
  <si>
    <t>22/04/2021</t>
  </si>
  <si>
    <t>23/04/2021</t>
  </si>
  <si>
    <t>08/04/2021</t>
  </si>
  <si>
    <t>SOL&amp;ART</t>
  </si>
  <si>
    <t>PAULA RISO E DANIEL</t>
  </si>
  <si>
    <t>PLURIPISO</t>
  </si>
  <si>
    <t>3% não inclui frete e mão de obra</t>
  </si>
  <si>
    <t>HIGIHOUSE</t>
  </si>
  <si>
    <t>12/04/2021</t>
  </si>
  <si>
    <t>35548232878</t>
  </si>
  <si>
    <t>FAUSTO BOLDRINI E MARIEL</t>
  </si>
  <si>
    <t>13/04/2021</t>
  </si>
  <si>
    <t xml:space="preserve"> 2 de 2 pedido 42119</t>
  </si>
  <si>
    <t>15/04/2021</t>
  </si>
  <si>
    <t>29/03/2021</t>
  </si>
  <si>
    <t>GENIO DO MARMORE</t>
  </si>
  <si>
    <t>20/04/2021</t>
  </si>
  <si>
    <t>Intermediado Jennifer da Potenza</t>
  </si>
  <si>
    <t>16/04/2021</t>
  </si>
  <si>
    <t>19/04/2021</t>
  </si>
  <si>
    <t>GAPAZ_ORÇ 25588</t>
  </si>
  <si>
    <t xml:space="preserve">JRJ TECIDOS_ROTERGAN TECIDOS </t>
  </si>
  <si>
    <t>02/03/2021</t>
  </si>
  <si>
    <t>Pedido 67459</t>
  </si>
  <si>
    <t>RENATA CORALLI</t>
  </si>
  <si>
    <t>LUZ - ENEL</t>
  </si>
  <si>
    <t>20/03/2021</t>
  </si>
  <si>
    <t>28/04/2021</t>
  </si>
  <si>
    <t>Energia Elétrica</t>
  </si>
  <si>
    <t xml:space="preserve">OBRA FÁCIL </t>
  </si>
  <si>
    <t>Créditado por: Mark Up Participações _REFERENTE PONTOS MARÇO 2021</t>
  </si>
  <si>
    <t>RESGATE DE PONTOS</t>
  </si>
  <si>
    <t>CRISTIANE UFLAKER</t>
  </si>
  <si>
    <t xml:space="preserve">1º Pagamento em dinheiro </t>
  </si>
  <si>
    <t>2/6</t>
  </si>
  <si>
    <t>26/03/2021</t>
  </si>
  <si>
    <t>2/5</t>
  </si>
  <si>
    <t>VIA MADEIRA (HAEHLIN)</t>
  </si>
  <si>
    <t>11/04/2021</t>
  </si>
  <si>
    <t>04/03/2021</t>
  </si>
  <si>
    <t>Pedido 424119</t>
  </si>
  <si>
    <t>19/02/2021</t>
  </si>
  <si>
    <t>2 de 2 Pedido 42279</t>
  </si>
  <si>
    <t>27/04/2021</t>
  </si>
  <si>
    <t>CONSTRUFLAMA (TECNOFLAMA)</t>
  </si>
  <si>
    <t>31/03/2021</t>
  </si>
  <si>
    <t>Ref:pedidos 31037 e 15298</t>
  </si>
  <si>
    <t>18/04/2021</t>
  </si>
  <si>
    <t>25/04/2021</t>
  </si>
  <si>
    <t>GERENCIAMENTO PROJETOS</t>
  </si>
  <si>
    <t>03/05/2021</t>
  </si>
  <si>
    <t>3/3</t>
  </si>
  <si>
    <t>JULIANA COVINO e THIAGO LUIZ RAPUANO</t>
  </si>
  <si>
    <t>26/05/2021</t>
  </si>
  <si>
    <t xml:space="preserve">SODEXO - Eliane </t>
  </si>
  <si>
    <t>30/05/2021</t>
  </si>
  <si>
    <t>MN ARQUITETURA</t>
  </si>
  <si>
    <t>DOUTORES DA LIMPEZA</t>
  </si>
  <si>
    <t>05/05/2021</t>
  </si>
  <si>
    <t xml:space="preserve">PAGAMENTO PARCIAL DEVIDO CANCELAMENTO </t>
  </si>
  <si>
    <t>Bens de Pequeno Valor</t>
  </si>
  <si>
    <t>GASTOS EXTRAS</t>
  </si>
  <si>
    <t xml:space="preserve">DIARISTA JULIANA </t>
  </si>
  <si>
    <t xml:space="preserve">Referente 01 diária </t>
  </si>
  <si>
    <t>06/05/2021</t>
  </si>
  <si>
    <t>08/05/2021</t>
  </si>
  <si>
    <t>07/05/2021</t>
  </si>
  <si>
    <t>19/05/2021</t>
  </si>
  <si>
    <t>Referente Maio</t>
  </si>
  <si>
    <t>GERENCIAMENTO PROJETO</t>
  </si>
  <si>
    <t>10/05/2021</t>
  </si>
  <si>
    <t>TIAGO FARIAS KOCHI</t>
  </si>
  <si>
    <t>GRUPO ULTRA CLEAN</t>
  </si>
  <si>
    <t>Serviço de impermeabilização</t>
  </si>
  <si>
    <t>11/05/2021</t>
  </si>
  <si>
    <t>12/05/2021</t>
  </si>
  <si>
    <t>17/05/2021</t>
  </si>
  <si>
    <t>Paula Riso_Patricia Meireles_Gapaz</t>
  </si>
  <si>
    <t>PORTOBELLO (PBTECH E SERV)</t>
  </si>
  <si>
    <t>NF 00131 total incluindo Gapaz e Paula Riso e Patricia</t>
  </si>
  <si>
    <t>PASINATO ( STUDIO ARQU BR)</t>
  </si>
  <si>
    <t>15/05/2021</t>
  </si>
  <si>
    <t xml:space="preserve">10%RT_Pago em até 10 dias após confirmação da entrega do material </t>
  </si>
  <si>
    <t>DANIELA CALITO</t>
  </si>
  <si>
    <t xml:space="preserve">DANIELA CALITO e WILLIAM GUIDINI </t>
  </si>
  <si>
    <t xml:space="preserve">PROJETO </t>
  </si>
  <si>
    <t>JS CONSTR AD</t>
  </si>
  <si>
    <t>18/05/2021</t>
  </si>
  <si>
    <t xml:space="preserve">SILVESTRE VIDROS </t>
  </si>
  <si>
    <t>04/04/2021</t>
  </si>
  <si>
    <t>31/05/2021</t>
  </si>
  <si>
    <t>Pedido 42119_05 dias apos a instalação</t>
  </si>
  <si>
    <t>20/05/2021</t>
  </si>
  <si>
    <t>DESPESAS ESSENCIAIS MN</t>
  </si>
  <si>
    <t>21/05/2021</t>
  </si>
  <si>
    <t>NATASHA HADDAD</t>
  </si>
  <si>
    <t>OPEN CASA</t>
  </si>
  <si>
    <t>22/05/2021</t>
  </si>
  <si>
    <t>2/3</t>
  </si>
  <si>
    <t>CRISTIANE UFLAKKER</t>
  </si>
  <si>
    <t>Cash 2º Pagamento em dinheiro 6800 pagou com diferença 150 reais_dividido nas 2 ultimas parcelas 75 reais de cada</t>
  </si>
  <si>
    <t>24/05/2021</t>
  </si>
  <si>
    <t>3/5</t>
  </si>
  <si>
    <t>25/05/2021</t>
  </si>
  <si>
    <t>PORMADE (DRZ PORTAS ECOLOGICAS)</t>
  </si>
  <si>
    <t>Pedido_106111-1</t>
  </si>
  <si>
    <t>BONIFICAÇÃO</t>
  </si>
  <si>
    <t>Gapaz_Patricia M da Costa_Cond. Double Deck Klabin</t>
  </si>
  <si>
    <t>NF 132 reserva técnica Orç_0324458</t>
  </si>
  <si>
    <t>GAPAZ_ALDEMIRA</t>
  </si>
  <si>
    <t>OBRA FÁCIL (MARK UP PART)</t>
  </si>
  <si>
    <t>PONTOS 18/05/</t>
  </si>
  <si>
    <t>28/05/2021</t>
  </si>
  <si>
    <t>3/6</t>
  </si>
  <si>
    <t>PARQUET SP (PASS WOR C)</t>
  </si>
  <si>
    <t>24/03/2021</t>
  </si>
  <si>
    <t>RT &gt; A partir 2º pagtp creditado</t>
  </si>
  <si>
    <t>JM SISTEMAS E SERVICOS LTDA</t>
  </si>
  <si>
    <t>DPOT (FEMA)</t>
  </si>
  <si>
    <t>27/05/2021</t>
  </si>
  <si>
    <t>01/06/2021</t>
  </si>
  <si>
    <t xml:space="preserve">Referente 04 diárias: 05/05 a 26/05 </t>
  </si>
  <si>
    <t>DESPESAS EXTRAS MN</t>
  </si>
  <si>
    <t xml:space="preserve">V10 VISUAL IMPRESSÃO DIGITAL </t>
  </si>
  <si>
    <t>15/06/2021</t>
  </si>
  <si>
    <t>Ref.Painel  Pago dia 31/05</t>
  </si>
  <si>
    <t>02/06/2021</t>
  </si>
  <si>
    <t>25/06/2021</t>
  </si>
  <si>
    <t>04/06/2021</t>
  </si>
  <si>
    <t>ESPAÇO REFORMAR (DMP REFORMAS )</t>
  </si>
  <si>
    <t>18/06/2021</t>
  </si>
  <si>
    <t>01 DE 5 PARCELAS RT 4857</t>
  </si>
  <si>
    <t>07/06/2021</t>
  </si>
  <si>
    <t>KALUNGA</t>
  </si>
  <si>
    <t>CARTUCHO AMARELO</t>
  </si>
  <si>
    <t>MARILIA ZINGARI ROCHOLLI GRANJEIRO</t>
  </si>
  <si>
    <t>CONSULTORIA DE PROJETO</t>
  </si>
  <si>
    <t>08/06/2021</t>
  </si>
  <si>
    <t>CATIA E CARLOS PIRES</t>
  </si>
  <si>
    <t xml:space="preserve">CATIA E CARLOS PIRES </t>
  </si>
  <si>
    <t>POLO AR CONDICIONADO (ROVITEC)</t>
  </si>
  <si>
    <t>09/06/2021</t>
  </si>
  <si>
    <t>14/06/2021</t>
  </si>
  <si>
    <t>Orç 121002_Pedido:14115555 e 14115628</t>
  </si>
  <si>
    <t>DECORLIGHT ILUMINACAO LTDA</t>
  </si>
  <si>
    <t>12/06/2021</t>
  </si>
  <si>
    <t>23/06/2021</t>
  </si>
  <si>
    <t>PEDIDO 1695</t>
  </si>
  <si>
    <t>17/06/2021</t>
  </si>
  <si>
    <t>05/06/2021</t>
  </si>
  <si>
    <t>4/6</t>
  </si>
  <si>
    <t>22/06/2021</t>
  </si>
  <si>
    <t>19/06/2021</t>
  </si>
  <si>
    <t>2º (-0,25) 1º Pagamento em dinheiro 6800 gerou diferença 150 reais_dividido nas 2 ultimas parcelas 75 reais de cada</t>
  </si>
  <si>
    <t>ANA BEATRIZ FORTUNATO E MARCOS</t>
  </si>
  <si>
    <t xml:space="preserve">LILIAN PIMENTA </t>
  </si>
  <si>
    <t xml:space="preserve">5% EMITIR NF </t>
  </si>
  <si>
    <t>24/06/2021</t>
  </si>
  <si>
    <t>30/06/2021</t>
  </si>
  <si>
    <t>Ref.5 diárias&gt;02-09-16-23-30 de junho</t>
  </si>
  <si>
    <t>5% &gt;N EMITIR NF</t>
  </si>
  <si>
    <t>MANUELA REZENDE DE CARVALHO</t>
  </si>
  <si>
    <t>01 DE 02 (Eugenia Rezende de Carvalho)</t>
  </si>
  <si>
    <t>29/06/2021</t>
  </si>
  <si>
    <t>BRENTWOOD (Alameda Moveis Dec)</t>
  </si>
  <si>
    <t>BONTEMPO</t>
  </si>
  <si>
    <t>03/06/2021</t>
  </si>
  <si>
    <t>RT &gt; A partir 1º pagto creditado&gt;10% Valor Liquido</t>
  </si>
  <si>
    <t>01/07/2021</t>
  </si>
  <si>
    <t>4/5</t>
  </si>
  <si>
    <t>11/06/2021</t>
  </si>
  <si>
    <t>04 parcelas de 5 (ref Junho)</t>
  </si>
  <si>
    <t>20/06/2021</t>
  </si>
  <si>
    <t xml:space="preserve">Aguardando cronograma de pagto atualizado </t>
  </si>
  <si>
    <t>28/06/2021</t>
  </si>
  <si>
    <t>29/07/2021</t>
  </si>
  <si>
    <t>pago 30/06</t>
  </si>
  <si>
    <t>GERENCIAMENTO</t>
  </si>
  <si>
    <t>02/07/2021</t>
  </si>
  <si>
    <t>PREFEITURA</t>
  </si>
  <si>
    <t>TFE-TAXA DE FISCALIZAÇÃO DE ESTABELECIMENTO 2021</t>
  </si>
  <si>
    <t>12/07/2021</t>
  </si>
  <si>
    <t>Cod. Estabelecimento 32301</t>
  </si>
  <si>
    <t>Impostos sobre Aplicações</t>
  </si>
  <si>
    <t>07/07/2021</t>
  </si>
  <si>
    <t xml:space="preserve">ENTREPOSTO DE DECORAÇÃO E COMÉRCIO </t>
  </si>
  <si>
    <t>QUARTO DA ISABELLA</t>
  </si>
  <si>
    <t>08/07/2021</t>
  </si>
  <si>
    <t>20/07/2021</t>
  </si>
  <si>
    <t>LATÃO E ARTE (José Donizete Domingos)</t>
  </si>
  <si>
    <t>15/07/2021</t>
  </si>
  <si>
    <t>IN CASA ( INNOVARE COMERCIO DE MOVEIS)</t>
  </si>
  <si>
    <t>30/07/2021</t>
  </si>
  <si>
    <t>Suíte da Isabela &gt; Aguardando Pagto</t>
  </si>
  <si>
    <t>16/07/2021</t>
  </si>
  <si>
    <t>RENATO MEIRELLES MARIANO DA COSTA</t>
  </si>
  <si>
    <t>19/07/2021</t>
  </si>
  <si>
    <t>DANIELA CALITO  E WILLIAM</t>
  </si>
  <si>
    <t>05/07/2021</t>
  </si>
  <si>
    <t>17/07/2021</t>
  </si>
  <si>
    <t>CONTABILIDADE</t>
  </si>
  <si>
    <t>GUIA INSS 06/20 _RECALCULADA</t>
  </si>
  <si>
    <t>20/06/2020</t>
  </si>
  <si>
    <t>Referente 06/2020</t>
  </si>
  <si>
    <t>GUIA INSS 12/20 _RECALCULADA</t>
  </si>
  <si>
    <t>20/12/2020</t>
  </si>
  <si>
    <t>OUTRAS ENTIDADES 03/21</t>
  </si>
  <si>
    <t>JULIANA COVINO E THIAGO RAPUANO</t>
  </si>
  <si>
    <t>Pedido 44192</t>
  </si>
  <si>
    <t>23/07/2021</t>
  </si>
  <si>
    <t>21/07/2021</t>
  </si>
  <si>
    <t>Complemento Pedido 67933</t>
  </si>
  <si>
    <t>MARÍLIA ZINGARI ROCHOLLI GRANJEIRO</t>
  </si>
  <si>
    <t>26/07/2021</t>
  </si>
  <si>
    <t>PORTOBELLO SÃO CAETANO (PHERRARA COM)</t>
  </si>
  <si>
    <t>27/07/2021</t>
  </si>
  <si>
    <t>28/07/2021</t>
  </si>
  <si>
    <t>Ref: 4 diárias &gt; 07/07 a 28/07</t>
  </si>
  <si>
    <t>PATRICIA MEIRELLES MARIANO</t>
  </si>
  <si>
    <t xml:space="preserve">Bonificação período 20 a 31/07 para recebimento </t>
  </si>
  <si>
    <t>WEBDAS HOSPEDAGEM DO SITE</t>
  </si>
  <si>
    <t xml:space="preserve">ALTERAÇÃO DO SITE </t>
  </si>
  <si>
    <t>SITE -  MN INTERIORES</t>
  </si>
  <si>
    <t>1/12</t>
  </si>
  <si>
    <t>POLIANA PAULINO_ SALÁRIO</t>
  </si>
  <si>
    <t xml:space="preserve">ESTAGIÁRIA </t>
  </si>
  <si>
    <t>SALÁRIO</t>
  </si>
  <si>
    <t>DESPESAS FIXAS</t>
  </si>
  <si>
    <t>VIA MADEIRA (HAEHLING)</t>
  </si>
  <si>
    <t>Armarios extras – 1.550,00  Parcela 5 dividida em 2x – R$ 1.200,00</t>
  </si>
  <si>
    <t>24/07/2021</t>
  </si>
  <si>
    <t>25/07/2021</t>
  </si>
  <si>
    <t>01 DE 02</t>
  </si>
  <si>
    <t>28/08/2021</t>
  </si>
  <si>
    <t>BENEFICIO VALE REFEIÇÃO</t>
  </si>
  <si>
    <t>BRETON ( Total Home Comercio de Móveis Eireli)</t>
  </si>
  <si>
    <t>06/07/2021</t>
  </si>
  <si>
    <t xml:space="preserve">Solicitado NF &gt; Após envio_Pagto após 10 dias </t>
  </si>
  <si>
    <t>02/08/2021</t>
  </si>
  <si>
    <t xml:space="preserve"> ESTACIONAMENTO_JR3 SERVIÇOS</t>
  </si>
  <si>
    <t>03/12/2021</t>
  </si>
  <si>
    <t>01/08/2021</t>
  </si>
  <si>
    <t>PAGO 22/07</t>
  </si>
  <si>
    <t>Estacionamento</t>
  </si>
  <si>
    <t>CARDIAL ALIMENTOS</t>
  </si>
  <si>
    <t>LARISSA ROSSETI GONÇALVES CAV</t>
  </si>
  <si>
    <t>RENDERIZAÇÃO</t>
  </si>
  <si>
    <t>PRESTAÇÃO DE SERVIÇOS</t>
  </si>
  <si>
    <t>03/08/2021</t>
  </si>
  <si>
    <t>BELA MAGAZINE VAREJO MÓVEIS</t>
  </si>
  <si>
    <t>CADEIRA GIRATÓRIA DIR BOSTON</t>
  </si>
  <si>
    <t>04/08/2021</t>
  </si>
  <si>
    <t>ORUY (KAWÁ IND E COMERCIO)</t>
  </si>
  <si>
    <t>10/08/2021</t>
  </si>
  <si>
    <t xml:space="preserve">5%Sem NF </t>
  </si>
  <si>
    <t>05/08/2021</t>
  </si>
  <si>
    <t xml:space="preserve">CONCEITO VIDROS E ESQUADRIAS </t>
  </si>
  <si>
    <t>Pagto 30 dias após data da compra_10%</t>
  </si>
  <si>
    <t>06/08/2021</t>
  </si>
  <si>
    <t>5/6</t>
  </si>
  <si>
    <t>26/06/2021</t>
  </si>
  <si>
    <t>TOM WALLPAPERS</t>
  </si>
  <si>
    <t>RT 5%&gt; Ultimo pagto 01/08</t>
  </si>
  <si>
    <t>09/08/2021</t>
  </si>
  <si>
    <t>21/06/2021</t>
  </si>
  <si>
    <t>11/08/2021</t>
  </si>
  <si>
    <t xml:space="preserve">LIDER INTERIORES </t>
  </si>
  <si>
    <t>13/08/2021</t>
  </si>
  <si>
    <t>KELVIN DOS ANJOS SILVA</t>
  </si>
  <si>
    <t>02 Monitores 21,5 Led Philips branco hadmi</t>
  </si>
  <si>
    <t>16/08/2021</t>
  </si>
  <si>
    <t>MULTICOISAS UTILITA VILA CLEMENTINO EIRELLE</t>
  </si>
  <si>
    <t xml:space="preserve">Cabo HDMI 2.0 </t>
  </si>
  <si>
    <t>18/08/2021</t>
  </si>
  <si>
    <t>INSS_RECOLHIMENTO</t>
  </si>
  <si>
    <t>GPS</t>
  </si>
  <si>
    <t>19/01/2021</t>
  </si>
  <si>
    <t>19/08/2021</t>
  </si>
  <si>
    <t>INSS _Outras Entidades</t>
  </si>
  <si>
    <t>IMPOSTOS</t>
  </si>
  <si>
    <t>DELL COMPUTADORES</t>
  </si>
  <si>
    <t xml:space="preserve">GASTOS EXTRAS_ DELL COMPUTADORES </t>
  </si>
  <si>
    <t>20/08/2021</t>
  </si>
  <si>
    <t>11/07/2021</t>
  </si>
  <si>
    <t>31/08/2021</t>
  </si>
  <si>
    <t>NF 155</t>
  </si>
  <si>
    <t>23/08/2021</t>
  </si>
  <si>
    <t>25/08/2021</t>
  </si>
  <si>
    <t xml:space="preserve">Descontado 18 reais do valor pela plataforma </t>
  </si>
  <si>
    <t>GABRIELA BORGES</t>
  </si>
  <si>
    <t>PROJETO: Rua Agnaldo Manuel dos Santos, 84 – aptº61</t>
  </si>
  <si>
    <t>Ref: 4 diárias &gt; 04-11-18-25 de agosto</t>
  </si>
  <si>
    <t>01 DE 04
Manual: http://www.manualapp.com.br/Vitacon/4155_VNCardosodeMelo/phone/index.html
SENHA: 93514</t>
  </si>
  <si>
    <t>26/08/2021</t>
  </si>
  <si>
    <t>1ª(5/5) VIA MADEIRA (HAEHLIN)</t>
  </si>
  <si>
    <t xml:space="preserve"> 2.400 : em 2 x</t>
  </si>
  <si>
    <t>30/08/2021</t>
  </si>
  <si>
    <t>R$ 240.816,49 &gt; valor do gerenciamento será 10% deste valor = R$ 24.081,64 pago em 5 parcelas</t>
  </si>
  <si>
    <t>ROGÉRIO E ANA PAULA CALFÁ</t>
  </si>
  <si>
    <t>QUAKER (PILLOWS &amp; FABRICS COMERCIO DE PECAS DECORATIVAS LTDA)</t>
  </si>
  <si>
    <t>16/06/2021</t>
  </si>
  <si>
    <t>2/12</t>
  </si>
  <si>
    <t>05/09/2021</t>
  </si>
  <si>
    <t>27/08/2021</t>
  </si>
  <si>
    <t>28/09/2021</t>
  </si>
  <si>
    <t>BELCHIOR INFORMÁTICA</t>
  </si>
  <si>
    <t>02/09/2021</t>
  </si>
  <si>
    <t>29/08/2021</t>
  </si>
  <si>
    <t>06/09/2021</t>
  </si>
  <si>
    <t>ESTAR MOVEIS</t>
  </si>
  <si>
    <t>16/09/2021</t>
  </si>
  <si>
    <t>10/09/2021</t>
  </si>
  <si>
    <t>MARIA E HÉLVIO ROCHOLLI</t>
  </si>
  <si>
    <t>PROJETO IBIÚNA</t>
  </si>
  <si>
    <t>13/09/2021</t>
  </si>
  <si>
    <t>ALDEMIRA FARIAS E OTÁVIO</t>
  </si>
  <si>
    <t>ALDEMIRA E OTÁVIO</t>
  </si>
  <si>
    <t>30/09/2021</t>
  </si>
  <si>
    <t>03/09/2021</t>
  </si>
  <si>
    <t>ANA CAROLINA BERTONI_FELIPE REALE CIVIDANE</t>
  </si>
  <si>
    <t>15/09/2021</t>
  </si>
  <si>
    <t>MARIA ISABEL NAJM_FLÁVIO-SP</t>
  </si>
  <si>
    <t>MARIA ISABEL NAJM_FLÁVIO-SÃO PAULO</t>
  </si>
  <si>
    <t>23/09/2021</t>
  </si>
  <si>
    <t>GRÁFICA COPYGOOL</t>
  </si>
  <si>
    <t>GASTOS EXTRAS - GRÁFICA COPYGOOL</t>
  </si>
  <si>
    <t>Projeto Ana Luiza</t>
  </si>
  <si>
    <t>17/09/2021</t>
  </si>
  <si>
    <t>6/6</t>
  </si>
  <si>
    <t>04/09/2021</t>
  </si>
  <si>
    <t>20/09/2021</t>
  </si>
  <si>
    <t>CONSTELLE NEGOCIOS IMOBILIARIOS</t>
  </si>
  <si>
    <t>ANTARES DIGITAL LIFE</t>
  </si>
  <si>
    <t xml:space="preserve">GENIO DO MARMORE </t>
  </si>
  <si>
    <t>14/05/2021</t>
  </si>
  <si>
    <t>RT após ultimo pagamento 01/09 nas condições do cliente</t>
  </si>
  <si>
    <t>25/09/2021</t>
  </si>
  <si>
    <t>02 DE 04-Eugenia Carvalho Rezende</t>
  </si>
  <si>
    <t>PHERRARA COM SOLUÇÕES EM REVESTIMENTOS</t>
  </si>
  <si>
    <t>DARF_ IRRF</t>
  </si>
  <si>
    <t xml:space="preserve">IRRF NF 143 </t>
  </si>
  <si>
    <t>21/09/2021</t>
  </si>
  <si>
    <t xml:space="preserve">MANUELA REZENDE </t>
  </si>
  <si>
    <t>Impressões Maria Isabel _ Carol e Felipe</t>
  </si>
  <si>
    <t>22/09/2021</t>
  </si>
  <si>
    <t>09/09/2021</t>
  </si>
  <si>
    <t>11/10/2021</t>
  </si>
  <si>
    <t>10% RT Pedido 2317</t>
  </si>
  <si>
    <t>REI DOS CARTUCHOS</t>
  </si>
  <si>
    <t>GASTOS EXTRAS_ REI DOS CARTUCHOS</t>
  </si>
  <si>
    <t xml:space="preserve">IMPRESSÕES VANESSA E ADO </t>
  </si>
  <si>
    <t>24/09/2021</t>
  </si>
  <si>
    <t>IMPRESSÕES: COSTELLE</t>
  </si>
  <si>
    <t>2ª (5/5) VIA MADEIRA (HAEHLIN)</t>
  </si>
  <si>
    <t>Valor correto 1200,00</t>
  </si>
  <si>
    <t>27/09/2021</t>
  </si>
  <si>
    <t>VANESSA  E ADO</t>
  </si>
  <si>
    <t xml:space="preserve">COSTELLE&gt; Roberta e Mario </t>
  </si>
  <si>
    <t>18/09/2021</t>
  </si>
  <si>
    <t>01/09/2021</t>
  </si>
  <si>
    <t>29/09/2021</t>
  </si>
  <si>
    <t xml:space="preserve">Ref: 05 diárias &gt; 01-08-15-22-29 </t>
  </si>
  <si>
    <t>TBI 9348.04920-7</t>
  </si>
  <si>
    <t>25/10/2021</t>
  </si>
  <si>
    <t>31700130846</t>
  </si>
  <si>
    <t>MARCELLO K BERTONI</t>
  </si>
  <si>
    <t>PRODUÇÃO</t>
  </si>
  <si>
    <t>02/10/2021</t>
  </si>
  <si>
    <t>4/4</t>
  </si>
  <si>
    <t>04/10/2021</t>
  </si>
  <si>
    <t>DARF</t>
  </si>
  <si>
    <t>22/12/2016</t>
  </si>
  <si>
    <t>03/11/2021</t>
  </si>
  <si>
    <t>05/10/2021</t>
  </si>
  <si>
    <t>3/12</t>
  </si>
  <si>
    <t>POLIANA PAULINO_SALÁRIO</t>
  </si>
  <si>
    <t>07/10/2021</t>
  </si>
  <si>
    <t>23/10/2016</t>
  </si>
  <si>
    <t>10/10/2021</t>
  </si>
  <si>
    <t>Perdido/Desconsiderado</t>
  </si>
  <si>
    <t>13/10/2021</t>
  </si>
  <si>
    <t>03/10/2021</t>
  </si>
  <si>
    <t xml:space="preserve">3ª PARC AO TÉRMINO DO PROJETO </t>
  </si>
  <si>
    <t>14/10/2021</t>
  </si>
  <si>
    <t>DARF_COFINS</t>
  </si>
  <si>
    <t>10 /12</t>
  </si>
  <si>
    <t>Impostos Sobre as Notas Fiscais Emitidas</t>
  </si>
  <si>
    <t>15/10/2021</t>
  </si>
  <si>
    <t>18/10/2021</t>
  </si>
  <si>
    <t>POTENZA  (MARCELA CRISTINA MONTEMURRO)</t>
  </si>
  <si>
    <t>20/10/2021</t>
  </si>
  <si>
    <t>58609553000126</t>
  </si>
  <si>
    <t>MUL-T-LOCK DO BRASIL INDUSTRIA E COMERCIO  EIRELI</t>
  </si>
  <si>
    <t>RT GABRIELA E MÁRCIO BORGES</t>
  </si>
  <si>
    <t>Depósito bancário</t>
  </si>
  <si>
    <t>18/08/2022</t>
  </si>
  <si>
    <t>RT - 5% - DO PRODUTO ( EXCETO INSTALAÇÃO)
Pagamento só entra na programação do financeiro após pagamento/compensação do ultimo boleto/depósito do cliente</t>
  </si>
  <si>
    <t xml:space="preserve">RESERVA TÉCNICA </t>
  </si>
  <si>
    <t>19/10/2021</t>
  </si>
  <si>
    <t>PORTOBELLO _ PINHEIROS _EUCER</t>
  </si>
  <si>
    <t>15/11/2021</t>
  </si>
  <si>
    <t>Razão Social: Eucer Com. e Serviços</t>
  </si>
  <si>
    <t>LIGNA (MARCENARIA SONHO SOB MEDIDAS)</t>
  </si>
  <si>
    <t>01/10/2021</t>
  </si>
  <si>
    <t>11/09/2021</t>
  </si>
  <si>
    <t xml:space="preserve">STR_AR CONDICIONADO </t>
  </si>
  <si>
    <t>29/10/2021</t>
  </si>
  <si>
    <t>VITORIA REZENDE DE CARVALHO_AABAEG 0301-000483751</t>
  </si>
  <si>
    <t>21/10/2021</t>
  </si>
  <si>
    <t>GASTOS EXTRAS - CHAVEIRO</t>
  </si>
  <si>
    <t>27/10/2021</t>
  </si>
  <si>
    <t>DIARISTA_JULIANA COSTA SOARES</t>
  </si>
  <si>
    <t>06/10/2021</t>
  </si>
  <si>
    <t>06-13-20-27/10</t>
  </si>
  <si>
    <t>LIMPEZA</t>
  </si>
  <si>
    <t>MARILIA Z ROCHOLLI e THIAGO GRANJEIRO</t>
  </si>
  <si>
    <t>pedido 18/10 - 92.000,00</t>
  </si>
  <si>
    <t>28/10/2021</t>
  </si>
  <si>
    <t>TBI 6549.04065-4</t>
  </si>
  <si>
    <t>GERENCIAMENTO_MARÍLIA ZINGARI ROCHOLLI GRANJEIRO</t>
  </si>
  <si>
    <t>03 Parcelas iguais  - TBI 9348.04920-7</t>
  </si>
  <si>
    <t>4/12</t>
  </si>
  <si>
    <t xml:space="preserve">SALÁRIO POLIANA </t>
  </si>
  <si>
    <t>05/11/2021</t>
  </si>
  <si>
    <t>referente Outubro</t>
  </si>
  <si>
    <t>29/11/2021</t>
  </si>
  <si>
    <t>30/10/2021</t>
  </si>
  <si>
    <t>04/11/2021</t>
  </si>
  <si>
    <t>CONTA AZUL -  RENOVAÇÃO</t>
  </si>
  <si>
    <t>08/11/2021</t>
  </si>
  <si>
    <t xml:space="preserve">Renovação Automática </t>
  </si>
  <si>
    <t>GASTOS EXTRAS - KALUNGA</t>
  </si>
  <si>
    <t xml:space="preserve">CARTUCHOS </t>
  </si>
  <si>
    <t xml:space="preserve">GASTOS EXTRAS - SANTA GEMMA </t>
  </si>
  <si>
    <t>11/11/2021</t>
  </si>
  <si>
    <t>: KNOT HOME COMERCIO DE PRODUTOS</t>
  </si>
  <si>
    <t>22/11/2021</t>
  </si>
  <si>
    <t>17/11/2021</t>
  </si>
  <si>
    <t>20/11/2021</t>
  </si>
  <si>
    <t>22/01/2021</t>
  </si>
  <si>
    <t>19/11/2021</t>
  </si>
  <si>
    <t xml:space="preserve">FOTÓGRAFO_RAFAEL RENZO MARQUES </t>
  </si>
  <si>
    <t>ANA MERA</t>
  </si>
  <si>
    <t>06/11/2021</t>
  </si>
  <si>
    <t>MAFRAL _ALUGUEL+CONDOMINIO+IPTU</t>
  </si>
  <si>
    <t>10/11/2021</t>
  </si>
  <si>
    <t>12/11/2021</t>
  </si>
  <si>
    <t>JOAQUIM FLORIANO</t>
  </si>
  <si>
    <t>Aluguel</t>
  </si>
  <si>
    <t>24/11/2021</t>
  </si>
  <si>
    <t>Ref: 04 diárias &gt; 03/11 a 24/11</t>
  </si>
  <si>
    <t>13º SALÁRIO ELIANE</t>
  </si>
  <si>
    <t>30/11/2021</t>
  </si>
  <si>
    <t>13º Salário - 1ª Parcela</t>
  </si>
  <si>
    <t>25/11/2021</t>
  </si>
  <si>
    <t>SALÁRIO FELIPE ESTÁGIÁRIO</t>
  </si>
  <si>
    <t>26/11/2021</t>
  </si>
  <si>
    <t xml:space="preserve">LELIS DESIGN </t>
  </si>
  <si>
    <t>5% RT - Pedido  81284</t>
  </si>
  <si>
    <t>27/11/2021</t>
  </si>
  <si>
    <t>28/11/2021</t>
  </si>
  <si>
    <t>18/11/2021</t>
  </si>
  <si>
    <t>14/07/2021</t>
  </si>
  <si>
    <t xml:space="preserve">NF 152 </t>
  </si>
  <si>
    <t>DEFINITIVA MÓVEIS (CEZAR&amp;SANTOS IND MOVEIS)</t>
  </si>
  <si>
    <t>SKETCHUP</t>
  </si>
  <si>
    <t>TOTALCAD COMERCIO S E I LTDA - SKETCHUP</t>
  </si>
  <si>
    <t>RENOVAÇÃO</t>
  </si>
  <si>
    <t>01/12/2021</t>
  </si>
  <si>
    <t>5/12</t>
  </si>
  <si>
    <t>05/12/2021</t>
  </si>
  <si>
    <t>ESTACIONAMENTO_JR3 SERVIÇOS)_NOVA TRIUNFO ADM</t>
  </si>
  <si>
    <t>PEDIDO 76082 - nf 164</t>
  </si>
  <si>
    <t>CONDOMINIO</t>
  </si>
  <si>
    <t>Condomínio</t>
  </si>
  <si>
    <t>SALARIO FELIPE</t>
  </si>
  <si>
    <t>01/11/2021</t>
  </si>
  <si>
    <t>MAFRAL</t>
  </si>
  <si>
    <t>ALUGUEL+CONDOMINIO+IPTU</t>
  </si>
  <si>
    <t>REF: 11/21_VENC 05/12/21</t>
  </si>
  <si>
    <t>DESPESAS ADMINISTRATIVAS</t>
  </si>
  <si>
    <t>MARILIA E THIAGO</t>
  </si>
  <si>
    <t xml:space="preserve">HERTZ ESQUADRIAS </t>
  </si>
  <si>
    <t xml:space="preserve">Pagamento será realizado após término da obra </t>
  </si>
  <si>
    <t>06/12/2021</t>
  </si>
  <si>
    <t>28/12/2021</t>
  </si>
  <si>
    <t>09/12/2021</t>
  </si>
  <si>
    <t xml:space="preserve">INTERBUY CARDS CRIAÇÃO GRÁFICA </t>
  </si>
  <si>
    <t>08/12/2021</t>
  </si>
  <si>
    <t xml:space="preserve">CARTÕES  PARA LEMBRANCINHA DE NATAL </t>
  </si>
  <si>
    <t>13/12/2021</t>
  </si>
  <si>
    <t>30/12/2021</t>
  </si>
  <si>
    <t>14/12/2021</t>
  </si>
  <si>
    <t>ANA E MARCOS FORTUNATO_SUITE ISABELLA</t>
  </si>
  <si>
    <t>15/12/2021</t>
  </si>
  <si>
    <t>PAULA RISO E THIAGO GRANJEIRO</t>
  </si>
  <si>
    <t xml:space="preserve">REFERENTE RT MÊS DE OUTUBRO </t>
  </si>
  <si>
    <t>16/12/2021</t>
  </si>
  <si>
    <t>DOMINGOS DE JESUS COLONHESI</t>
  </si>
  <si>
    <t xml:space="preserve">SALÁRIO FECHAMENTO_ RENATA RISO </t>
  </si>
  <si>
    <t>13ºSALÁRIO - 2a Parcela</t>
  </si>
  <si>
    <t>20/12/2021</t>
  </si>
  <si>
    <t>13º Salário - 2ª Parcela</t>
  </si>
  <si>
    <t>GUIA INSS = DARF</t>
  </si>
  <si>
    <t xml:space="preserve">Documento de Arrecadação de Receitas Federais </t>
  </si>
  <si>
    <t>17/12/2021</t>
  </si>
  <si>
    <t xml:space="preserve">MERCADO PAGO </t>
  </si>
  <si>
    <t>16/01/2022</t>
  </si>
  <si>
    <t>LUZ - NEW STATION_VILA CLEMENTINO</t>
  </si>
  <si>
    <t xml:space="preserve">ULTIMA CONTA LUZ NEW STATION </t>
  </si>
  <si>
    <t xml:space="preserve">CONTABILIDADE </t>
  </si>
  <si>
    <t>Honorários Contábeis</t>
  </si>
  <si>
    <t>17/01/2022</t>
  </si>
  <si>
    <t xml:space="preserve">Pago junto com Projeto </t>
  </si>
  <si>
    <t>BY KAMY</t>
  </si>
  <si>
    <t>21/12/2021</t>
  </si>
  <si>
    <t>29/12/2021</t>
  </si>
  <si>
    <t>Ref:04 diárias &gt; 30nov-08-15-22dez</t>
  </si>
  <si>
    <t>CONTABILIDADE - 13º Mensalidade</t>
  </si>
  <si>
    <t>22/12/2021</t>
  </si>
  <si>
    <t>23/12/2021</t>
  </si>
  <si>
    <t>MARCENARIA</t>
  </si>
  <si>
    <t>10/12/2021</t>
  </si>
  <si>
    <t>REFORMA</t>
  </si>
  <si>
    <t>27/12/2021</t>
  </si>
  <si>
    <t>CLIENTES NOVEMBRO</t>
  </si>
  <si>
    <t>NF EMITIDA 167</t>
  </si>
  <si>
    <t>5/5</t>
  </si>
  <si>
    <t>01/01/2022</t>
  </si>
  <si>
    <t>03/01/2022</t>
  </si>
  <si>
    <t>CARTAO CRÉDITO MN</t>
  </si>
  <si>
    <t>Despesas MN</t>
  </si>
  <si>
    <t>05/01/2022</t>
  </si>
  <si>
    <t>PRÓ-LABORE MAYARA</t>
  </si>
  <si>
    <t>Pró-labore</t>
  </si>
  <si>
    <t>PAGAMENTO GESTOR</t>
  </si>
  <si>
    <t>PRÓ-LABORE NATASHA</t>
  </si>
  <si>
    <t>6/12</t>
  </si>
  <si>
    <t>SALÁRIO HELOISA</t>
  </si>
  <si>
    <t>SALÁRIO ELIANE</t>
  </si>
  <si>
    <t>30048726000165</t>
  </si>
  <si>
    <t>BELA MAGAZINE COM. VAREJO MOVEIS</t>
  </si>
  <si>
    <t>DESPESAS COMERCIAIS</t>
  </si>
  <si>
    <t xml:space="preserve">REFERENTE 03 CADEIRAS </t>
  </si>
  <si>
    <t>Despesas comerciais</t>
  </si>
  <si>
    <t>GASTOS EXTRAS - E P  STORE</t>
  </si>
  <si>
    <t xml:space="preserve">REF: ADAPTADOR E MOUSE SEM FIO </t>
  </si>
  <si>
    <t>24/12/2021</t>
  </si>
  <si>
    <t>REF: 12/21 _VENC 01/22</t>
  </si>
  <si>
    <t>06/01/2022</t>
  </si>
  <si>
    <t>54705777000180</t>
  </si>
  <si>
    <t>CONTABILIDADE ASSESSORIA</t>
  </si>
  <si>
    <t>HONORÁRIOS CONTÁBEIS</t>
  </si>
  <si>
    <t>FGTS</t>
  </si>
  <si>
    <t>FGTS e Multa de FGTS</t>
  </si>
  <si>
    <t>07/01/2022</t>
  </si>
  <si>
    <t>ISS</t>
  </si>
  <si>
    <t>10/01/2022</t>
  </si>
  <si>
    <t>INCIDÊNCIA DEZEMBRO 2021</t>
  </si>
  <si>
    <t>ISS sobre Faturamento</t>
  </si>
  <si>
    <t>PATRICIA NAJM</t>
  </si>
  <si>
    <t>11/01/2022</t>
  </si>
  <si>
    <t>VALE TRANSPORTE _ELIANE</t>
  </si>
  <si>
    <t>14/01/2022</t>
  </si>
  <si>
    <t>Valor unitário: 4,40
Condução diária: 8,80 ida &gt; 8,80 Volta
Total: 17,60 ida/volta</t>
  </si>
  <si>
    <t>Vale-Transporte</t>
  </si>
  <si>
    <t>13/01/2022</t>
  </si>
  <si>
    <t>DARF_COMPETENCIA DEZEMBRO 21</t>
  </si>
  <si>
    <t>20/01/2022</t>
  </si>
  <si>
    <t>VIVO</t>
  </si>
  <si>
    <t>TELEFONIA E INTERNET</t>
  </si>
  <si>
    <t>15/01/2022</t>
  </si>
  <si>
    <t>conta Mayara paga pelo APP&gt; Lembrar o Pagamento</t>
  </si>
  <si>
    <t>Telefonia e Internet</t>
  </si>
  <si>
    <t>19/01/2022</t>
  </si>
  <si>
    <t>DARF _Competência 11</t>
  </si>
  <si>
    <t>DARF _Competência 10</t>
  </si>
  <si>
    <t>GPS_Diferença_Competência mês 07/21</t>
  </si>
  <si>
    <t>19/08/2022</t>
  </si>
  <si>
    <t>Diferença de Pagamento Competência mês 07/21</t>
  </si>
  <si>
    <t>INSS sobre Pró-labore - GPS</t>
  </si>
  <si>
    <t>GASTOS EXTRAS - CIA BRAS DE DISTRIBUIÇÃO</t>
  </si>
  <si>
    <t>PRODUTOS DE LIMPEZA</t>
  </si>
  <si>
    <t>21/01/2022</t>
  </si>
  <si>
    <t>31/12/2021</t>
  </si>
  <si>
    <t>25/01/2022</t>
  </si>
  <si>
    <t>APURAÇÃO DEZEMBRO/2021</t>
  </si>
  <si>
    <t>DARF_ PIS</t>
  </si>
  <si>
    <t>PERÍODO DE APURAÇÃO 31/12/2021</t>
  </si>
  <si>
    <t xml:space="preserve">CELINA DIAS_ LALIQUE TECIDOS E PAPEIS </t>
  </si>
  <si>
    <t>26/01/2022</t>
  </si>
  <si>
    <t>28/02/2022</t>
  </si>
  <si>
    <t>LIMPEZA_JULIANA COSTA SOARES</t>
  </si>
  <si>
    <t>DIÁRIAS: 05-12-19-26</t>
  </si>
  <si>
    <t>Diárias de Limpeza</t>
  </si>
  <si>
    <t xml:space="preserve">DARE </t>
  </si>
  <si>
    <t>21/02/2022</t>
  </si>
  <si>
    <t xml:space="preserve">Referente Alteração de Cadastro MN </t>
  </si>
  <si>
    <t xml:space="preserve">Documento de Arrecadação de Receitas Estaduais </t>
  </si>
  <si>
    <t>01/02/2022</t>
  </si>
  <si>
    <t>20 dias do mês de fevereiro</t>
  </si>
  <si>
    <t>VALE TRANSPORTE</t>
  </si>
  <si>
    <t>27/01/2022</t>
  </si>
  <si>
    <t>GASTOS EXTRAS - CONTABILIDADE</t>
  </si>
  <si>
    <t>CARTÓRIO E CORREIOS</t>
  </si>
  <si>
    <t>40005034000193</t>
  </si>
  <si>
    <t>EP STORE - Assistência Técnica</t>
  </si>
  <si>
    <t>MATERIAIS DE INFORMÁTICA</t>
  </si>
  <si>
    <t>PENDRIVE 16GB</t>
  </si>
  <si>
    <t>28/01/2022</t>
  </si>
  <si>
    <t>REUNIÃO CLIENTE: GABRIELA BORGES
Coffee &gt; Despesas na Padaria Latine</t>
  </si>
  <si>
    <t>Reunião Cliente</t>
  </si>
  <si>
    <t>31/01/2022</t>
  </si>
  <si>
    <t>ENEL</t>
  </si>
  <si>
    <t>ELETROPAULO_ENERGIA _ITAIM</t>
  </si>
  <si>
    <t>30/01/2022</t>
  </si>
  <si>
    <t>conta referente janeiro 2022</t>
  </si>
  <si>
    <t>20/02/2022</t>
  </si>
  <si>
    <t>DARF PREVIDENCIARIO (ANTIGO GPS)</t>
  </si>
  <si>
    <t>18/02/2022</t>
  </si>
  <si>
    <t xml:space="preserve">valor poderá ser alterado </t>
  </si>
  <si>
    <t>05/02/2022</t>
  </si>
  <si>
    <t>REFERENTE A JANEIRO</t>
  </si>
  <si>
    <t>ALUGUEL JOAQUIM FLORIANO</t>
  </si>
  <si>
    <t>DARF_IRPJ</t>
  </si>
  <si>
    <t>PERIODO DE APURAÇÃO 31/12/2021</t>
  </si>
  <si>
    <t>1/12 SODEXO - ELIANE</t>
  </si>
  <si>
    <t>27/02/2022</t>
  </si>
  <si>
    <t>DARF_CLSS</t>
  </si>
  <si>
    <t>18/03/2022</t>
  </si>
  <si>
    <t>PERÍODO DE APURAÇÃO 31/12/21</t>
  </si>
  <si>
    <t xml:space="preserve"> Contribuição Social Sobre o Lucro Líquido</t>
  </si>
  <si>
    <t>07/02/2022</t>
  </si>
  <si>
    <t>7/12</t>
  </si>
  <si>
    <t>ISABEL BONFIM_ARQUITETA</t>
  </si>
  <si>
    <t>02/02/2022</t>
  </si>
  <si>
    <t xml:space="preserve">ISABELA ROSSI _ ESTAGIÁRIA </t>
  </si>
  <si>
    <t>03/02/2022</t>
  </si>
  <si>
    <t>23/10/2021</t>
  </si>
  <si>
    <t>04/02/2022</t>
  </si>
  <si>
    <t>BRUNA ELIAS</t>
  </si>
  <si>
    <t>BRUNA ELIAS_QUARTO LORENZO E BERNADO</t>
  </si>
  <si>
    <t>ROLO PLOTAGEM</t>
  </si>
  <si>
    <t>Materiais de Escritório</t>
  </si>
  <si>
    <t>REF: 01/22 _VENC 02/22</t>
  </si>
  <si>
    <t>13/11/2021</t>
  </si>
  <si>
    <t>10/02/2022</t>
  </si>
  <si>
    <t>11/02/2022</t>
  </si>
  <si>
    <t>17/02/2022</t>
  </si>
  <si>
    <t>14/02/2022</t>
  </si>
  <si>
    <t>ANA CAROLINA FURQUIM BERTONI</t>
  </si>
  <si>
    <t>BRETON ( Bioma Comércio de Móveis Eireli)</t>
  </si>
  <si>
    <t>Valor TED Incluiu NF 168</t>
  </si>
  <si>
    <t>15/02/2022</t>
  </si>
  <si>
    <t>BRETON   ( Bioma Comércio de Móveis Eireli)</t>
  </si>
  <si>
    <t>Valor TED Incluiu NF 169</t>
  </si>
  <si>
    <t>18/01/2022</t>
  </si>
  <si>
    <t>COMPETENCIA JANEIRO 22</t>
  </si>
  <si>
    <t>Boleto bancário</t>
  </si>
  <si>
    <t>Atrasado</t>
  </si>
  <si>
    <t>Mª ISABEL NAJM E FLÁVIO-SÃO PAULO</t>
  </si>
  <si>
    <t>ELIAS_MARCENEIRO</t>
  </si>
  <si>
    <t>22/02/2022</t>
  </si>
  <si>
    <t>VITÓRIA REZENDE</t>
  </si>
  <si>
    <t>CLIENTE:MANUELA REZENDE</t>
  </si>
  <si>
    <t>1/10</t>
  </si>
  <si>
    <t>FINAL 5507</t>
  </si>
  <si>
    <t>PAGAMENTO CARTÃO DE CRÉDITO</t>
  </si>
  <si>
    <t>24/02/2022</t>
  </si>
  <si>
    <t>aguardando solicitação para emissão NF</t>
  </si>
  <si>
    <t>25/02/2022</t>
  </si>
  <si>
    <t>ANA C BERTONI E PAULA RISO</t>
  </si>
  <si>
    <t>08/02/2022</t>
  </si>
  <si>
    <t xml:space="preserve">valor incluso RT Paula \Riso </t>
  </si>
  <si>
    <t>Valor incluiu Gapaz x Marilia(1.840)</t>
  </si>
  <si>
    <t>01/03/2022</t>
  </si>
  <si>
    <t>02/03/2022</t>
  </si>
  <si>
    <t>REFERENNTE FEVEREIRO</t>
  </si>
  <si>
    <t>06/02/2022</t>
  </si>
  <si>
    <t>05/03/2022</t>
  </si>
  <si>
    <t>25/03/2022</t>
  </si>
  <si>
    <t>8/12</t>
  </si>
  <si>
    <t>REFERENTE VENC_ FEVEREIRO</t>
  </si>
  <si>
    <t>08/03/2022</t>
  </si>
  <si>
    <t>VENC 03</t>
  </si>
  <si>
    <t>26/02/2022</t>
  </si>
  <si>
    <t>DIARISTA</t>
  </si>
  <si>
    <t>REFERENTE A FEVEREIRO</t>
  </si>
  <si>
    <t>03/03/2022</t>
  </si>
  <si>
    <t>DIMLUX ( STUDIO GUSTAVO DI MENNO DE ILUM.)</t>
  </si>
  <si>
    <t>PEDIDO 74411</t>
  </si>
  <si>
    <t>04/03/2022</t>
  </si>
  <si>
    <t>28/03/2022</t>
  </si>
  <si>
    <t>31/03/2022</t>
  </si>
  <si>
    <t>Referente mês de Março &gt; Descontado dia 28/02 e 01/03</t>
  </si>
  <si>
    <t>EDIFICIO SUPREME</t>
  </si>
  <si>
    <t>Pedidos 220218 - 220219</t>
  </si>
  <si>
    <t>07/03/2022</t>
  </si>
  <si>
    <t>THAIS KOCH _SUITE BEATRIZ</t>
  </si>
  <si>
    <t xml:space="preserve">AL FRAME </t>
  </si>
  <si>
    <t>16/02/2022</t>
  </si>
  <si>
    <t>10/03/2022</t>
  </si>
  <si>
    <t>CAROL FURQUIM</t>
  </si>
  <si>
    <t>LAYOUT PROJETO</t>
  </si>
  <si>
    <t>LAYOUT</t>
  </si>
  <si>
    <t>ANA CAROLINA  BERTONI e FELIPE</t>
  </si>
  <si>
    <t>BONTEMPO (Isage Com.de Móveis Ltda)</t>
  </si>
  <si>
    <t>09/02/2022</t>
  </si>
  <si>
    <t>Contrato: 846001</t>
  </si>
  <si>
    <t>DARF ISS</t>
  </si>
  <si>
    <t>17/03/2022</t>
  </si>
  <si>
    <t>20/03/2022</t>
  </si>
  <si>
    <t>Referente 02/2022</t>
  </si>
  <si>
    <t>CONTABILIDADE - REEMBOLSO PROCESSOS</t>
  </si>
  <si>
    <t>Contabilidade</t>
  </si>
  <si>
    <t>11/03/2022</t>
  </si>
  <si>
    <t xml:space="preserve">V5076683 </t>
  </si>
  <si>
    <t>DIVETRO (PENDURE PRONTO DECOR)</t>
  </si>
  <si>
    <t>09/03/2022</t>
  </si>
  <si>
    <t>14/03/2022</t>
  </si>
  <si>
    <t>MARIELLA MATAVELLI</t>
  </si>
  <si>
    <t>PROJETO - MARIELLA MATAVELLI</t>
  </si>
  <si>
    <t>23/02/2022</t>
  </si>
  <si>
    <t>TBI 405415515-7</t>
  </si>
  <si>
    <t>15/03/2022</t>
  </si>
  <si>
    <t>CRISTIANE UFLAKER e RICARDO</t>
  </si>
  <si>
    <t>COLORMIX ( BRASMIX COM IMP )</t>
  </si>
  <si>
    <t>MN ARQUITETURA_MARCIO MUNHOZ</t>
  </si>
  <si>
    <t>EXECUÇÃO PROJETO</t>
  </si>
  <si>
    <t>COMPETÊNCIA FEVEREIRO/22</t>
  </si>
  <si>
    <t>Aguardando pagamento NF enviada 09/03</t>
  </si>
  <si>
    <t>PREFEITURA BERTIOGA</t>
  </si>
  <si>
    <t>1/41</t>
  </si>
  <si>
    <t>PREFEITURA DO MUNICIPIO DE BERTIOGA</t>
  </si>
  <si>
    <t xml:space="preserve">REF.02 PAGAMENTOS </t>
  </si>
  <si>
    <t>IPTU/ISS E OUTROS TRIBUTOS</t>
  </si>
  <si>
    <t>22/03/2022</t>
  </si>
  <si>
    <t>21/03/2022</t>
  </si>
  <si>
    <t>DANTE E DANIELA MATAVELLI</t>
  </si>
  <si>
    <t>06/04/2022</t>
  </si>
  <si>
    <t>2/10</t>
  </si>
  <si>
    <t>CARTÃO DE CREDITO_ FINAL 5507</t>
  </si>
  <si>
    <t>23/03/2022</t>
  </si>
  <si>
    <t>24/03/2022</t>
  </si>
  <si>
    <t>PAGLIOTTO DESIGN</t>
  </si>
  <si>
    <t>GUARARAPES MDF</t>
  </si>
  <si>
    <t>AMOSTRAS GUARARAPES</t>
  </si>
  <si>
    <t>26/03/2022</t>
  </si>
  <si>
    <t>Diárias: 02-13-16-20-27</t>
  </si>
  <si>
    <t>ESTAR MOVEIS (CASA ESTAR COMÉRCIO DE MÓVEIS)</t>
  </si>
  <si>
    <t>04/04/2022</t>
  </si>
  <si>
    <t>30/03/2022</t>
  </si>
  <si>
    <t>CODEX HOME</t>
  </si>
  <si>
    <t>PEDIDO 5843</t>
  </si>
  <si>
    <t>GUSTAVO FRANCO LOPES</t>
  </si>
  <si>
    <t>01/04/2022</t>
  </si>
  <si>
    <t>9/12</t>
  </si>
  <si>
    <t>05/04/2022</t>
  </si>
  <si>
    <t>REFERENTE A MARÇO</t>
  </si>
  <si>
    <t>MARIA ISABEL NAJM_FLÁVIO-SP e THAIS KOCH</t>
  </si>
  <si>
    <t>20/04/2022</t>
  </si>
  <si>
    <t>09/05/2022</t>
  </si>
  <si>
    <t>REFERENTE A MARÇO - Rm compensação - Fatura Negociada</t>
  </si>
  <si>
    <t>REF: 03/21 _VENC 04/22</t>
  </si>
  <si>
    <t>1/8</t>
  </si>
  <si>
    <t>29/04/2022</t>
  </si>
  <si>
    <t>DANIELA CALITO e WILLIAM</t>
  </si>
  <si>
    <t>06/03/2022</t>
  </si>
  <si>
    <t>07/04/2022</t>
  </si>
  <si>
    <t>VANESSA E ADO</t>
  </si>
  <si>
    <t>01/05/2022</t>
  </si>
  <si>
    <t>08/04/2022</t>
  </si>
  <si>
    <t>15/04/2022</t>
  </si>
  <si>
    <t>10/04/2022</t>
  </si>
  <si>
    <t>11/04/2022</t>
  </si>
  <si>
    <t>12/04/2022</t>
  </si>
  <si>
    <t>CELINA DIAS (LALIQUE)</t>
  </si>
  <si>
    <t xml:space="preserve">RT 30 a 40 dias após data da compra </t>
  </si>
  <si>
    <t>29/03/2022</t>
  </si>
  <si>
    <t>13/04/2022</t>
  </si>
  <si>
    <t>CASAVESTIDA COMERCIO C C C AL</t>
  </si>
  <si>
    <t>14/04/2022</t>
  </si>
  <si>
    <t>10% SOBRE VALOR PARCELADO</t>
  </si>
  <si>
    <t>18/04/2022</t>
  </si>
  <si>
    <t>09/04/2022</t>
  </si>
  <si>
    <t>17/04/2022</t>
  </si>
  <si>
    <t>25/04/2022</t>
  </si>
  <si>
    <t>pedidos V5077355 e  V5077358</t>
  </si>
  <si>
    <t>Deposito 449 (Gapaz x Supreme)</t>
  </si>
  <si>
    <t>19/04/2022</t>
  </si>
  <si>
    <t>01 DE 04</t>
  </si>
  <si>
    <t xml:space="preserve">ARTEC SERVIÇOS DE ENGENHARIA </t>
  </si>
  <si>
    <t xml:space="preserve">5% RT - PGTO FINAL DA OBRA </t>
  </si>
  <si>
    <t>21/04/2022</t>
  </si>
  <si>
    <t>MARIA ISABEL NAJM E FLÁVIO-SÃO PAULO</t>
  </si>
  <si>
    <t>22/04/2022</t>
  </si>
  <si>
    <t>PEDIDO PARCELADO EM 5X</t>
  </si>
  <si>
    <t>3/10</t>
  </si>
  <si>
    <t>APURAÇÃO março 2022</t>
  </si>
  <si>
    <t>Exclusão marcenaria &gt; diminuindo valor gerenciamento</t>
  </si>
  <si>
    <t>25/05/2022</t>
  </si>
  <si>
    <t>25/06/2022</t>
  </si>
  <si>
    <t>26/04/2022</t>
  </si>
  <si>
    <t>ARTACHOS DECORAÇÕES (Com. Tapeçaria e Colchões Artachos)</t>
  </si>
  <si>
    <t>28/04/2022</t>
  </si>
  <si>
    <t xml:space="preserve">DARF_IRPJ_trimestral </t>
  </si>
  <si>
    <t>trimestral</t>
  </si>
  <si>
    <t>DARF_CSLL_trimestral</t>
  </si>
  <si>
    <t>SALÁRIO JULYA</t>
  </si>
  <si>
    <t>02/05/2022</t>
  </si>
  <si>
    <t>REFERENTE :MARÇO E ABRIL</t>
  </si>
  <si>
    <t>05/05/2022</t>
  </si>
  <si>
    <t>20/05/2022</t>
  </si>
  <si>
    <t>10/12</t>
  </si>
  <si>
    <t>30/04/2022</t>
  </si>
  <si>
    <t>2/8</t>
  </si>
  <si>
    <t>29/05/2022</t>
  </si>
  <si>
    <t>03/05/2022</t>
  </si>
  <si>
    <t>2/41</t>
  </si>
  <si>
    <t>RT - ORLEAN (MGS COM PAPÉIS E TECIDOS)</t>
  </si>
  <si>
    <t>RONEI GOMES E CLAUDIA</t>
  </si>
  <si>
    <t>DANIELA CALITO  e WILLIAM GUIDINI</t>
  </si>
  <si>
    <t>07/06/2022</t>
  </si>
  <si>
    <t>24/04/2022</t>
  </si>
  <si>
    <t>REF: 04/21 _VENC 05/22</t>
  </si>
  <si>
    <t>06/05/2022</t>
  </si>
  <si>
    <t>11/05/2022</t>
  </si>
  <si>
    <t>15/05/2022</t>
  </si>
  <si>
    <t>10/05/2022</t>
  </si>
  <si>
    <t>ALESSANDRA DELGADO DESIGN (GIRONA)</t>
  </si>
  <si>
    <t>13/05/2022</t>
  </si>
  <si>
    <t xml:space="preserve">Transf 449 (Gapaz r \suprema) </t>
  </si>
  <si>
    <t>14/05/2022</t>
  </si>
  <si>
    <t>16/05/2022</t>
  </si>
  <si>
    <t>23/04/2022</t>
  </si>
  <si>
    <t>NF194-PORTOBELLO (PBTECH E SERV)</t>
  </si>
  <si>
    <t>PEDIDO 610795</t>
  </si>
  <si>
    <t>BANDEJA ACRILICI_IVANILDO DAVID GONÇALVES</t>
  </si>
  <si>
    <t>17/05/2022</t>
  </si>
  <si>
    <t>NF 199</t>
  </si>
  <si>
    <t>18/05/2022</t>
  </si>
  <si>
    <t>31/05/2022</t>
  </si>
  <si>
    <t>Não teve NF</t>
  </si>
  <si>
    <t>ALLFORM DESIGN</t>
  </si>
  <si>
    <t>Pedido 1079 e 1088</t>
  </si>
  <si>
    <t>19/05/2022</t>
  </si>
  <si>
    <t>FARIZE MURAD</t>
  </si>
  <si>
    <t>PROJETO DE ARQUITETURA FARIZE MURAD - 1 DE 4</t>
  </si>
  <si>
    <t>12/05/2022</t>
  </si>
  <si>
    <t>Baú 3.800,00</t>
  </si>
  <si>
    <t>ANA PAULA E ROGÉRIO</t>
  </si>
  <si>
    <t>GASTOS EXTRAS -  CORREIOS</t>
  </si>
  <si>
    <t>22/05/2022</t>
  </si>
  <si>
    <t>4/10</t>
  </si>
  <si>
    <t>23/05/2022</t>
  </si>
  <si>
    <t>ACRILICO_WELLINGTON</t>
  </si>
  <si>
    <t>24/05/2022</t>
  </si>
  <si>
    <t>30/05/2022</t>
  </si>
  <si>
    <t>11/12</t>
  </si>
  <si>
    <t>DESPESA ENCERRADA</t>
  </si>
  <si>
    <t>PEDIDO 292387</t>
  </si>
  <si>
    <t>Pedido All 1062</t>
  </si>
  <si>
    <t>27/05/2022</t>
  </si>
  <si>
    <t>09/06/2022</t>
  </si>
  <si>
    <t>11/06/2022</t>
  </si>
  <si>
    <t>3/41</t>
  </si>
  <si>
    <t>30/06/2022</t>
  </si>
  <si>
    <t>ENEL ITAIM</t>
  </si>
  <si>
    <t>MEDIDOR 5332465</t>
  </si>
  <si>
    <t>26/05/2022</t>
  </si>
  <si>
    <t>4/41</t>
  </si>
  <si>
    <t>18/06/2022</t>
  </si>
  <si>
    <t>01/06/2022</t>
  </si>
  <si>
    <t>20/06/2022</t>
  </si>
  <si>
    <t>05/06/2022</t>
  </si>
  <si>
    <t>3/8</t>
  </si>
  <si>
    <t>29/06/2022</t>
  </si>
  <si>
    <t>DESCONTADOS DIAS  16-17-24</t>
  </si>
  <si>
    <t>02/06/2022</t>
  </si>
  <si>
    <t>MN ARQUITETURA_ ELÉTRICA ANDRA</t>
  </si>
  <si>
    <t>RECEBIMENTO DE  FORNECEDOR</t>
  </si>
  <si>
    <t>PAGAMENTO FORNECEDOR</t>
  </si>
  <si>
    <t>REFERENTE AO MÊS DE MARÇO</t>
  </si>
  <si>
    <t>03/06/2022</t>
  </si>
  <si>
    <t>10/06/2022</t>
  </si>
  <si>
    <t>06/06/2022</t>
  </si>
  <si>
    <t>08/06/2022</t>
  </si>
  <si>
    <t>REF: 05/21 _VENC 06/22</t>
  </si>
  <si>
    <t>referente ao deposito 2.090,00</t>
  </si>
  <si>
    <t>RT - GENIO DO MARMORE</t>
  </si>
  <si>
    <t>03 ROLOS PLOTTER</t>
  </si>
  <si>
    <t>RT - AL FRAME</t>
  </si>
  <si>
    <t>17/06/2022</t>
  </si>
  <si>
    <t>DIFERENÇA PGTO_DIARIASTA_JULIANA COSTA SOARES</t>
  </si>
  <si>
    <t>Transferência bancária</t>
  </si>
  <si>
    <t>STEPHANIE E ENRICO</t>
  </si>
  <si>
    <t>QUARTO ALBERTO</t>
  </si>
  <si>
    <t>13/06/2022</t>
  </si>
  <si>
    <t>VERENA BARBOSA OLIVEIRA AZANHA</t>
  </si>
  <si>
    <t>15/06/2022</t>
  </si>
  <si>
    <t>Pedido 1287
RT DESDE DEZEMBRO/21 -  PENDENTE PARA PAGAMENTO</t>
  </si>
  <si>
    <t>EDIFICIO SUPREME_SHOPPING GARDEN SUL</t>
  </si>
  <si>
    <t xml:space="preserve">Reembolso realizado pela MN &gt; Shopping Garden Sul </t>
  </si>
  <si>
    <t>TODESCHINI - TATUAPÉ ( Ally M Chain Planejados)</t>
  </si>
  <si>
    <t>07/05/2022</t>
  </si>
  <si>
    <t xml:space="preserve">10% </t>
  </si>
  <si>
    <t>RT - PAGLIOTTO DESIGN</t>
  </si>
  <si>
    <t>04/05/2022</t>
  </si>
  <si>
    <t>CRIS BERTOLUCCI</t>
  </si>
  <si>
    <t>Para solicitar NF&gt; financeiro@cristianabertolucci.com.br</t>
  </si>
  <si>
    <t>PROJETO DE ARQUITETURA FARIZE MURAD - 2DE 4</t>
  </si>
  <si>
    <t>12/06/2022</t>
  </si>
  <si>
    <t>19/06/2022</t>
  </si>
  <si>
    <t>12652248000116</t>
  </si>
  <si>
    <t>CRISTIANA BERTOLUCCI</t>
  </si>
  <si>
    <t>RT EDIFICIO SUPREME PEDIDO 4895</t>
  </si>
  <si>
    <t>14/06/2022</t>
  </si>
  <si>
    <t xml:space="preserve">RT - 10% COM NF 
Data: 20/06/2022 
Debitado da Conta-Corrente de Maria Isabel Correa Najm Strapet
Agência e conta do débito: 1233 Conta-Corrente: 2750-2
Agência e conta do crédito: 2713 Conta-Corrente: 10554-6
Favorecido: Innovare Comercio De Moveis E Ob
Valor: 1.414,55 N° de Documento: 2713454
Data do débito: 20/06/2022
</t>
  </si>
  <si>
    <t>21/06/2022</t>
  </si>
  <si>
    <t>58326182000175</t>
  </si>
  <si>
    <t>WEBDAS</t>
  </si>
  <si>
    <t>1/4 - HOSPEDAGEM SITE 1/4</t>
  </si>
  <si>
    <t>Alteração site MN</t>
  </si>
  <si>
    <t>RT - STR_AR CONDICIONADO (STRATEGY BOX)</t>
  </si>
  <si>
    <t>Pedido AAFUQ1 e AAFURK</t>
  </si>
  <si>
    <t>STR_AR CONDICIONADO (STRATEGY BOX)</t>
  </si>
  <si>
    <t>22/06/2022</t>
  </si>
  <si>
    <t>OBRA FÁCIL (Mark Uo Part)</t>
  </si>
  <si>
    <t>Pontuações: Cliente Márcio Borges 
Pedido 262890
Depósito bancário é realizado pela empresa MARK UP PART</t>
  </si>
  <si>
    <t>5/10</t>
  </si>
  <si>
    <t>23/06/2022</t>
  </si>
  <si>
    <t>BED &amp; DESIGN</t>
  </si>
  <si>
    <t>PEDIDO 36668 - Valor R$ 2.799,00</t>
  </si>
  <si>
    <t>24/06/2022</t>
  </si>
  <si>
    <t>RT - DIVETRO_PENDURE</t>
  </si>
  <si>
    <t>LUANA NASSER E RODRIGO NASSER</t>
  </si>
  <si>
    <t>1/2 - PROJETO 1/2</t>
  </si>
  <si>
    <t>01/07/2022</t>
  </si>
  <si>
    <t>4/8</t>
  </si>
  <si>
    <t>VALE TRANSPORTE _ELIANE &gt;referente mês de julho</t>
  </si>
  <si>
    <t>29/07/2022</t>
  </si>
  <si>
    <t>Referente 21 dias 
Ida/Volta  - 17,60
Valor Unitário: 4,40</t>
  </si>
  <si>
    <t>05/07/2022</t>
  </si>
  <si>
    <t>SODEXO - Eliane</t>
  </si>
  <si>
    <t>20/07/2022</t>
  </si>
  <si>
    <t>26/07/2022</t>
  </si>
  <si>
    <t>PAGAMENTO COLABORADOR</t>
  </si>
  <si>
    <t>SALARIO FELIPE - ESTAGIÁRIO</t>
  </si>
  <si>
    <t>SALÁRIO &gt; KAUÊ AMARIZ DA CUNHA 1/7</t>
  </si>
  <si>
    <t>CPF 42793201871
Nu pagamentos S.A 260
Número da conta - 43333921 - 3
Agência 0001
Pix - e-mail - kcunha195@gmail.com</t>
  </si>
  <si>
    <t>01/08/2022</t>
  </si>
  <si>
    <t>18578178000180</t>
  </si>
  <si>
    <t>ESPAÇO REFORMAR (DMP)</t>
  </si>
  <si>
    <t>RT - CRISTIANE UFLACKER + RONEI+WILLIAM GUIDINI</t>
  </si>
  <si>
    <t>CRISTIANE UFLACKER  - 2.743,13
RONEI - 2.842,00
WILLIAM GUIDINI - 2.500,00</t>
  </si>
  <si>
    <t>04/07/2022</t>
  </si>
  <si>
    <t>07996042000173</t>
  </si>
  <si>
    <t>ED SUPREME</t>
  </si>
  <si>
    <t>REEMBOLSO REF A COMPRA RIACHUELO E GRANADO</t>
  </si>
  <si>
    <t>26/06/2022</t>
  </si>
  <si>
    <t xml:space="preserve">REEMBOLSO </t>
  </si>
  <si>
    <t>Despesas Escritório</t>
  </si>
  <si>
    <t>REF: 06/21 _VENC 07/22</t>
  </si>
  <si>
    <t>Gerenciamento de Projeto MN Arquitetura e Interiores Ltda.</t>
  </si>
  <si>
    <t>21996005000196</t>
  </si>
  <si>
    <t>DPOT (FEMA COM.DE MÓVEIS)</t>
  </si>
  <si>
    <t>RT - MARIA ISABEL C NAJM  e MANUELA REZENDE</t>
  </si>
  <si>
    <t>RESERVA TÉCNICA O VALOR INCLUI RT DA CLIENTE MANUELA REZENDE 
TOTAL DE RT REFERE-SE AOS PEDIDOS: 157491 - 157445
NF207</t>
  </si>
  <si>
    <t>06/07/2022</t>
  </si>
  <si>
    <t>17/07/2022</t>
  </si>
  <si>
    <t>PREFEITURA - SP</t>
  </si>
  <si>
    <t>1/2 - TFE - TAXA DE FISCALIZAÇÃO DE ESTABELECIMENTOS 1/2</t>
  </si>
  <si>
    <t>11/07/2022</t>
  </si>
  <si>
    <t>06/08/2022</t>
  </si>
  <si>
    <t>MATERIAIS DE ESCRITÓRIO</t>
  </si>
  <si>
    <t>Cartão de débito</t>
  </si>
  <si>
    <t>- kit 04 pilhas &gt; Pilha Duracell AAA3</t>
  </si>
  <si>
    <t>11426816000106</t>
  </si>
  <si>
    <t>ESTAR MÓVEIS (CASA ESTAR COM)</t>
  </si>
  <si>
    <t>RT - JULIANA COVINO E THIAGO RAPUANO ESTAR MÓVEIS</t>
  </si>
  <si>
    <t>14/07/2022</t>
  </si>
  <si>
    <t>Reserva técnica referente: PV 53118 - PV 53791
VALOR: 920,00 + 172,50</t>
  </si>
  <si>
    <t>13/07/2022</t>
  </si>
  <si>
    <t>08/07/2022</t>
  </si>
  <si>
    <t>15/07/2022</t>
  </si>
  <si>
    <t>RT - GABRIELA BORGES  - 5 DE 6</t>
  </si>
  <si>
    <t>09/07/2022</t>
  </si>
  <si>
    <t>PROJETO DE ARQUITETURA FARIZE MURAD - 3 DE 4</t>
  </si>
  <si>
    <t>12/07/2022</t>
  </si>
  <si>
    <t>19/07/2022</t>
  </si>
  <si>
    <t>18/07/2022</t>
  </si>
  <si>
    <t>11466583000167</t>
  </si>
  <si>
    <t>ELIAS MARCENEIRO</t>
  </si>
  <si>
    <t>RT PATRICIA NAJM</t>
  </si>
  <si>
    <t xml:space="preserve">Transferência : Raquel Araújo Dias &gt; Ag: 0846 - Cc 16056-2 &gt; Reserva Técnica Elias Marceneiro </t>
  </si>
  <si>
    <t>30/07/2022</t>
  </si>
  <si>
    <t>5/41</t>
  </si>
  <si>
    <t>2/4 - HOSPEDAGEM SITE 2/4</t>
  </si>
  <si>
    <t>21/07/2022</t>
  </si>
  <si>
    <t>DARFS ATUALIZADOS DE 2019</t>
  </si>
  <si>
    <t xml:space="preserve">DARF PIS - 05-2019 - Valor R$ 130,96
DARF PIS - 07-2019 - Valor R$ 120,67
DARF IRPJ - 06-2019 - Valor R$ 930,64
DARF IRPJ - 09-2019 - Valor R$ 907,55
DARF CSLL - 06-2019 - Valor R$ 577,80
DARF CSLL - 09-2019 - Valor R$ 525,31
DARF COFINS - 05-2019 - Valor R$ 604,42
DARF COFINS - 07 - 2019 - Valor R$ 556,94
</t>
  </si>
  <si>
    <t>Impostos sobre Serviços</t>
  </si>
  <si>
    <t>DARF_CSLL</t>
  </si>
  <si>
    <t>2/2 - TFE - TAXA DE FISCALIZAÇÃO DE ESTABELECIMENTOS 2/2</t>
  </si>
  <si>
    <t>11/08/2022</t>
  </si>
  <si>
    <t>05/09/2022</t>
  </si>
  <si>
    <t>21137007000120</t>
  </si>
  <si>
    <t>INCASA (iNNOVARE)</t>
  </si>
  <si>
    <t>RT - MARIA ISABEL CORRÊA NAJM STRAPETTI</t>
  </si>
  <si>
    <t>RT 10% - FORNECEDOR EXIGE EMISSÃO DE NF</t>
  </si>
  <si>
    <t>DARF_IRPJ_Referente mês 06</t>
  </si>
  <si>
    <t>DARF_COFINS_Referente ao mês 06</t>
  </si>
  <si>
    <t>25/07/2022</t>
  </si>
  <si>
    <t>ATENÇÃO:
VENCIMENTO TODO DIA 25, EM CASO DE FERIADO/FINAL DE SEMANA O PAGAMENTO DEVERÁ SER ANTECIPADO OU SERÁ CONSIDERADO</t>
  </si>
  <si>
    <t>ANA LUIZA  E FABIO CORREA NAJM</t>
  </si>
  <si>
    <t>1/3 - PROJETO 1/3</t>
  </si>
  <si>
    <t>Pagamento instantâneo</t>
  </si>
  <si>
    <t>DARF_CLSS_TRIMESTRAL</t>
  </si>
  <si>
    <t>DESPESAS TRIMESTRAIS</t>
  </si>
  <si>
    <t>RT - PATRICIA MEIRELLES</t>
  </si>
  <si>
    <t>Cheque</t>
  </si>
  <si>
    <t>REFERENTE PAGAMENTO DE RT PEDIDO  158812
Nome Fantasia: CLAMI | DPOT 
Razão: Fema Comércio</t>
  </si>
  <si>
    <t>22/07/2022</t>
  </si>
  <si>
    <t>07722501000120</t>
  </si>
  <si>
    <t>STR AR CONDICIONADO</t>
  </si>
  <si>
    <t>RT DANIELA CALITO_WILLIAM  E CRISTIANE UFLACKER_RICARDO GALVÃO</t>
  </si>
  <si>
    <t>REFERENTE PEDIDO MÊS DE MAIO</t>
  </si>
  <si>
    <t>6/10</t>
  </si>
  <si>
    <t>RT MARIELLA MATAVELLI</t>
  </si>
  <si>
    <t>CARREFOUR - MATERIAIS DE LIMPEZA E HIGIENE</t>
  </si>
  <si>
    <t>Materiais de Limpeza e de Higiene</t>
  </si>
  <si>
    <t>2ª - BRENO FERREIRA L MONTEIRO &gt;Referente espelho da Mariella</t>
  </si>
  <si>
    <t>Referente a 2ª parcela de pagamento do espelho&gt; Cliente: Mariella</t>
  </si>
  <si>
    <t>72811581000152</t>
  </si>
  <si>
    <t>RT EDIFICIO SUPREME+ THAIS KOCH</t>
  </si>
  <si>
    <t>RT- Pedido 14118700 -  Condomínio Edificio Supreme - R$ 805,72
Pedido 14118864 - Thais Farias Koch Mello   R$ 49,77</t>
  </si>
  <si>
    <t>12576817000191</t>
  </si>
  <si>
    <t>MAISON ( BY KAMY)</t>
  </si>
  <si>
    <t>RT - Mª ISABEL C NAJM</t>
  </si>
  <si>
    <t>07/07/2022</t>
  </si>
  <si>
    <t>28/07/2022</t>
  </si>
  <si>
    <t>ELETROLUX - REFIL DO FILTRO DE ÁGUA</t>
  </si>
  <si>
    <t>Cobrança PIX</t>
  </si>
  <si>
    <t>AUTORIZADA Electrolux Top Service &amp; Outlet
Endereço: R. Prof. Serafim Orlandi, 146 - Jardim Vila Mariana, São Paulo - SP, 04115-090
Telefone: (11) 3004-8677</t>
  </si>
  <si>
    <t>JULIANA E TIAGO KOCH</t>
  </si>
  <si>
    <t>1/4 - Projeto de arquitetura de interiores 1/4</t>
  </si>
  <si>
    <t>RT - CODEX HOME</t>
  </si>
  <si>
    <t>30/08/2022</t>
  </si>
  <si>
    <t xml:space="preserve">REFERENTE PEDIDO 6243 - NÃO IDENTIFICADO NA REDE </t>
  </si>
  <si>
    <t>2/2 - PROJETO 2/2</t>
  </si>
  <si>
    <t>RT - CRISTIANE UFLACKER E RICARDO GALVÃO</t>
  </si>
  <si>
    <t>Recebimento referente ao depósito realizado no dia 29/07 - 02 RT's:
2.500,00 - William Guidini
2.150,00 - Cristiane Uflacker</t>
  </si>
  <si>
    <t>RT - 03 DE 05 - WILLIAM E DANI CALITO</t>
  </si>
  <si>
    <t>DEPOSITADO VALOR TOTAL: 4.650,00
WILLIAM - 2.500,00
CRISTIANE - 2.150,00</t>
  </si>
  <si>
    <t>20/08/2022</t>
  </si>
  <si>
    <t>05/08/2022</t>
  </si>
  <si>
    <t>5/8</t>
  </si>
  <si>
    <t>29/08/2022</t>
  </si>
  <si>
    <t>LIMPEZA_JULIANA COSTA SOARES - 4 DIÁRIAS/JULHO 22</t>
  </si>
  <si>
    <t>REFERENTE AS DIAS DOS DIAS 06-13-20-27</t>
  </si>
  <si>
    <t>24/07/2022</t>
  </si>
  <si>
    <t>REF: 07/21 _VENC 08/22</t>
  </si>
  <si>
    <t>Projeto MN Arquitetura e Interiores Ltda.</t>
  </si>
  <si>
    <t>Pagamento referente Gerenciamento</t>
  </si>
  <si>
    <t>GERENCIAMENTO OBRA</t>
  </si>
  <si>
    <t>1/5 - SALÁRIO - MARCELA S CAVALCANTE 1/5</t>
  </si>
  <si>
    <t>Marcela Santana Cavalcante
CPF 469.884.048-13
Data Nasc - 25/12/99
Contato: 011 - 9-8216-5601
E-mail: ma.santana456@gmail.com
Dados Bancário:
Banco: Nubank
Ag: 0001
Cc: 47598749-6</t>
  </si>
  <si>
    <t>Pagamento Salário</t>
  </si>
  <si>
    <t>KAUÊ - SERVIÇO DE FREELANCER 3D</t>
  </si>
  <si>
    <t>02/08/2022</t>
  </si>
  <si>
    <t>1/2 - REEMBOLSO_MN ARQUITETURA_REF VAZAMENTO DA SALA 1/2</t>
  </si>
  <si>
    <t>DESPESAS GERENCIAMENTO DE PROJETO</t>
  </si>
  <si>
    <t>03/08/2022</t>
  </si>
  <si>
    <t>05481457000189</t>
  </si>
  <si>
    <t>BONTEMPO (ISAGE COMERCIO DE MOVEIS)</t>
  </si>
  <si>
    <t>RT - FELIPE REALES - CONTRATO 920301</t>
  </si>
  <si>
    <t>REFERENTE AO CONTRATO 920301</t>
  </si>
  <si>
    <t>DOC 237.2318 CLODOALDO F</t>
  </si>
  <si>
    <t>RT -NÃO IDENTIFICADO FORNECEDOR/CLIENTE</t>
  </si>
  <si>
    <t>01/09/2022</t>
  </si>
  <si>
    <t>08/08/2022</t>
  </si>
  <si>
    <t>01236114000106</t>
  </si>
  <si>
    <t>PAGLIOTTO</t>
  </si>
  <si>
    <t>RT  EDIFICIO  SUPREME</t>
  </si>
  <si>
    <t>04/06/2022</t>
  </si>
  <si>
    <t>15/08/2022</t>
  </si>
  <si>
    <t>Referente a NF 203</t>
  </si>
  <si>
    <t>10/08/2022</t>
  </si>
  <si>
    <t>17/08/2022</t>
  </si>
  <si>
    <t>02129744000217</t>
  </si>
  <si>
    <t>DECORLIGHT  ILUMINAÇÃO</t>
  </si>
  <si>
    <t>RT -  Vanessa pedido 4247</t>
  </si>
  <si>
    <t>RT - 10%</t>
  </si>
  <si>
    <t>12/08/2022</t>
  </si>
  <si>
    <t>RT - PATRICIA NAJM</t>
  </si>
  <si>
    <t>12/09/2022</t>
  </si>
  <si>
    <t>8/12 - TELEFONIA E INTERNET</t>
  </si>
  <si>
    <t>VIVO FIXO</t>
  </si>
  <si>
    <t>42800463000188</t>
  </si>
  <si>
    <t>BRETON_ BIOMA</t>
  </si>
  <si>
    <t>RT -MARIELLA MATAVELLI</t>
  </si>
  <si>
    <t>16/08/2022</t>
  </si>
  <si>
    <t>PROJETO DE ARQUITETURA FARIZE MURAD - 4 DE 4 -</t>
  </si>
  <si>
    <t>13924289000187</t>
  </si>
  <si>
    <t>TESOURO LASER (ITAIM PRINT COPIAS E IMPRESSOES LTDA)</t>
  </si>
  <si>
    <t>IMPRESSÕES:Stephanie/Mario e Roberta/ Ma Isabe e Flavio? Fabio e Ana Luiza</t>
  </si>
  <si>
    <t xml:space="preserve">15 - A3 - Stephanie
09 A1 dos demais </t>
  </si>
  <si>
    <t>05876012001331</t>
  </si>
  <si>
    <t>PORTOBELLO - VILA OLIMPIA</t>
  </si>
  <si>
    <t>RT - GABRIELA BORGES - PEDIDO 294461</t>
  </si>
  <si>
    <t>2/4 - Projeto de arquitetura de interiores 2/4</t>
  </si>
  <si>
    <t>27/08/2022</t>
  </si>
  <si>
    <t>REFERENTE NF 215</t>
  </si>
  <si>
    <t>32887793000107</t>
  </si>
  <si>
    <t>J&amp;E Moveis Planejados</t>
  </si>
  <si>
    <t>1/2 - RT Projeto STEPHANIE PICCIOTTO 1/2</t>
  </si>
  <si>
    <t>RT  10% do valor recebido e ao final + 10%</t>
  </si>
  <si>
    <t>3/4 - HOSPEDAGEM SITE 3/4</t>
  </si>
  <si>
    <t>2/3 - PROJETO 2/3</t>
  </si>
  <si>
    <t>22/08/2022</t>
  </si>
  <si>
    <t>43283811000907</t>
  </si>
  <si>
    <t>KALUNGA  - MATERIASI ESCRITÓRIO</t>
  </si>
  <si>
    <t>Cartão de crédito</t>
  </si>
  <si>
    <t>7/10</t>
  </si>
  <si>
    <t>23/08/2022</t>
  </si>
  <si>
    <t>31 IMPRESSÕES A4- TIAGO KOCH</t>
  </si>
  <si>
    <t>10652922000218</t>
  </si>
  <si>
    <t>PORMADE (DRZ DRZ PORTAS ECOLOGICAS)</t>
  </si>
  <si>
    <t>RT GABRIELA BORGES - PEDIDO 199024-1</t>
  </si>
  <si>
    <t>24/08/2022</t>
  </si>
  <si>
    <t>20033995000102</t>
  </si>
  <si>
    <t>RT PATRICIA MEIRELLES PEDIDO6452 / PEDIDOS: 6338 E 6346</t>
  </si>
  <si>
    <t>25/08/2022</t>
  </si>
  <si>
    <t>31/07/2022</t>
  </si>
  <si>
    <t>RT ANA CAROLINA BERTONI + RT RICARDO GALVÃO</t>
  </si>
  <si>
    <t>Ana Carolina Bertoni - Pedido: 00637387
Ana Carolina Bertoni - Pedido: 00645103
Ricardo Galvão (Cris Uflacker) - Pedido: 00655400</t>
  </si>
  <si>
    <t>26/08/2022</t>
  </si>
  <si>
    <t>FGTS &gt; Recolhimento referente a Julho</t>
  </si>
  <si>
    <t>RT - 04 DE 05  DANIELA CALITO E WILLIAM GUIDINI</t>
  </si>
  <si>
    <t>09/09/2022</t>
  </si>
  <si>
    <t>RT - 02 DE 3  - CLAUDIA E RONEI</t>
  </si>
  <si>
    <t>6/41</t>
  </si>
  <si>
    <t>31/08/2022</t>
  </si>
  <si>
    <t>01701923000133</t>
  </si>
  <si>
    <t>RT - GABRIELA BORGES PEDIDO -  1461</t>
  </si>
  <si>
    <t>RT APÓS 2A PAGTO PARC DO CLIENTE</t>
  </si>
  <si>
    <t>33796134000110</t>
  </si>
  <si>
    <t>CASA MANSUR (ATELIER PRODUTOS)</t>
  </si>
  <si>
    <t>RT DANIELA CALITO E WILLIAM GUIDINI</t>
  </si>
  <si>
    <t>CONSULTORIA PROJETO MN ARQUITETURA E INTERIORES LTDA</t>
  </si>
  <si>
    <t>10/07/2022</t>
  </si>
  <si>
    <t>08348069000112</t>
  </si>
  <si>
    <t>INDUSPARQUET (EXOTIC FLOORS)</t>
  </si>
  <si>
    <t>RT - DANIELA CALITO E WILLIAM PEDIDO 108726</t>
  </si>
  <si>
    <t>% a confirmar</t>
  </si>
  <si>
    <t>RT STEPHANIE E ENRICO -  PEDIDO 266983</t>
  </si>
  <si>
    <t>DANIELLE E DANTE_COPAN</t>
  </si>
  <si>
    <t>1/2 - PROJETO COPAN MN ARQUITETURA  E INTERIORES  1/2</t>
  </si>
  <si>
    <t>1ª TRANSFERÊNCIA REALIZADA POR : MARCELO DI GENARO</t>
  </si>
  <si>
    <t>ELAINE CRISTINA F M VIOLINI</t>
  </si>
  <si>
    <t>1/3 - PAGAMENTO DE PROJETO  1/3</t>
  </si>
  <si>
    <t>O VALOR DO GERENCIAMENTO JÁ ESTÁ INCLUSO NO VALOR DO PROJETO.</t>
  </si>
  <si>
    <t xml:space="preserve">PROJETO+GERENCIAMENTO </t>
  </si>
  <si>
    <t>30/09/2022</t>
  </si>
  <si>
    <t>REF: 08/21 _VENC 09/22</t>
  </si>
  <si>
    <t>6/8</t>
  </si>
  <si>
    <t>29/09/2022</t>
  </si>
  <si>
    <t>LIMPEZA_JULIANA COSTA SOARES_4 DIÁRIAS</t>
  </si>
  <si>
    <t>26/09/2022</t>
  </si>
  <si>
    <t>2/5 - SALÁRIO - MARCELA S CAVALCANTE 2/5</t>
  </si>
  <si>
    <t>2/2 - REEMBOLSO_MN ARQUITETURA_REF VAZAMENTO DA SALA 2/2</t>
  </si>
  <si>
    <t>02/09/2022</t>
  </si>
  <si>
    <t>06/09/2022</t>
  </si>
  <si>
    <t>07007228000152</t>
  </si>
  <si>
    <t>LILIAN PIMENTA ( Pimenta Bueno Decoração e Moda Ltda.)</t>
  </si>
  <si>
    <t>RT -STEPHANIE PICCIOTTO -ORÇ 02/08/2022</t>
  </si>
  <si>
    <t>08/09/2022</t>
  </si>
  <si>
    <t>LELIS DESIGN</t>
  </si>
  <si>
    <t>30 dias após pagamento do pedido</t>
  </si>
  <si>
    <t>DESPESAS - MAERIAL DE LIMPEZA</t>
  </si>
  <si>
    <t>39586589000197</t>
  </si>
  <si>
    <t>ZEEA ( Julia Vieira Machado  Móveis)</t>
  </si>
  <si>
    <t>RT GABRIELA BORGES</t>
  </si>
  <si>
    <t>20/09/2022</t>
  </si>
  <si>
    <t>RT 10%</t>
  </si>
  <si>
    <t>RT GABRIELA BORGES - PEDIDO 8040166</t>
  </si>
  <si>
    <t>15/09/2022</t>
  </si>
  <si>
    <t>RT - GUSTAVO FRANCO LOPES - PEDIDO 8040388</t>
  </si>
  <si>
    <t>Valor do Pedido: 40.000,00</t>
  </si>
  <si>
    <t>RT RICARDO GALVÃO_CRIS UFLACKER-8040199</t>
  </si>
  <si>
    <t>Extrato pagamento 4.561,04 &gt;
 Incluindo &gt; Ricardo Galvão 891,78 + Gustavo - 3.669,31</t>
  </si>
  <si>
    <t>19667770000110</t>
  </si>
  <si>
    <t>ANTARES DIGITAL LIFE (ANTARES TECH)</t>
  </si>
  <si>
    <t>1/4 - RT - RIVIEIRA - COND. ED ALMIRANTE  - MARIA ISABEL NAJM E FABIO NAJM 1/4</t>
  </si>
  <si>
    <t>19/10/2022</t>
  </si>
  <si>
    <t>16/09/2022</t>
  </si>
  <si>
    <t>Cliente: MARIA ISABEL CORREA NAJM STRAPETTI 
valor da Venda : 95.000,,00
RT: 5% = 4.750,00
16/09/22 - 2.125,00	
21/10/22 - 1.050,00
18/11/22 -  1.050,00
17/02/23 - 525,00( final da instalação do cliente , caso não finalize a obra no mês 02/23, o vencimento vai ser alterado.
Cliente: FABIO CORREA NAJM
valor da Venda : 95.000,,00
RT: 5% = 4.750,00
16/09/22 - 2.125,00
21/10/22- 1.050,00	
18/11/22- 1050,00	
17/02/23- 525,00( final da instalação do cliente , caso não finalize a obra no mês 02/23, o vencimento vai ser alterado.</t>
  </si>
  <si>
    <t>RT - JULIANA COVINO</t>
  </si>
  <si>
    <t>19/09/2022</t>
  </si>
  <si>
    <t>7/41</t>
  </si>
  <si>
    <t>18/09/2022</t>
  </si>
  <si>
    <t>4/4 - HOSPEDAGEM SITE 4/4</t>
  </si>
  <si>
    <t>DARF PASS WORLD COM EIRELLE</t>
  </si>
  <si>
    <t>DIFERENÇA SOBRE DEPOSITO  AO VALOR BRUTO</t>
  </si>
  <si>
    <t>DARF'S</t>
  </si>
  <si>
    <t>25/09/2022</t>
  </si>
  <si>
    <t>ATENÇÃO:
VENCIMENTO TODO DIA 25, EM CASO DE FERIADO/FINAL DE SEMANA O PAGAMENTO DEVERÁ SER ANTECIPADO OU SERÁ CONSIDERADO
*Data de vencimento dia 25 Domingo, deverá ser pago no dia 23*</t>
  </si>
  <si>
    <t>18351607000181</t>
  </si>
  <si>
    <t>PROMÓVEIS</t>
  </si>
  <si>
    <t>RT - DANIELA CALITO E WILLIAM - ORÇ 0101/22+GABRIELA BORGES</t>
  </si>
  <si>
    <t xml:space="preserve">NÃO MENCIONAR TERMO DE RT . PROMOVEIS DÁ BONIFICAÇÃO </t>
  </si>
  <si>
    <t>3/3 - PROJETO 3/3</t>
  </si>
  <si>
    <t>22544181000664</t>
  </si>
  <si>
    <t>DIMLUX (STUDIO GUSTAVO DI MENNO )</t>
  </si>
  <si>
    <t>RT - MARIA ISABEL - PEDIDO 85184</t>
  </si>
  <si>
    <t>14/09/2022</t>
  </si>
  <si>
    <t xml:space="preserve">RT 10% &gt; EMITIR NF
STUDIO GUSTAVO DI MENNO DE ILUMINACAO - EIRELI.
CNPJ: 22.544.181/0006-64
I.E.: 131.929.448.117
ALAMEDA GABRIEL MONTEIRO DA SILVA, 224 – JARDIM AMERICA – SÃO PAULO – SP
CEP: 01442000
</t>
  </si>
  <si>
    <t>21/09/2022</t>
  </si>
  <si>
    <t>RT - RONEI E CLAUDIA - PEDIDO:  8040578</t>
  </si>
  <si>
    <t>22/09/2022</t>
  </si>
  <si>
    <t>00785263000153</t>
  </si>
  <si>
    <t>RT - DANIELA CALITO E WILLIAM GUIDINI</t>
  </si>
  <si>
    <t>06/10/2022</t>
  </si>
  <si>
    <t xml:space="preserve">PAGAMENTO DA RT É REALIZADO 30 A 40 DIAS APÓS A COMPRA </t>
  </si>
  <si>
    <t>8/10</t>
  </si>
  <si>
    <t>23/09/2022</t>
  </si>
  <si>
    <t>3/4 - Projeto de arquitetura de interiores 3/4</t>
  </si>
  <si>
    <t>13/10/2022</t>
  </si>
  <si>
    <t xml:space="preserve">GERENCIAMENTO PARCELA UNICA  / GERENCIAMENTO PARCELA UNICA - </t>
  </si>
  <si>
    <t>GERENCIAMENTO DE PROJETO&gt;MN ARQUITETURA E INTERIORE</t>
  </si>
  <si>
    <t>RT - MARIELLA MATAVELLI</t>
  </si>
  <si>
    <t>05/10/2022</t>
  </si>
  <si>
    <t>RT - 05 DE 05 -  WILLIAM_DANIELA CALITO</t>
  </si>
  <si>
    <t>RT - 03 DE 03 CLAUDIA E RONEI</t>
  </si>
  <si>
    <t>28/09/2022</t>
  </si>
  <si>
    <t>3/5 - SALÁRIO - MARCELA S CAVALCANTE 3/5</t>
  </si>
  <si>
    <t>03/10/2022</t>
  </si>
  <si>
    <t>01/10/2022</t>
  </si>
  <si>
    <t>24/09/2022</t>
  </si>
  <si>
    <t>referente a folha mensal setembro-22</t>
  </si>
  <si>
    <t>7/8</t>
  </si>
  <si>
    <t>29/10/2022</t>
  </si>
  <si>
    <t>pagamento antecipado do vale transporte devido férias  referente Janeiro/23 que serão os dias gozados.</t>
  </si>
  <si>
    <t>26/10/2022</t>
  </si>
  <si>
    <t>29110156000107</t>
  </si>
  <si>
    <t>BORZO DELIVERY</t>
  </si>
  <si>
    <t>CONVITE CELINA DIAS &gt; MN Arquitetura e Interiores</t>
  </si>
  <si>
    <t>Entregas para as clientes:
- Daniela Calito e William
- Stephanie Piciotto
- Juliana e Tiago Koch
- Simone Saccab
Gisela Saback</t>
  </si>
  <si>
    <t>04/10/2022</t>
  </si>
  <si>
    <t>9/10</t>
  </si>
  <si>
    <t>22/10/2022</t>
  </si>
  <si>
    <t>FÉRIAS + ABONO PECUNIÁRIO - ELIANE - PERIODO AQUISITIVO 22/01/21 A 21/01/22</t>
  </si>
  <si>
    <t>10/10/2022</t>
  </si>
  <si>
    <t>Férias</t>
  </si>
  <si>
    <t>FOLHA DE PAGAMENTO</t>
  </si>
  <si>
    <t>17/11/2022</t>
  </si>
  <si>
    <t>2/3 - PAGAMENTO DE PROJETO  2/3</t>
  </si>
  <si>
    <t>07/10/2022</t>
  </si>
  <si>
    <t>RT DANIELA CALITO E WILLIAM - ORÇ: 48324</t>
  </si>
  <si>
    <t>17/09/2022</t>
  </si>
  <si>
    <t>17/10/2022</t>
  </si>
  <si>
    <t>26180529000209</t>
  </si>
  <si>
    <t>WENTZ</t>
  </si>
  <si>
    <t>RT - PEDIDO 56705 - GABRIELA BORGES</t>
  </si>
  <si>
    <t>14/10/2022</t>
  </si>
  <si>
    <t>11/10/2022</t>
  </si>
  <si>
    <t>18996563000147</t>
  </si>
  <si>
    <t>DUNELLI MÓVEIS (CDDU MOVEIS E DECORACOES)</t>
  </si>
  <si>
    <t>RT - GABRIELA BORGES</t>
  </si>
  <si>
    <t xml:space="preserve">RT 10%$ SOBRE O VALOR LIQUIDO DO PEDIDO - 
S/NF - PAGAMENTO REALIZADO 40 DIAS APÓS PEDIDO </t>
  </si>
  <si>
    <t>COMPRA DE PLANTAS</t>
  </si>
  <si>
    <t>08/10/2022</t>
  </si>
  <si>
    <t>REEMBOLSO ELIANE X HÉLIO MANTENÇÃO</t>
  </si>
  <si>
    <t xml:space="preserve">66,60 - Eliane &gt; Padaria para reunião: Juliana e Tiago Koch e Farize e Leandro
30,00 - Hélio - Manutenção Interprise  - Peça da pia </t>
  </si>
  <si>
    <t>Gastos Extras</t>
  </si>
  <si>
    <t>2/2 - RT Projeto STEPHANIE PICCIOTTO 2/2</t>
  </si>
  <si>
    <t>33382440881</t>
  </si>
  <si>
    <t>DIANA CONTE E DIOGO SCUTA FLAGLIARI</t>
  </si>
  <si>
    <t>1/4 - PROJETO - O PARQUE</t>
  </si>
  <si>
    <t>27/10/2022</t>
  </si>
  <si>
    <t>DADOS PARA NF 
Pessoa Física
Nome Completo:  Diogo scuta Fagliari 
CPF: 333.824.408-81
Endereço: rua estuário 21 casa 4, chácara monte alegre , 04645-100
E-mail: Diogo.fagliari@terra.com.be
Telefone:+55 11 95593-1960</t>
  </si>
  <si>
    <t>1/2 - RT 01 DE 02 DA FASE 02 E 03 - CLAUDIA E RONEI  1/2</t>
  </si>
  <si>
    <t>KALUNGA(Mayara) + CIA BRAS DE DISTRIBUIÇÃO (Natasha)</t>
  </si>
  <si>
    <t>18/10/2022</t>
  </si>
  <si>
    <t>RT - GABRIELA BORGES - PEDIDO 06605</t>
  </si>
  <si>
    <t>31/10/2022</t>
  </si>
  <si>
    <t>4/4 - Projeto de arquitetura de interiores 4/4</t>
  </si>
  <si>
    <t>20/10/2022</t>
  </si>
  <si>
    <t>21/10/2022</t>
  </si>
  <si>
    <t>2/4 - RT - RIVIEIRA - COND. ED ALMIRANTE  - MARIA ISABEL NAJM E FABIO NAJM 2/4</t>
  </si>
  <si>
    <t>RT - RIVIEIRA - COND.ED ALMIRANTE  - MARIA ISABEL NAJM E FÁBIO NAJM - Pedido n° 20471</t>
  </si>
  <si>
    <t xml:space="preserve">Pedido n° 20471
valor da Venda :10.000,00
RT: 5% = 500,00
programação de pagamento 
21/10/2022- 500,00
Cliente:  CONDOMÍNIO EDIFÍCIO ALMIRANTE ( MARIA ISABEL E FLÁVIO)
Pedido n° 20471
valor da Venda :10.000,00
RT: 5% = 500,00
programação de pagamento 
21/10/2022- 500,00
</t>
  </si>
  <si>
    <t>24/10/2022</t>
  </si>
  <si>
    <t>8/41</t>
  </si>
  <si>
    <t>28/10/2022</t>
  </si>
  <si>
    <t>25/10/2022</t>
  </si>
  <si>
    <t>05909339000129</t>
  </si>
  <si>
    <t>OBRA FÁCIL ( MARK UP PART)</t>
  </si>
  <si>
    <t>RESGATE DE PONTOS - pedido 2393662 atreladas no mês de SETEMBRO</t>
  </si>
  <si>
    <t xml:space="preserve">
No. Pedido	Data da Baixa	Nome do Cliente                                 	Valor do Pedido	         Disponível em	
224954 	02/09/2022	MARCIO CALFA ANTONIO	R$                     953,03	                  14/10/2022	
204727	        04/08/2022	RONEI GOMES	                                       2.357,43	                  14/09/2022</t>
  </si>
  <si>
    <t>30/10/2022</t>
  </si>
  <si>
    <t>4/5 - SALÁRIO - MARCELA S CAVALCANTE 4/5</t>
  </si>
  <si>
    <t>01/11/2022</t>
  </si>
  <si>
    <t>DARF CLL</t>
  </si>
  <si>
    <t>RT  - RICARDO GALVÃO - PEDIDO 20867</t>
  </si>
  <si>
    <t>VALOR nf 1450,00</t>
  </si>
  <si>
    <t>GERENCIAMENTO DE PROJETO&gt;MN ARQUITETURA E INTERIORES</t>
  </si>
  <si>
    <t>12/12</t>
  </si>
  <si>
    <t>04/11/2022</t>
  </si>
  <si>
    <t>04365154000138</t>
  </si>
  <si>
    <t>BRENTWOOD (Alameda Móveis)</t>
  </si>
  <si>
    <t>RT - CLAUDIA E RONEI - PEDIDO 193491</t>
  </si>
  <si>
    <t xml:space="preserve">BRENTWOOD SHOPPING D &gt; VENDEDORA MARIA </t>
  </si>
  <si>
    <t>RT VANESSA E ADO - ultima de Obra de Cotia</t>
  </si>
  <si>
    <t>08/11/2022</t>
  </si>
  <si>
    <t xml:space="preserve">REFERENTE ULTIMO PAGAMENTO FALTANTE DA OBRA COTIA </t>
  </si>
  <si>
    <t>3/3 - PAGAMENTO DE PROJETO  3/3</t>
  </si>
  <si>
    <t>05/11/2022</t>
  </si>
  <si>
    <t>07/11/2022</t>
  </si>
  <si>
    <t>06/11/2022</t>
  </si>
  <si>
    <t>SALÁRIO- REF 10 DIAS PECUNIÁRIO_FÉRIAS  ELIANE</t>
  </si>
  <si>
    <t>8/8</t>
  </si>
  <si>
    <t>29/11/2022</t>
  </si>
  <si>
    <t>CONTAAZUL SOFTWARE LTDA</t>
  </si>
  <si>
    <t>Plataforma Digital Arquitetura</t>
  </si>
  <si>
    <t>MATERIAIS DE LIMPEZA/HIGIENE</t>
  </si>
  <si>
    <t>47937607000166</t>
  </si>
  <si>
    <t>PUNTO E FILÓ ( 3D TAPETES LTDA)</t>
  </si>
  <si>
    <t>RT - JULIANA COVINO - PEDIDO 28778</t>
  </si>
  <si>
    <t>10/11/2022</t>
  </si>
  <si>
    <t>11/11/2022</t>
  </si>
  <si>
    <t>56922826000243</t>
  </si>
  <si>
    <t>QUARTOS ETC ( CBM OFICINA)</t>
  </si>
  <si>
    <t>RT ANA CAROLINA BERTONI - PEDIDO 12777</t>
  </si>
  <si>
    <t>12/11/2022</t>
  </si>
  <si>
    <t>15/10/2022</t>
  </si>
  <si>
    <t>14/11/2022</t>
  </si>
  <si>
    <t>2/4 - PROJETO - O PARQUE</t>
  </si>
  <si>
    <t>13/11/2022</t>
  </si>
  <si>
    <t>20/11/2022</t>
  </si>
  <si>
    <t>RT PEDIDO 7001928 - GABRIELA BORGES</t>
  </si>
  <si>
    <t>RT Dani e William</t>
  </si>
  <si>
    <t>15/12/2022</t>
  </si>
  <si>
    <t>3/4 - RT - RIVIEIRA - COND. ED ALMIRANTE  - MARIA ISABEL NAJM E FABIO NAJM 3/4</t>
  </si>
  <si>
    <t>18/11/2022</t>
  </si>
  <si>
    <t>22/11/2022</t>
  </si>
  <si>
    <t>1ª Parcela - 13º salário&gt; Eliane</t>
  </si>
  <si>
    <t>24/11/2022</t>
  </si>
  <si>
    <t>25/11/2022</t>
  </si>
  <si>
    <t>RENOVAÇÃO TOTALCAD COM S E I LTDA</t>
  </si>
  <si>
    <t>1/2 - PROJETO THERA  1/2</t>
  </si>
  <si>
    <t>21/11/2022</t>
  </si>
  <si>
    <t>1/2 - PROJETO - SUITE MARINA 1/2</t>
  </si>
  <si>
    <t>09421676000123</t>
  </si>
  <si>
    <t>JS OBRAS</t>
  </si>
  <si>
    <t>RT OBRA STEPHANIE E ENRICO - NF 240</t>
  </si>
  <si>
    <t>15/11/2022</t>
  </si>
  <si>
    <t>30/11/2022</t>
  </si>
  <si>
    <t>9/41</t>
  </si>
  <si>
    <t>10/10</t>
  </si>
  <si>
    <t>01/12/2022</t>
  </si>
  <si>
    <t>LIMPEZA_JULIANA COSTA SOARES_5 DIÁRIAS</t>
  </si>
  <si>
    <t>26/11/2022</t>
  </si>
  <si>
    <t>DIÁRIAS - 02-09-16-23-30</t>
  </si>
  <si>
    <t>5/5 - SALÁRIO - MARCELA S CAVALCANTE 5/5</t>
  </si>
  <si>
    <t>SALÁRIO ESTAGIÁRIO FELIPE</t>
  </si>
  <si>
    <t>ELIANE - VALE TRANSPORTE</t>
  </si>
  <si>
    <t>REFERENTE AO PAGAMENTO DE VALE TRANSPORTE PARA  14 DIAS UTEIS</t>
  </si>
  <si>
    <t>BENEFICIOS</t>
  </si>
  <si>
    <t>GERENCIANET - NUCLEO DE INFORMACAO E COORDENACAO DO PONTO BR - NIC .BR</t>
  </si>
  <si>
    <t>PAGAMENTO REALIZADO PARA 3 ANOS &gt; prox. 2025</t>
  </si>
  <si>
    <t xml:space="preserve">RENOVAÇÃO REGISTRO MN </t>
  </si>
  <si>
    <t>05/12/2022</t>
  </si>
  <si>
    <t>CLAUDIA E RONEI GOMES</t>
  </si>
  <si>
    <t>27/01/2023</t>
  </si>
  <si>
    <t>ALUGUÉL + CONDOMINIO+IPTU</t>
  </si>
  <si>
    <t>Despesas fixas</t>
  </si>
  <si>
    <t>06/12/2022</t>
  </si>
  <si>
    <t>07/12/2022</t>
  </si>
  <si>
    <t>ANGIOVASC  - Serv de Medicina Interna e do Trabalho</t>
  </si>
  <si>
    <t>Atestado de Saúde Ocupacional</t>
  </si>
  <si>
    <t>08/12/2022</t>
  </si>
  <si>
    <t>2/2 - PROJETO - SUITE MARINA 2/2</t>
  </si>
  <si>
    <t>12/12/2022</t>
  </si>
  <si>
    <t>17/12/2022</t>
  </si>
  <si>
    <t>RESERVA TECNICA DE PEDIDOS REWFERENTE A NOVEMBRO</t>
  </si>
  <si>
    <t>26/12/2022</t>
  </si>
  <si>
    <t>01212194000151</t>
  </si>
  <si>
    <t>ESPAÇO ORLEAN</t>
  </si>
  <si>
    <t>RT DANIELA CALITO - PEDIDO 189702</t>
  </si>
  <si>
    <t>19/12/2022</t>
  </si>
  <si>
    <t>14/12/2022</t>
  </si>
  <si>
    <t>3/4 - PROJETO - O PARQUE</t>
  </si>
  <si>
    <t>13/12/2022</t>
  </si>
  <si>
    <t>PROJETO -  MANDARIM</t>
  </si>
  <si>
    <t>23/02/2023</t>
  </si>
  <si>
    <t>14/03/2023</t>
  </si>
  <si>
    <t>TODESCHINI (ALLY M CHAIN PLANEJADOS)</t>
  </si>
  <si>
    <t>RT PEDIDO -  LUCIENE GILMARCH</t>
  </si>
  <si>
    <t>RT PEDIDO 8042053 - LUCIENE GILMACH</t>
  </si>
  <si>
    <t>20/12/2022</t>
  </si>
  <si>
    <t>10/41</t>
  </si>
  <si>
    <t>18/12/2022</t>
  </si>
  <si>
    <t>30/12/2022</t>
  </si>
  <si>
    <t>13º HONORÁRIO CONTABEIS</t>
  </si>
  <si>
    <t>29/12/2022</t>
  </si>
  <si>
    <t>LIMPEZA_JULIANA COSTA SOARES_3 DIÁRIAS</t>
  </si>
  <si>
    <t>REFERENTE AS DIÁRIAS : 07-14</t>
  </si>
  <si>
    <t>ELIANE - 13º Salário - 2ª Parcela</t>
  </si>
  <si>
    <t>25/12/2022</t>
  </si>
  <si>
    <t>DARF PREVIDENCIARIO 13º</t>
  </si>
  <si>
    <t xml:space="preserve">Impostos Pessoa Jurídica </t>
  </si>
  <si>
    <t>05575940000122</t>
  </si>
  <si>
    <t>EDIFICIO VALENCIA (GRAICHEC E)</t>
  </si>
  <si>
    <t>1/3 - PROJETO - SALÃO DE FESTA_CHURRASQUEIRA_HALL SOCIAL</t>
  </si>
  <si>
    <t>12/01/2023</t>
  </si>
  <si>
    <t>21/12/2022</t>
  </si>
  <si>
    <t>2/2 - PROJETO THERA  2/2</t>
  </si>
  <si>
    <t>03784035000157</t>
  </si>
  <si>
    <t>QUAKER (PILLOWS &amp; FABRICS COMERCIO )</t>
  </si>
  <si>
    <t>RT DANIELA E ANTE_SUITE MARINA</t>
  </si>
  <si>
    <t>01/01/2023</t>
  </si>
  <si>
    <t>1/11 - SALÁRIO - JULYA 1/12</t>
  </si>
  <si>
    <t>02/01/2023</t>
  </si>
  <si>
    <t>1/12 - PRÓ LABORE MAYARA 1/12</t>
  </si>
  <si>
    <t>1/12 - PRÓ LABORE - NATASHA 1/12</t>
  </si>
  <si>
    <t>1/4 - FELIPE - SALÁRIO 1/12</t>
  </si>
  <si>
    <t>Felipe Schneider Caldeira
Nascimento: 25/11
CPF: 496.965.018-070
Dados Bancários:
0260 - Nubank
Cc: 982.310.42-6
E-mail: felipecaladeira333@gmail.com</t>
  </si>
  <si>
    <t>1/7 - SALÁRIO MARCELA S CAVALCANTE 1/12</t>
  </si>
  <si>
    <t>PAGAMENTO REALIZADO NO DIA 04/01 - VALOR R$ 3.110,61</t>
  </si>
  <si>
    <t>02/12/2022</t>
  </si>
  <si>
    <t>05/01/2023</t>
  </si>
  <si>
    <t>1/12 - FGTS 1/12</t>
  </si>
  <si>
    <t>07/01/2023</t>
  </si>
  <si>
    <t>Recolhimento do FGTS</t>
  </si>
  <si>
    <t>02/02/2023</t>
  </si>
  <si>
    <t>CONDOMINIO + ALUGUEL</t>
  </si>
  <si>
    <t>08/02/2023</t>
  </si>
  <si>
    <t>09/01/2023</t>
  </si>
  <si>
    <t>02558157000162</t>
  </si>
  <si>
    <t>09/12/2022</t>
  </si>
  <si>
    <t>08/01/2023</t>
  </si>
  <si>
    <t>10/01/2023</t>
  </si>
  <si>
    <t>CAU - MAYARA</t>
  </si>
  <si>
    <t>23/01/2023</t>
  </si>
  <si>
    <t>Despesas Pessoais dos Sócios</t>
  </si>
  <si>
    <t>1/35 - DARF ISS 1/36</t>
  </si>
  <si>
    <t>HONORARIOS CONTABEIS</t>
  </si>
  <si>
    <t>03/01/2023</t>
  </si>
  <si>
    <t>2/2 - PROJETO COPAN MN ARQUITETURA  E INTERIORES  2/2</t>
  </si>
  <si>
    <t>13/01/2023</t>
  </si>
  <si>
    <t>RT DANIELA E DANTE_SUITE MARINA</t>
  </si>
  <si>
    <t>16/01/2023</t>
  </si>
  <si>
    <t>PROJETO - MANDARIM</t>
  </si>
  <si>
    <t>14/04/2023</t>
  </si>
  <si>
    <t>19/01/2023</t>
  </si>
  <si>
    <t>11/41</t>
  </si>
  <si>
    <t>18/01/2023</t>
  </si>
  <si>
    <t>31/01/2023</t>
  </si>
  <si>
    <t>DARF PREVIDÊNCIARIO</t>
  </si>
  <si>
    <t>09/02/2023</t>
  </si>
  <si>
    <t>20/01/2023</t>
  </si>
  <si>
    <t>20/02/2023</t>
  </si>
  <si>
    <t>2/2 - RT 02 DE 02 DA FASE 02 E 03 - CLAUDIA E RONEI  2/2</t>
  </si>
  <si>
    <t>22/01/2023</t>
  </si>
  <si>
    <t>GABRIEL FIGUEIRA</t>
  </si>
  <si>
    <t>DARF COFINS - DARF COFINS - RECALCULADO APURAÇÃO &gt;&gt; 12/2022 – Vencimento: 01/2023</t>
  </si>
  <si>
    <t>24/01/2023</t>
  </si>
  <si>
    <t>08614292000164</t>
  </si>
  <si>
    <t>PATCHOULY (CASSIANA PARTEZANI)</t>
  </si>
  <si>
    <t>RT- STEPHANIE E ENRICO e DANIELLE</t>
  </si>
  <si>
    <t>RT 5% - A NOTA FISCAL DEVERÁ SER ENVIADA APÓS  PAGAMENTO
STEPHANIE: VALOR TOTAL DO PEDIDO: 9.927,00
DANIELLE E DANTE - VALOR TOTAL DO PEDIDO - 6.970,00</t>
  </si>
  <si>
    <t>17888374000198</t>
  </si>
  <si>
    <t>EVIVVA (MA MATHIAS P DESIGN)</t>
  </si>
  <si>
    <t>RT DANIELA CALITO</t>
  </si>
  <si>
    <t>01/02/2023</t>
  </si>
  <si>
    <t>2/11 - SALÁRIO - JULYA 2/12</t>
  </si>
  <si>
    <t>2/7 - SALÁRIO MARCELA S CAVALCANTE 2/12</t>
  </si>
  <si>
    <t>2/4 - FELIPE - SALÁRIO 2/12</t>
  </si>
  <si>
    <t>2/10 - ELIANE - VALE TRANSPORTE 2/12</t>
  </si>
  <si>
    <t>2/12 - PRÓ LABORE MAYARA 2/12</t>
  </si>
  <si>
    <t>2/12 - PRÓ LABORE - NATASHA 2/12</t>
  </si>
  <si>
    <t xml:space="preserve">SALÁRIO ELIANE </t>
  </si>
  <si>
    <t>02/03/2023</t>
  </si>
  <si>
    <t>06320472839</t>
  </si>
  <si>
    <t>LUCIENE GIL MARCHI</t>
  </si>
  <si>
    <t>1/2 - PROJETO</t>
  </si>
  <si>
    <t>30/01/2023</t>
  </si>
  <si>
    <t>SODEXO - ELIANE</t>
  </si>
  <si>
    <t>DIÁRIAS  JULIANA SOARES - REFERENTE JANEIRO</t>
  </si>
  <si>
    <t>04/01/2023</t>
  </si>
  <si>
    <t>01003548000158</t>
  </si>
  <si>
    <t>MAISON TECIDOS</t>
  </si>
  <si>
    <t>RT PEDIDO 13650 - MARIA ADELINA MATAVELLI DI GENNARO</t>
  </si>
  <si>
    <t>10/02/2023</t>
  </si>
  <si>
    <t>03/02/2023</t>
  </si>
  <si>
    <t>09/08/2022</t>
  </si>
  <si>
    <t>Pagamento referente ao depósito total no valor de 5.682,72, sendo:
2.182,72 - Luciene + 3.500,00 Gabi Borges</t>
  </si>
  <si>
    <t>RT - LUCIENE GILMARCH</t>
  </si>
  <si>
    <t>04/02/2023</t>
  </si>
  <si>
    <t>2/12 - FGTS 2/12</t>
  </si>
  <si>
    <t>05/02/2023</t>
  </si>
  <si>
    <t>08/03/2023</t>
  </si>
  <si>
    <t>06/02/2023</t>
  </si>
  <si>
    <t>RENOVAÇÃO 2023</t>
  </si>
  <si>
    <t>11/02/2023</t>
  </si>
  <si>
    <t>2/35 - DARF ISS 2/36</t>
  </si>
  <si>
    <t>RT PEDIDO 8041984 - LUCIENE GILMARCH</t>
  </si>
  <si>
    <t>26/01/2023</t>
  </si>
  <si>
    <t>07/02/2023</t>
  </si>
  <si>
    <t>03434812000133</t>
  </si>
  <si>
    <t>DIVETRO (PENDURE E PRONTO DEC)</t>
  </si>
  <si>
    <t>RT PEDIDO GABRIELA BORGES</t>
  </si>
  <si>
    <t xml:space="preserve">Razão Social: Pendure &amp; Pronto Decorações Ltda - ME
CNPJ: 03.434.812/0001-33
Endereço: Av. Pe. Fábio Prado, 16 – Vla Mariana 
E-mail: contato@divetroklabin,com.br
Telefone: 011 – 5579-8736
</t>
  </si>
  <si>
    <t>FERNANDA HENRIQUES E THIAGO</t>
  </si>
  <si>
    <t>1/2 - PROJETO QUARTO BEBÊ E HALL DE ENTRADA</t>
  </si>
  <si>
    <t>13/02/2023</t>
  </si>
  <si>
    <t>RT PEDIDO 5404 - DIOGO SCUTA</t>
  </si>
  <si>
    <t>1/12 - DARF IRPJ 1/12</t>
  </si>
  <si>
    <t>DARF CSLL</t>
  </si>
  <si>
    <t>31/12/2022</t>
  </si>
  <si>
    <t>22/02/2023</t>
  </si>
  <si>
    <t>35579865000139</t>
  </si>
  <si>
    <t>RT PEDIDO 581 - RONEI GOMES</t>
  </si>
  <si>
    <t>RT PEDIDO 565 - DANIELLE E DANTE_COPAN</t>
  </si>
  <si>
    <t>RT PEDIDO 8042479 - LUCIENE GILMARCH</t>
  </si>
  <si>
    <t>PREVISÃO PARA RT SOMENTE APÓS A INSTALAÇÃO QUE ESTÁ PROGRAMADO &gt;&gt;&gt;&gt;&gt;&gt; dezembro (20)</t>
  </si>
  <si>
    <t>14/02/2023</t>
  </si>
  <si>
    <t>16/02/2023</t>
  </si>
  <si>
    <t>09/03/2023</t>
  </si>
  <si>
    <t>CIA BRASILEIRA DE DISTRIBUIÇÃO - MATERIAIS DE LIMPEZA E HIGIENE</t>
  </si>
  <si>
    <t xml:space="preserve">RECIBO ESCANEADO E </t>
  </si>
  <si>
    <t>27355342000180</t>
  </si>
  <si>
    <t>DESIGN SUPPLIER (BeOn Elab de Sites Dec Inf)</t>
  </si>
  <si>
    <t>RT - Elaine Viollini Pedido 01483</t>
  </si>
  <si>
    <t xml:space="preserve">Razão Social: BeOnline Elab de Sites e Comércio de Decoração Eirelle
CNPJ: 27.355.342/0001-80
Inscrição Est.: 141.865.790.114
Inscr. Municipal -  isento
Endereço: R. Dr. Diogo de Faria, 1158 - Vila Clementino, São Paulo - SP, 04037-002
E-mail: financeiro@designsupplier.com.br
Telefone: 011 – 96369-1252 - Vanessa
</t>
  </si>
  <si>
    <t>17/02/2023</t>
  </si>
  <si>
    <t>DARF IRRF  - LILIAN PIMENTA_NF 248 / PATCHOULY_NF 250</t>
  </si>
  <si>
    <t>RT RONEI</t>
  </si>
  <si>
    <t>04244807000120</t>
  </si>
  <si>
    <t>FRANCCINO MÓVEIS LTDA</t>
  </si>
  <si>
    <t>RT FAUSTO VARGAS BOLDRINI - PEDIDO FC05/12/22</t>
  </si>
  <si>
    <t>28/02/2023</t>
  </si>
  <si>
    <t xml:space="preserve">Dados para emissão da nota fiscal:
Razão Social: FRANCCINO MOVEIS LTDA
Endereço: Av. Quinca do Dede, 40 - Bairro: São Francisco 
Cidade: Cláudio/MG – CEP: 35530-000
CNPJ: 04.244.807/0001-20
Inscrição Estadual: 166.112.231.0060
</t>
  </si>
  <si>
    <t>DARF PIS - RECALCULADO APURAÇÃO&gt;&gt; 12/2022 – Vencimento: 01/2023</t>
  </si>
  <si>
    <t>DARF PIS_APURAÇÃO JANEIRO/23</t>
  </si>
  <si>
    <t>24/02/2023</t>
  </si>
  <si>
    <t>DARF COFINS - APURAÇÃO JAN/2023</t>
  </si>
  <si>
    <t>RT - LUCIENE MARCHI/RICARDO GALVÃO/CONSUMIDOR FINAL</t>
  </si>
  <si>
    <t>10/03/2023</t>
  </si>
  <si>
    <t>27/02/2023</t>
  </si>
  <si>
    <t>RT DIANA E DIOGO - MANDARIM</t>
  </si>
  <si>
    <t>RT - LUCIENE GIL MARCHI</t>
  </si>
  <si>
    <t>RT - DANIELLE E DANTE - SUITE DA MARINA</t>
  </si>
  <si>
    <t>RT - ADELINA MATAVELLI</t>
  </si>
  <si>
    <t>12/41</t>
  </si>
  <si>
    <t>18/02/2023</t>
  </si>
  <si>
    <t>00748261000194</t>
  </si>
  <si>
    <t>ARTACHOS</t>
  </si>
  <si>
    <t>RT PEDIDO 0798 - MARIA ADELINA MATAVELLI</t>
  </si>
  <si>
    <t>01/03/2023</t>
  </si>
  <si>
    <t>Conta para Depósito:
Banco Santander
Agência: 2178 // C/C.: 13000415-8
Favorecido: COMERCIO TAPECARIA E COLCHOES ARTACHOS LTDA
CNPJ: 00.748.261/0001-94 (chave pix)</t>
  </si>
  <si>
    <t>3/7 - SALÁRIO MARCELA S CAVALCANTE 3/12</t>
  </si>
  <si>
    <t>03/03/2023</t>
  </si>
  <si>
    <t>3/11 - SALÁRIO - JULYA 3/12</t>
  </si>
  <si>
    <t>3/4 - FELIPE - SALÁRIO 3/12</t>
  </si>
  <si>
    <t>3/10 - ELIANE - VALE TRANSPORTE  referente março</t>
  </si>
  <si>
    <t>02/04/2023</t>
  </si>
  <si>
    <t>3/12 - PRÓ LABORE MAYARA 3/12</t>
  </si>
  <si>
    <t>3/12 - PRÓ LABORE - NATASHA 3/12</t>
  </si>
  <si>
    <t>DIÁRIAS  JULIANA SOARES - REFERENTE FEVEREIRO</t>
  </si>
  <si>
    <t>DIÁRIAS: 03-11-18 E 26 JANEIRO</t>
  </si>
  <si>
    <t>GERENCIAMENTO DE PROJETO</t>
  </si>
  <si>
    <t>2/2 - PROJETO</t>
  </si>
  <si>
    <t>06/03/2023</t>
  </si>
  <si>
    <t>RT GABRIELA BORGES - PEDIDO 169493</t>
  </si>
  <si>
    <t>19978391000141</t>
  </si>
  <si>
    <t>AGZ TECNOLOGIA (AGILLIZE COMERCIO DE EQUIP.)</t>
  </si>
  <si>
    <t>RT PEDIDO 23970323 - TIAGO KOCH</t>
  </si>
  <si>
    <t xml:space="preserve">RT 10% &gt; NF opcional </t>
  </si>
  <si>
    <t>16605580001</t>
  </si>
  <si>
    <t>BARBARA E LEONARDO</t>
  </si>
  <si>
    <t>PROJETO - QUARTOS_FILHOS</t>
  </si>
  <si>
    <t>05/03/2023</t>
  </si>
  <si>
    <t>08/04/2023</t>
  </si>
  <si>
    <t>BIANCA SANTOS DE FREITAS - CHAVE PIX  23717205854</t>
  </si>
  <si>
    <t>3/12 - FGTS 3/12</t>
  </si>
  <si>
    <t>07/03/2023</t>
  </si>
  <si>
    <t>RT PROJETO TIAGO KOCHI - ORÇ 0115/22</t>
  </si>
  <si>
    <t>RT PEDIDO 6866 - LUCIENE GIL MARCHI</t>
  </si>
  <si>
    <t>21/03/2023</t>
  </si>
  <si>
    <t>3/35 - DARF ISS 3/36</t>
  </si>
  <si>
    <t>ELETROPAULO_ENERGIA _REFERENTE NOVEMBRO 2022</t>
  </si>
  <si>
    <t>PENDENTE&gt;AGUARDANDO ANÁLISE DA ENEL &gt; PAGO DIA 10/03 REFERENTE A CONTA DO MÊS DE  NOVEMBRO/22 &gt; APÓS CONTESTAÇÃO DE VALORES RECEBIDOS COM PREÇOS ABUSIVOS</t>
  </si>
  <si>
    <t>RT GABRIEL FIGUEIRA SOLLERO</t>
  </si>
  <si>
    <t>ENÉRGIA ELETRICA - REF A FEVEREIRO/2023</t>
  </si>
  <si>
    <t>ENERGIA ELÉTRICA REF NOVEMBRO 2022</t>
  </si>
  <si>
    <t>07/04/2023</t>
  </si>
  <si>
    <t>RT PEDIDO 007213 - ELAINE VIOLINI</t>
  </si>
  <si>
    <t>RT 10% - PAGA-SE NO ULTIMO MÊS SUSEQUENTE  NA DATA DO PEDIDO 
Razão Social: CODEX HOME - DECOTAÇÃO LTDA 
CNPJ: 20.033.995/0001-02
Inscr. Municipal: 4.956.646-6
Endereço: AL. GABRIEL MONTEIRO DA SILVA, 338 - JD. AMÉRICA - SÃO PAULO-SP - CEP: 01442-000
Celular: 011 - 93200-0822 - Bruno (financeiro)
E-mail: codex@codexhome.com.br</t>
  </si>
  <si>
    <t>RT - ORÇ 0115122 - TIAGO KOCH</t>
  </si>
  <si>
    <t>PAGAMENTO RT SERÁ REALIZADO MEDIANTE AS CONDIÇÕES DE PAGAMENTO DO CLIENTE</t>
  </si>
  <si>
    <t>13/03/2023</t>
  </si>
  <si>
    <t>2/2 - PROJETO QUARTO BEBÊ</t>
  </si>
  <si>
    <t>14086456000120</t>
  </si>
  <si>
    <t>MADE 55 (QUATRO ARTE COM OBJ E DEC)</t>
  </si>
  <si>
    <t>RT PEDIDO MM1612A - LUCIENE GIL MARCH</t>
  </si>
  <si>
    <t>15/03/2023</t>
  </si>
  <si>
    <t>RT DANI MATAVELLI</t>
  </si>
  <si>
    <t>17/03/2023</t>
  </si>
  <si>
    <t>46095940000102</t>
  </si>
  <si>
    <t>BEL COLORE INTERIORES LTDA</t>
  </si>
  <si>
    <t>RT PEDIDO 4248 - NF 262 - TIAGO KOCH E JULIANA</t>
  </si>
  <si>
    <t>24/03/2023</t>
  </si>
  <si>
    <t>PEDIDO REALIZADO COM NOME DA JULIANA IWAMOTO 
10%RT - COM NOTA ç
BEL COLORE INTERIORES LTDA
CNPJ 46.095.940/0001-02
IE - 134.902.434.116</t>
  </si>
  <si>
    <t>20/03/2023</t>
  </si>
  <si>
    <t xml:space="preserve">DARF COFINS - </t>
  </si>
  <si>
    <t>25/03/2023</t>
  </si>
  <si>
    <t>DARF PIS</t>
  </si>
  <si>
    <t>09/04/2023</t>
  </si>
  <si>
    <t>23/03/2023</t>
  </si>
  <si>
    <t>10201943000136</t>
  </si>
  <si>
    <t>QUAKER DECOR (PILLOWS FABRICS )</t>
  </si>
  <si>
    <t xml:space="preserve">PEDIDO&gt; MN ARQUITETURA E INTERIORES </t>
  </si>
  <si>
    <t>25/02/2023</t>
  </si>
  <si>
    <t>DESPESAS ESCRITÓRIO</t>
  </si>
  <si>
    <t>FOTÓGRAFO - SUITE MARINA</t>
  </si>
  <si>
    <t>95883057055</t>
  </si>
  <si>
    <t>RAFAEL RENZO MARQUES</t>
  </si>
  <si>
    <t>50868520000199</t>
  </si>
  <si>
    <t>KEYATO FERRAGENS</t>
  </si>
  <si>
    <t>RT PEDIDO LUCIENE GIL MARCHI</t>
  </si>
  <si>
    <t>22/03/2023</t>
  </si>
  <si>
    <t>RESGATE DE PONTOS - PEDIDO 264780 - LUCIENE GIL MARCHI</t>
  </si>
  <si>
    <t>31/03/2023</t>
  </si>
  <si>
    <t>RT MARIA ADELINA</t>
  </si>
  <si>
    <t>RT - Pedido 14121534 -  GABRIEL SOLLERO FIGUEIRA</t>
  </si>
  <si>
    <t>30/03/2023</t>
  </si>
  <si>
    <t>27/03/2023</t>
  </si>
  <si>
    <t>RT - PEDIDO  DEZ/22 +FEV/23</t>
  </si>
  <si>
    <t>RESERVA TÉCNICA DE DEZEMBRO E FEVEREIRO (TIAGO KOCH PEDIDO 329149 E 328967</t>
  </si>
  <si>
    <t>13/41</t>
  </si>
  <si>
    <t>18/03/2023</t>
  </si>
  <si>
    <t>4/11 - SALÁRIO - JULYA 4/12</t>
  </si>
  <si>
    <t>03/04/2023</t>
  </si>
  <si>
    <t>01/04/2023</t>
  </si>
  <si>
    <t>4/7 - SALÁRIO MARCELA S CAVALCANTE 4/12</t>
  </si>
  <si>
    <t>02/05/2023</t>
  </si>
  <si>
    <t>PRESTAÇÃO SERVIÇOS</t>
  </si>
  <si>
    <t>RT LUCIENE GIL MARCHI</t>
  </si>
  <si>
    <t>RT - DIANA_DIOGO &gt; ED MANDARIM</t>
  </si>
  <si>
    <t>RT - DIGO SCUTTA(COPAN) + GABRIEL SOLLERO</t>
  </si>
  <si>
    <t>28/03/2023</t>
  </si>
  <si>
    <t>PAGAMENTO RT REFERENTE
 COMPROVANTE - RT 
- DIOGO SCUTTA(THERA) - 232,00
- GABRIEL SOLLERO - 669,39
Totalizando 901,39</t>
  </si>
  <si>
    <t>4/4 - PROJETO - O PARQUE</t>
  </si>
  <si>
    <t>1/2 - PROJETO - QUAD STUDIO</t>
  </si>
  <si>
    <t>2/2 - PROJETO - QUAD STUDIO</t>
  </si>
  <si>
    <t>DIÁRIAS  JULIANA SOARES - REFERENTE MARÇO</t>
  </si>
  <si>
    <t>4/12 - PRÓ LABORE MAYARA 4/12</t>
  </si>
  <si>
    <t>4/12 - PRÓ LABORE - NATASHA 4/12</t>
  </si>
  <si>
    <t>4/10 - ELIANE - VALE TRANSPORTE - referente abril</t>
  </si>
  <si>
    <t>GERENCIAMENTO - MANDARIM</t>
  </si>
  <si>
    <t>GERENCIAMENTO -  MANDARIM</t>
  </si>
  <si>
    <t>04/04/2023</t>
  </si>
  <si>
    <t>4/4 - FELIPE - SALÁRIO 4/12</t>
  </si>
  <si>
    <t>PRESTAÇÃO DE SERVIÇOS MIDIAS SOCIAIS - BIANCA SANTOS FREITAS</t>
  </si>
  <si>
    <t>08/05/2023</t>
  </si>
  <si>
    <t>05/04/2023</t>
  </si>
  <si>
    <t>4/12 - FGTS 4/12</t>
  </si>
  <si>
    <t>06/04/2023</t>
  </si>
  <si>
    <t>44754653000131</t>
  </si>
  <si>
    <t>SVETLANA PLANTAS PRESERVADAS LTDA</t>
  </si>
  <si>
    <t>RT PEDIDO 1531 - GABRIEL FIGUEIRA SOLLERO</t>
  </si>
  <si>
    <t>RT 10% COM NF
APÓS PAGAMENTO DO CLIENTE A RT É LIBERADO E SERÁ PAGO APÓS 10 DIAS DO ENVIO DA NF
CASO CLIENTE PARCELAR DEVERÁ CONTAR A LIBERAÇÃO APÓS FINALLIZAÇÃO DO PAGAMENTO INDEPENDENTE DA FORMA( BOLETO OU CRÉDITO)</t>
  </si>
  <si>
    <t>10/04/2023</t>
  </si>
  <si>
    <t>DIFERENÇA SALÁRIO  - FELIPE</t>
  </si>
  <si>
    <t xml:space="preserve">REFERENTE A DIFERENÇA PAGAMENTO PELOS 3 DIAS TRABALHADOS APÓS FECHAMENTO </t>
  </si>
  <si>
    <t>4/35 - DARF ISS 4/36</t>
  </si>
  <si>
    <t>RT PROJETO TIAGO KOCHI♥JULIANA IWAMOTO - ORÇ 0115/22</t>
  </si>
  <si>
    <t>12/04/2023</t>
  </si>
  <si>
    <t>62617121000134</t>
  </si>
  <si>
    <t>CLAMI ( CLAMI MOVEIS E DECORAÇÃO)</t>
  </si>
  <si>
    <t>RT - PEDIDO 170369 - TIAGO ♥ JULIANA IWAMOTO</t>
  </si>
  <si>
    <t>13/04/2023</t>
  </si>
  <si>
    <t>RT PEDIDO 171527 - GABRIELA BORGES</t>
  </si>
  <si>
    <t>RT  - DIANA E DIGO - ED MANDARIM</t>
  </si>
  <si>
    <t>17/04/2023</t>
  </si>
  <si>
    <t>RT - ORÇ 0115122 - TIAGO KOCH ♥ JULIANA IWAMOTO</t>
  </si>
  <si>
    <t>19/04/2023</t>
  </si>
  <si>
    <t>22/04/2023</t>
  </si>
  <si>
    <t>09/05/2023</t>
  </si>
  <si>
    <t>20/04/2023</t>
  </si>
  <si>
    <t>45423301000166</t>
  </si>
  <si>
    <t>BED &amp; DESIGN (BD COMERCIO DE COLCHOES E DECORA)</t>
  </si>
  <si>
    <t>RT PEDIDO 38486 - TIAGO KOCH♥JULIANA IWAMOTO</t>
  </si>
  <si>
    <t>29/03/2023</t>
  </si>
  <si>
    <t>24/04/2023</t>
  </si>
  <si>
    <t>DARF COFINS -</t>
  </si>
  <si>
    <t>25/04/2023</t>
  </si>
  <si>
    <t>RT - LUCIENE GIL MARCH</t>
  </si>
  <si>
    <t>26/04/2023</t>
  </si>
  <si>
    <t>COMPRAS MATERIAIS LIMPEZA/HIGIENE</t>
  </si>
  <si>
    <t>CIA DE Distribuição - 105,00 - cnpj - 47,508,411/2662-61
CIA DE Distribuição - 112,59 - cnpj - 47.508.411/1051-79</t>
  </si>
  <si>
    <t>27/04/2023</t>
  </si>
  <si>
    <t>RT PEDIDO 24250423 - TIAGO KOCH♥JULIANA IWAMOTO</t>
  </si>
  <si>
    <t>11/04/2023</t>
  </si>
  <si>
    <t>28/04/2023</t>
  </si>
  <si>
    <t>14/41</t>
  </si>
  <si>
    <t>18/04/2023</t>
  </si>
  <si>
    <t>30/04/2023</t>
  </si>
  <si>
    <t>ENERGIA ELÉTRICA - Referente mês de março/2023</t>
  </si>
  <si>
    <t>2/12 - DARF IRPJ 2/12</t>
  </si>
  <si>
    <t>2/11 - DARF CSLL 2/12</t>
  </si>
  <si>
    <t>07764332020</t>
  </si>
  <si>
    <t>ROSA ANDRADE (RJ MOTA ADMINISTRAÇÃO DE IMOV)</t>
  </si>
  <si>
    <t>PROJETO - EDIFICIO D'ORU</t>
  </si>
  <si>
    <t>14130871000134</t>
  </si>
  <si>
    <t>ALLFORM</t>
  </si>
  <si>
    <t>RT&gt; Proposta 221005 e Proposta 230239 - TIAGO KOCH♥JULIANA IWAMOTO</t>
  </si>
  <si>
    <t>Proposta 221005: Valor Total Pedido: R$23.293,00 &gt;  VALOR TOTAL RT 5%: R$ 1.164,65 &gt; Dividido em 3 parcelas, conforme pagamento cliente
1°parcela: R$ 524,09 – Data Pagamento: *28/04/2023*
2° Parcela: R$ 524,09 - Data Pagamento: 28/05/2023
3° Parcela: R$ 116,46- Data Pagamento: 28/06/2023
Proposta 230239: Valor Total Pedido: R$5.803,00 -  VALOR RT 5%: R$ 290,15 -  Data Pagamento: *28/04/2023*</t>
  </si>
  <si>
    <t>RT  Pedido 171365 - Juliana Iwamoto♥Tiago Koch</t>
  </si>
  <si>
    <t>DIÁRIAS  JULIANA SOARES - REFERENTE  ABRIL</t>
  </si>
  <si>
    <t>01/05/2023</t>
  </si>
  <si>
    <t>5/7 - SALÁRIO MARCELA S CAVALCANTE 5/12</t>
  </si>
  <si>
    <t>5/11 - SALÁRIO - JULYA 5/12</t>
  </si>
  <si>
    <t>5/10 - ELIANE - VALE TRANSPORTE 5/12</t>
  </si>
  <si>
    <t>ENERGIA ELÉTRICA - Referente abril / 2023</t>
  </si>
  <si>
    <t>RT - TIAGO KOCH</t>
  </si>
  <si>
    <t>15/05/2023</t>
  </si>
  <si>
    <t>No. Pedido
272986
Data da Baixa
14/04/2023
Nome do Cliente
TIAGO FARIAS KOCH
Valor do Pedido
R$ 2.735,33
Valor pago com vale
0.0
Porcentagem
4%
Pontos/Produtos
14
Pontos/Dinheiro
109
Disponível em
14/05/2023</t>
  </si>
  <si>
    <t>5/12 - PRÓ LABORE MAYARA 5/12</t>
  </si>
  <si>
    <t>5/12 - PRÓ LABORE - NATASHA 5/12</t>
  </si>
  <si>
    <t>SALÁRIO: SAMANTA CRISTINA</t>
  </si>
  <si>
    <t>03/05/2023</t>
  </si>
  <si>
    <t>SALÁRIO: MAYARA OLIVEIRA</t>
  </si>
  <si>
    <t>07/05/2023</t>
  </si>
  <si>
    <t>05409533000145</t>
  </si>
  <si>
    <t>ALAMANDA HOME DECORAÇÕES</t>
  </si>
  <si>
    <t>RT LUCIENTE GIL MARCHI</t>
  </si>
  <si>
    <t>10/05/2023</t>
  </si>
  <si>
    <t>GERENCIAMEBNTO - MANDARIM</t>
  </si>
  <si>
    <t>1/4 - GERENCIAMENTO QUAD STUDIO</t>
  </si>
  <si>
    <t>04/05/2023</t>
  </si>
  <si>
    <t>02/06/2023</t>
  </si>
  <si>
    <t>05/05/2023</t>
  </si>
  <si>
    <t>5/12 - FGTS 5/12</t>
  </si>
  <si>
    <t>08/06/2023</t>
  </si>
  <si>
    <t>RT PEDIDO 30/03 - FERNANDA HENRIQUES</t>
  </si>
  <si>
    <t>06/05/2023</t>
  </si>
  <si>
    <t>ELIAS_MARCENEIRO&gt; sOLLERO</t>
  </si>
  <si>
    <t>RT GABRIELA BORGES - ULTIMA PARCELA PARCIAL</t>
  </si>
  <si>
    <t>30/05/2023</t>
  </si>
  <si>
    <t>5/35 - DARF ISS 5/36</t>
  </si>
  <si>
    <t>12/05/2023</t>
  </si>
  <si>
    <t>RENOVAÇÃO DO CERTIFICADO - MAURILIO RAMALHO  DOS SANTOS</t>
  </si>
  <si>
    <t>11/05/2023</t>
  </si>
  <si>
    <t>03012484000187</t>
  </si>
  <si>
    <t>CASA TEX COM DE CONFECÇÕES</t>
  </si>
  <si>
    <t>RT - LUCIENTE GIL MARCHI</t>
  </si>
  <si>
    <t>05857732000116</t>
  </si>
  <si>
    <t>JRJ (ROTERGAN TECIDOS E DECORAÇÕES)</t>
  </si>
  <si>
    <t>RT PEDIDO 141484 - Luciene Gil Marchi</t>
  </si>
  <si>
    <t>29/05/2023</t>
  </si>
  <si>
    <t xml:space="preserve">RAZÃO SOCIAL:Rotergan tecidos e Decorações Eirelle
CNPJ:05.857.732/0001-16
ENDEREÇO:Rua Domingos Jorge 495 - Vila do Socorro - CEP 04761-000
TELEFONE- 011-3080-8050
E-MAIL:rogerio@nobelicontabil.com.br - São Paulo-SP
</t>
  </si>
  <si>
    <t>RT FARIZE</t>
  </si>
  <si>
    <t>17/05/2023</t>
  </si>
  <si>
    <t>RT - PEDIDO OR 2448 - Tiago Koch</t>
  </si>
  <si>
    <t>18/05/2023</t>
  </si>
  <si>
    <t>RT DANIELLA MATAVELLI - Suite Marina</t>
  </si>
  <si>
    <t>31/05/2023</t>
  </si>
  <si>
    <t>RT&gt; VALOR A RECEBER FOI DESCONTADO REFERENTE AO ERRO DO PEDIDO(COR) DA POLTRONA DA CLIENTE POR PARTE DA MN</t>
  </si>
  <si>
    <t>19/05/2023</t>
  </si>
  <si>
    <t>09/06/2023</t>
  </si>
  <si>
    <t>23/05/2023</t>
  </si>
  <si>
    <t>22/05/2023</t>
  </si>
  <si>
    <t>RT PEDIDO 7184 - LUCIENE GIL MARCHI</t>
  </si>
  <si>
    <t>2/3 - PROJETO  - SALÃO DE FESTA_CHURRASQUEIRA_HALL SOCIAL</t>
  </si>
  <si>
    <t>24/05/2023</t>
  </si>
  <si>
    <t>1/3 - TERAPLUS SERVIÇOS EM INFORMÁTICA  1/3</t>
  </si>
  <si>
    <t>25/05/2023</t>
  </si>
  <si>
    <t>29/04/2023</t>
  </si>
  <si>
    <t>RESGATE DE PONTOS  &gt;Tiago Koch e luciene Gil</t>
  </si>
  <si>
    <t>No. Pedido - 272986 - Data da Baixa-14/04/2023&gt; Nome do Cliente TIAGO FARIAS KOCH&gt;Valor do Pedido R$ 2.735,33 &gt;Porcentagem 4% &gt;Pontos/Produtos:14/Pontos/Dinheiro:109
No. Pedido 271215  - Data da Baixa -  06/04/2023&gt;Nome do Cliente:LUCIENE GIL MARCHI &gt;Valor do Pedido R$ 106,69 &gt; Porcentagem 4% &gt;Pontos/Produtos:Pontos  1/Dinheiro:4</t>
  </si>
  <si>
    <t>RT REFERENTE MÊS MAR E ABR/2023</t>
  </si>
  <si>
    <t>26/05/2023</t>
  </si>
  <si>
    <t>6/12 - PRÓ LABORE MAYARA 6/12</t>
  </si>
  <si>
    <t>01/06/2023</t>
  </si>
  <si>
    <t>RT PROPOSTA 221005 - TIAGO KOCH ♥ JULIANA IWAMOTO</t>
  </si>
  <si>
    <t>28/05/2023</t>
  </si>
  <si>
    <t>RT - TIAGO KOCH - PEDIDO PM 4549</t>
  </si>
  <si>
    <t>40418865000278</t>
  </si>
  <si>
    <t>LUMINI SOLUÇÃO EM ILUMINAÇÃO</t>
  </si>
  <si>
    <t>RT ORÇ 208921 LG - GABRIEL SOLLERO FIGUEIRA</t>
  </si>
  <si>
    <t>10% COM NF
LIBERAÇÃO DA RT É SEMPRE NO MÊS POSTERIOR E AO MÊS DO FECHAMENTO DO PEDIDO</t>
  </si>
  <si>
    <t>15/41</t>
  </si>
  <si>
    <t>6/10 - ELIANE - VALE TRANSPORTE 6/12</t>
  </si>
  <si>
    <t>09053150000138</t>
  </si>
  <si>
    <t>SBC - COIFAS E PROJETOS</t>
  </si>
  <si>
    <t>RT_Instalação  VD 2282/2268/2228/2194/2894</t>
  </si>
  <si>
    <t xml:space="preserve">VD 2282 - Claudia/Ronei - Valor 17.700,00 &gt; RT 885,00
VD 2268 - Gabi Borges - Valor 15.000,00 &gt; RT 750,00
VD 2228 - CrisUflacker/Ricardo - Valor 9.000,00 &gt; RT 450,00
VD 2194 - Dani Calito/William Guidini - Valor 20.000,00 &gt; RT 1000,00
VD 2894 - Luciene Gil Marchi - Valor 10.900,00 &gt; RT 545,00
</t>
  </si>
  <si>
    <t>6/11 - SALÁRIO - JULYA 6/12</t>
  </si>
  <si>
    <t>ESTELA ROCHA</t>
  </si>
  <si>
    <t>48118380000190</t>
  </si>
  <si>
    <t>TENSOFLEX (Limatec Instalações Ltda)</t>
  </si>
  <si>
    <t>RT - PEDIDO 033/23 - LUCIENE GIL MARCHI</t>
  </si>
  <si>
    <t>DIÁRIAS  JULIANA SOARES - REFERENTE MAIO</t>
  </si>
  <si>
    <t>19517214000168</t>
  </si>
  <si>
    <t>CASA VITTA ( ALTA COMERCIO E DEC LTDA)</t>
  </si>
  <si>
    <t>RT Ref: PROJETO STEPHANIE PICCIOTTO -  PEDIDO 009273131322</t>
  </si>
  <si>
    <t>PEDIDO - 009273B 22
RT 10% &gt; 30 DIAS APÓS FECHAMENTO DO PEDIDO 
AGUARDANDO PAGAMENTO DESDE OUTUBRO</t>
  </si>
  <si>
    <t>RT - FERNANDA HENRIQUES</t>
  </si>
  <si>
    <t>6/7 - SALÁRIO MARCELA S CAVALCANTE 6/12</t>
  </si>
  <si>
    <t>2/7</t>
  </si>
  <si>
    <t>SALÁRIO_MAYARA OLIVEIRA</t>
  </si>
  <si>
    <t>1/7</t>
  </si>
  <si>
    <t>SALÁRIO &gt; SAMANTA</t>
  </si>
  <si>
    <t>02/07/2023</t>
  </si>
  <si>
    <t>6/12 - PRÓ LABORE - NATASHA 6/12</t>
  </si>
  <si>
    <t>PROJETO -  SALÃO DE JOGOS_ACADEMIA</t>
  </si>
  <si>
    <t>29320864000172</t>
  </si>
  <si>
    <t>SÃO JUDAS PRIME - SERVIÇO DE AUTOMAÇÃO</t>
  </si>
  <si>
    <t>RT CLAUDIA E RONEI - PROPOSTA 01122115.2022 e GABRIELA BORGES - PEDIDO 1662</t>
  </si>
  <si>
    <t>05/06/2023</t>
  </si>
  <si>
    <t>6/12 - FGTS 6/12</t>
  </si>
  <si>
    <t>04/06/2023</t>
  </si>
  <si>
    <t>03/06/2023</t>
  </si>
  <si>
    <t>10/06/2023</t>
  </si>
  <si>
    <t>2/4 - GERENCIAMENTO - QUAD STUDIO</t>
  </si>
  <si>
    <t>3/4 - GERENCIAMENTO - QUAD STUDIO</t>
  </si>
  <si>
    <t>06/06/2023</t>
  </si>
  <si>
    <t>SAMANTA- PAGAMENTO 02  DIAS E TRABALHO</t>
  </si>
  <si>
    <t>01/07/2023</t>
  </si>
  <si>
    <t>08/07/2023</t>
  </si>
  <si>
    <t>RT Fernanda Henriques - pedido 19/04</t>
  </si>
  <si>
    <t>15/06/2023</t>
  </si>
  <si>
    <t>07/06/2023</t>
  </si>
  <si>
    <t>SL GRÁFICA &amp; COPIADORA _ Apresentação Diogo</t>
  </si>
  <si>
    <t>RT - PEDIDO OR 0368 - LUCIENE GIL MARCHI</t>
  </si>
  <si>
    <t>29/06/2023</t>
  </si>
  <si>
    <t>MARCELO DI GENNARO COSTA</t>
  </si>
  <si>
    <t xml:space="preserve">PROJETO FOR YOU_MOEMA </t>
  </si>
  <si>
    <t>14/06/2023</t>
  </si>
  <si>
    <t>RT - BARBARA - QUARTOS</t>
  </si>
  <si>
    <t>12/06/2023</t>
  </si>
  <si>
    <t>21399406000169</t>
  </si>
  <si>
    <t>PUNTO&amp;FILO (M2 TAPETES EIRELI)</t>
  </si>
  <si>
    <t>RT PEDIDO P030352 - FERNANDA HENRIQUES</t>
  </si>
  <si>
    <t>RT -  ORÇ 01753 - GABRIEL SOLLERO FIGUEIRA</t>
  </si>
  <si>
    <t>11/06/2023</t>
  </si>
  <si>
    <t xml:space="preserve">ENÉRGIA ELETRICA </t>
  </si>
  <si>
    <t>26334186000109</t>
  </si>
  <si>
    <t>MONT BLANC MÁRMORES</t>
  </si>
  <si>
    <t>1/3 - RT PEDIDO CRISTIANE UFLACKER♥RICARDO GALVÃO 1/3 + 2/3</t>
  </si>
  <si>
    <t>2/3 - RT PEDIDO CRISTIANE UFLACKER♥RICARDO GALVÃO 2/3</t>
  </si>
  <si>
    <t>24/06/2023</t>
  </si>
  <si>
    <t>16/06/2023</t>
  </si>
  <si>
    <t>RT PEDIDO 14121188_Luciene Gil Marchi</t>
  </si>
  <si>
    <t>19/06/2023</t>
  </si>
  <si>
    <t>23/06/2023</t>
  </si>
  <si>
    <t>25/06/2023</t>
  </si>
  <si>
    <t>2/3 - TERAPLUS SERVIÇOS EM INFORMÁTICA  2/3</t>
  </si>
  <si>
    <t>1/3 - GERENCIAMENTO COND JD ACAPULCO_GUARUJÁ 1/3</t>
  </si>
  <si>
    <t>09/07/2023</t>
  </si>
  <si>
    <t>22/06/2023</t>
  </si>
  <si>
    <t>20/06/2023</t>
  </si>
  <si>
    <t>RT  CLIENTE: SÉRGIO LUIZ PEGORARO ROCHA - PEDIDO 38892</t>
  </si>
  <si>
    <t>21/06/2023</t>
  </si>
  <si>
    <t>MATERIAIS DE LIMPEZA E HIGIENE</t>
  </si>
  <si>
    <t>Materiais de limpeza e  higiene</t>
  </si>
  <si>
    <t>RT - PEDIDO 571 - TIAGO KOCH♥JULIANA IWAMOTO</t>
  </si>
  <si>
    <t>16/05/2023</t>
  </si>
  <si>
    <t>RT PRODUÇÃO SERGIO  - 174019</t>
  </si>
  <si>
    <t>28/06/2023</t>
  </si>
  <si>
    <t>7/12 - PRÓ LABORE MAYARA 7/12</t>
  </si>
  <si>
    <t>17688095000180</t>
  </si>
  <si>
    <t>MUMA COMÉRCIO DE MÓVEIS LTDA</t>
  </si>
  <si>
    <t>RT GABRIEL FIGUEIRA</t>
  </si>
  <si>
    <t>RT 10% &gt; VALOR LIQUIDO (-) VALOR DO FRETE 
PAGAMENTO RT SÓ É REALIZADA 7  DIAS DA CONFIRMAÇÃO DE ENTREGA E APRESENTAÇÃO DA NF</t>
  </si>
  <si>
    <t>30/06/2023</t>
  </si>
  <si>
    <t>16/41</t>
  </si>
  <si>
    <t>18/06/2023</t>
  </si>
  <si>
    <t>ENÉRGIA ELETRICA</t>
  </si>
  <si>
    <t>RT - PEDIDO 194920 - TIAGO KOCH</t>
  </si>
  <si>
    <t>14/07/2023</t>
  </si>
  <si>
    <t>1/2 - PRODUÇÃO - Condomínio Vila São Fernando-Cotia - SP 1/2</t>
  </si>
  <si>
    <t>05/07/2023</t>
  </si>
  <si>
    <t>DIÁRIAS  JULIANA SOARES - REFERENTE JUNHO</t>
  </si>
  <si>
    <t>DIÁRIAS: 03-10-17-24-30</t>
  </si>
  <si>
    <t>7/7 - SALÁRIO MARCELA S CAVALCANTE 7/12</t>
  </si>
  <si>
    <t>03/07/2023</t>
  </si>
  <si>
    <t>43796195000130</t>
  </si>
  <si>
    <t>JULYA FIGUEIREDO</t>
  </si>
  <si>
    <t>1/2 - COMISSÃO PROJETO MARCELO COSTA 1/2</t>
  </si>
  <si>
    <t>COMISSÃO 5% DO PROJETO DO CLIENTE MARCELO COSTA -VALOR PROJETO R$ 7.500,00 FECHADO EM 2X</t>
  </si>
  <si>
    <t>COMISSÃO</t>
  </si>
  <si>
    <t>1/3 - COMISSÃO PROJETO STEPHANIE E ENRICO GUARUJA 1/3</t>
  </si>
  <si>
    <t>COMISSÃO DE 5% DO PROJETO STEPHANIE E ENRICO GUARUJA
TOTAL PROJETO R$ 9.000,00 PAGO EM 3X</t>
  </si>
  <si>
    <t>1/2 - COMISSÃO PROJETO ENTERPRISE 1/2</t>
  </si>
  <si>
    <t>COMISSÃO 5% PROJETO EDIFICIO ENTERPRISE
VALOR PROJETO : R$ 1.500,00 EM 2X</t>
  </si>
  <si>
    <t>Diferença de valor Ref NF 262 - RT BelColore_Tiago Koch</t>
  </si>
  <si>
    <t>Diferença NF sem a inclusão de impostos</t>
  </si>
  <si>
    <t>08/08/2023</t>
  </si>
  <si>
    <t>7/11 - SALÁRIO - JULYA 7/12</t>
  </si>
  <si>
    <t>3/7</t>
  </si>
  <si>
    <t>02/08/2023</t>
  </si>
  <si>
    <t>7/10 - ELIANE - VALE TRANSPORTE 7/12</t>
  </si>
  <si>
    <t>4/4 - GERENCIAMENTO -  QUAD STUDIO</t>
  </si>
  <si>
    <t>04/07/2023</t>
  </si>
  <si>
    <t>7/12 - FGTS 7/12</t>
  </si>
  <si>
    <t>2/2 - PRODUÇÃO - Condomínio Vila São Fernando-Cotia - SP 2/2</t>
  </si>
  <si>
    <t>17/07/2023</t>
  </si>
  <si>
    <t>1/5 - GERENCIAMENTO - ATMOSFERA VILA MARIANA</t>
  </si>
  <si>
    <t>07/07/2023</t>
  </si>
  <si>
    <t>CONTRATO 1039301 - RT RIVIERA_MARIO E ROBERTA</t>
  </si>
  <si>
    <t>CONTRATO 1039301 - RT RIVIERA_FABIO E ANA</t>
  </si>
  <si>
    <t>CONTRATO 1033002- RT RIVIERA_Ma ISABEL E FLÁVIO</t>
  </si>
  <si>
    <t>VERA PARASMO</t>
  </si>
  <si>
    <t>1/3 - PROJETO ED. ALLE -  UNIDADES 05 E 06 1/3</t>
  </si>
  <si>
    <t>10/07/2023</t>
  </si>
  <si>
    <t>RT - QUARTO_BARBARA E LEONARDO</t>
  </si>
  <si>
    <t>23735360000137</t>
  </si>
  <si>
    <t>ARTE PRÓPRIA ( ARTE INTEGRADA)</t>
  </si>
  <si>
    <t>RT PEDIDO 10042503 - JULIANA♥TIAGO KOCH</t>
  </si>
  <si>
    <t>31/07/2023</t>
  </si>
  <si>
    <t>7/35 - DARF ISS 7/36</t>
  </si>
  <si>
    <t>1/2 - RT_AMAURI _ LUCIENE GIL MARCHI  1/2</t>
  </si>
  <si>
    <t>RECEBIMENTO DE FORNECEDOR</t>
  </si>
  <si>
    <t>11/07/2023</t>
  </si>
  <si>
    <t>RT -  RIVIERA -  PEDIDO 94940 / 94941/94942</t>
  </si>
  <si>
    <t>97486906000108</t>
  </si>
  <si>
    <t>COND. EDIFICIO THE ENTERPRISE CENTER</t>
  </si>
  <si>
    <t>1/2 - PROJETO_BANHEIRO COM ACESSIBILIDADE 1/2</t>
  </si>
  <si>
    <t>06/07/2023</t>
  </si>
  <si>
    <t>PROJETO PARCIAL</t>
  </si>
  <si>
    <t>12/07/2023</t>
  </si>
  <si>
    <t>RT PEDIDO 116364 - Quartos - Bárbara</t>
  </si>
  <si>
    <t>RT Vanessa Fonseca - VENDA 176271</t>
  </si>
  <si>
    <t>RT EDUARDO_MÃO DE OBRA</t>
  </si>
  <si>
    <t>28/07/2023</t>
  </si>
  <si>
    <t>19/07/2023</t>
  </si>
  <si>
    <t>09/08/2023</t>
  </si>
  <si>
    <t>20/07/2023</t>
  </si>
  <si>
    <t>23/07/2023</t>
  </si>
  <si>
    <t>21/07/2023</t>
  </si>
  <si>
    <t>6/35 - DARF ISS _Incidência Maio/2023  6/36</t>
  </si>
  <si>
    <t>RT PEDIDO 281797 - JULIANA♥TIAGO KOCH</t>
  </si>
  <si>
    <t>RT Pedido 282027 - ANA CAROLINA FURQUIM DE CAMPOS BERTONI</t>
  </si>
  <si>
    <t>24/07/2023</t>
  </si>
  <si>
    <t>3/3 - TERAPLUS SERVIÇOS EM INFORMÁTICA  3/3</t>
  </si>
  <si>
    <t>25/07/2023</t>
  </si>
  <si>
    <t>1/59 - DARF PIS 1/60</t>
  </si>
  <si>
    <t>RESGATE DE PONTOS_TIAGO KOCH</t>
  </si>
  <si>
    <t>RT PROJETO TIAGO KOCHI♥JULIANA IWAMOTO - ORÇ 0115/22 + ADITIVOS</t>
  </si>
  <si>
    <t>26/07/2023</t>
  </si>
  <si>
    <t>3/3 - RT PEDIDO CRISTIANE UFLACKER♥RICARDO GALVÃO 3/3</t>
  </si>
  <si>
    <t>27/07/2023</t>
  </si>
  <si>
    <t>AMAURI MARCHI</t>
  </si>
  <si>
    <t>1/2 - PROJETO GUARUJÁ _ACAPULCO 1/2</t>
  </si>
  <si>
    <t>RT TIAGO KOCH - PEDIDO 7119</t>
  </si>
  <si>
    <t>30/07/2023</t>
  </si>
  <si>
    <t>8/11 - SALÁRIO - JULYA 8/12</t>
  </si>
  <si>
    <t>01/08/2023</t>
  </si>
  <si>
    <t>3/12 - DARF IRPJ 3/12</t>
  </si>
  <si>
    <t>3/11 - DARF CSLL 3/12</t>
  </si>
  <si>
    <t>17/41</t>
  </si>
  <si>
    <t>18/07/2023</t>
  </si>
  <si>
    <t>Pagamento ok &gt; não saiu o comprovante na impressão  &gt; Confirmado por Mayara pagamento OK</t>
  </si>
  <si>
    <t>8/12 - PRÓ LABORE MAYARA 8/12</t>
  </si>
  <si>
    <t>8/12 - PRÓ LABORE - NATASHA 8/12</t>
  </si>
  <si>
    <t>DIÁRIAS  JULIANA SOARES - REFERENTE JULHO</t>
  </si>
  <si>
    <t>FIBRASCOR</t>
  </si>
  <si>
    <t>Ronaldo teve um AVC e por eta razão, a Glaucia solicitou prorrogação para JUNHO 
Ronaldo Cortinas Persianas Elétricas -   11 99477-4330</t>
  </si>
  <si>
    <t>2/2 - COMISSÃO PROJETO MARCELO COSTA 2/2</t>
  </si>
  <si>
    <t>2/3 - COMISSÃO PROJETO STEPHANIE E ENRICO GUARUJA 2/3</t>
  </si>
  <si>
    <t>2/2 - COMISSÃO PROJETO ENTRE PRISE 2/2</t>
  </si>
  <si>
    <t>1/3 - COMISSÃO VERA  1/3</t>
  </si>
  <si>
    <t>COMISSÃO CLIENTE VERA PARASMO 
5% VALOR PROJETO R$ 9.000,00 =R$ 450,00 EM 3X</t>
  </si>
  <si>
    <t>8/10 - ELIANE - VALE TRANSPORTE 8/12</t>
  </si>
  <si>
    <t>4/7</t>
  </si>
  <si>
    <t>02/09/2023</t>
  </si>
  <si>
    <t>03/08/2023</t>
  </si>
  <si>
    <t>08/09/2023</t>
  </si>
  <si>
    <t>05/08/2023</t>
  </si>
  <si>
    <t>8/35 - DARF ISS 8/36</t>
  </si>
  <si>
    <t>13986197000555</t>
  </si>
  <si>
    <t>LOJA ELETROLUX COMÉRCIO</t>
  </si>
  <si>
    <t>REFIL &gt; FILTRO DE ÁGUA</t>
  </si>
  <si>
    <t>Reposição de material</t>
  </si>
  <si>
    <t>07/08/2023</t>
  </si>
  <si>
    <t>2/5 - GERENCIAMENTO  ATMOSFERA VILA MARIANA</t>
  </si>
  <si>
    <t>10/08/2023</t>
  </si>
  <si>
    <t>3/3 - PROJETO  - SALÃO DE FESTA_CHURRASQUEIRA_HALL SOCIAL</t>
  </si>
  <si>
    <t>8/12 - FGTS 8/12</t>
  </si>
  <si>
    <t>RT PEDIDO 176285 -TIAGO♥JJULIANA IWAMOTO</t>
  </si>
  <si>
    <t>2/2 - PROJETO_BANHEIRO COM ACESSIBILIDADE 2/2</t>
  </si>
  <si>
    <t>2/3 - PROJETO ED. ALLE -  UNIDADES 05 E 06 2/3</t>
  </si>
  <si>
    <t>11/08/2023</t>
  </si>
  <si>
    <t>RT CONTRATO 1053001 - ELIANA NAJM</t>
  </si>
  <si>
    <t xml:space="preserve">Obs - Valores sem os descontos dos impostos &gt; Contratos de 02 irmãos da Sobloco que não realizaram projeto mas que a Bontempo liberou a Rt para MN pelo fato de ter fechado os pedidos com CNPJ da empresa
</t>
  </si>
  <si>
    <t>RT CONTRATO 1053901 - PAULA NAJM</t>
  </si>
  <si>
    <t>RT - QUARTO BARABARA E LEONARDO</t>
  </si>
  <si>
    <t>16/08/2023</t>
  </si>
  <si>
    <t>14/08/2023</t>
  </si>
  <si>
    <t>DARF IRRF Ref. Diferença da NF emitida 294-295-296</t>
  </si>
  <si>
    <t>18/08/2023</t>
  </si>
  <si>
    <t>Valores recebidos integralmente (bruto)</t>
  </si>
  <si>
    <t>DARF IRRF Ref. Diferença da NF emitida Isage (Bontempo) 294-295-296</t>
  </si>
  <si>
    <t>09/09/2023</t>
  </si>
  <si>
    <t>23/08/2023</t>
  </si>
  <si>
    <t>RT - PEDIDO OT0591 - TIAGO KOCH</t>
  </si>
  <si>
    <t>15/08/2023</t>
  </si>
  <si>
    <t>RT - PEDIDO OR 0396  BARBARA MILZEN</t>
  </si>
  <si>
    <t>32163713873</t>
  </si>
  <si>
    <t>PAULO RAMOS E CAMILA DOSSE RAMOS</t>
  </si>
  <si>
    <t>1/2 - PROJETO  COORPORATIVO 1/2</t>
  </si>
  <si>
    <t>42724731000120</t>
  </si>
  <si>
    <t>ALLFORM (TRIAXS COM PISOS)</t>
  </si>
  <si>
    <t>RT PEDIDO 034 - AMAURI MARCHI</t>
  </si>
  <si>
    <t>37513543000112</t>
  </si>
  <si>
    <t>TERAPLUS SERVIÕS EM INFORMÁTICA (TERABYTE)</t>
  </si>
  <si>
    <t>HORA TÉCNICA INTERNA &gt; SUPORTE REMOTO #103947</t>
  </si>
  <si>
    <t>Manutenção de Equipamentos</t>
  </si>
  <si>
    <t>22893129000109</t>
  </si>
  <si>
    <t>ALFRAME ESQUADRIAS</t>
  </si>
  <si>
    <t>RT AMAURI E LUCIENE - 30% SINAL</t>
  </si>
  <si>
    <t>28/08/2023</t>
  </si>
  <si>
    <t>CONFORME CONDIÇÕES DE PAGAMENTO DO CLIENTE
30% SINAL &gt; DEMAIS 4X 55 DIAS</t>
  </si>
  <si>
    <t>2/3 - GERENCIAMENTO COND JD ACAPULCO_GUARUJÁ 2/3</t>
  </si>
  <si>
    <t>RT TIAGO KOCH</t>
  </si>
  <si>
    <t>22/08/2023</t>
  </si>
  <si>
    <t>25/08/2023</t>
  </si>
  <si>
    <t>24/08/2023</t>
  </si>
  <si>
    <t>PGTO REFERENTE DIFERENÇA DE NF 281 - MONT B COM DE PEDRAS</t>
  </si>
  <si>
    <t>00145531554</t>
  </si>
  <si>
    <t>EDUARDO MARCENEIRO&gt; (Eduardo Pereira de Jesus Junior)</t>
  </si>
  <si>
    <t>RT - STEPHANIE_ENRICO&gt; ACAPULCO - GUARUJÁ</t>
  </si>
  <si>
    <t>Eduardo - cpf 001.455.315-54</t>
  </si>
  <si>
    <t>RT REFERENTE PEDIDOS MÊS DE JULHO: FARIZE E AMAURI</t>
  </si>
  <si>
    <t>30/08/2023</t>
  </si>
  <si>
    <t>9/12 - PRÓ LABORE MAYARA 9/12</t>
  </si>
  <si>
    <t>01/09/2023</t>
  </si>
  <si>
    <t>2/2 - RT_AMAURI _ LUCIENE GIL MARCHI  1/3</t>
  </si>
  <si>
    <t>9/12 - PRÓ LABORE - NATASHA 9/12</t>
  </si>
  <si>
    <t>3/3 - PROJETO ED. ALLE -  UNIDADES 05 E 06 3/3</t>
  </si>
  <si>
    <t>31/08/2023</t>
  </si>
  <si>
    <t>SODEXO ELIANE 08/12</t>
  </si>
  <si>
    <t>05/09/2023</t>
  </si>
  <si>
    <t>3/3 - COMISSÃO PROJETO STEPHANIE E ENRICO GUARUJA 3/3</t>
  </si>
  <si>
    <t>2/3 - COMISSÃO VERA  2/3</t>
  </si>
  <si>
    <t>1/2 - COMISSÃO PROJETO PULO RAMOS 1/2</t>
  </si>
  <si>
    <t>COMISSÃO PROJETO PAULO RAMOS
VALOR PROJETO R$ 489,00
PAGAMENTO 1/2-R$ 244,50 -01/09
PAGAMENTO 2/2-R$ 244,50-01/10</t>
  </si>
  <si>
    <t>10/10 - ELIANE - VALE TRANSPORTE 10/12</t>
  </si>
  <si>
    <t>18/41</t>
  </si>
  <si>
    <t>1/2 - LAURA DE CICO 1/5</t>
  </si>
  <si>
    <t>9/11 - SALÁRIO - JULYA 9/12</t>
  </si>
  <si>
    <t>47404525000156</t>
  </si>
  <si>
    <t>MILENA MORAES STUDIO</t>
  </si>
  <si>
    <t>3D PROJETO CAMILA E PAULO RAMOS</t>
  </si>
  <si>
    <t>SERVIÇOS PRESTADOS</t>
  </si>
  <si>
    <t>15534125000179</t>
  </si>
  <si>
    <t>MARCHÉ ART DE VIE ( Atelier Nicole Design)</t>
  </si>
  <si>
    <t>RT PEDIDO 27876 - GABRIELA BORGES</t>
  </si>
  <si>
    <t>DIÁRIAS  JULIANA SOARES - REFERENTE AGOSTO</t>
  </si>
  <si>
    <t>5/7</t>
  </si>
  <si>
    <t>04/09/2023</t>
  </si>
  <si>
    <t>9/12 - FGTS 9/12 - COMPETÊNCIA 08/2023</t>
  </si>
  <si>
    <t>07/09/2023</t>
  </si>
  <si>
    <t>08/10/2023</t>
  </si>
  <si>
    <t>RT BARBARA MILZEN - 1909</t>
  </si>
  <si>
    <t>RT  GABRIELA BORGES -  1969</t>
  </si>
  <si>
    <t>3/5 - GERENCIAMENTO ATMOSFERA VILA MARIANA</t>
  </si>
  <si>
    <t>25284846000121</t>
  </si>
  <si>
    <t>MONTREAL TAPETES (FORMAS E FIBRAS TAPETE)_GRUPO PUNTO E FILO</t>
  </si>
  <si>
    <t>RT P030877/ Cliente: Gabriela Borges</t>
  </si>
  <si>
    <t>29/08/2023</t>
  </si>
  <si>
    <t>15/09/2023</t>
  </si>
  <si>
    <t>11/09/2023</t>
  </si>
  <si>
    <t>03/09/2023</t>
  </si>
  <si>
    <t>12/09/2023</t>
  </si>
  <si>
    <t>9/35 - DARF ISS 9/36</t>
  </si>
  <si>
    <t>14211200000106</t>
  </si>
  <si>
    <t>SOL &amp; aRT ( M&amp;P GALASSI)</t>
  </si>
  <si>
    <t>RT PEDIDO MA 230640 - BARBARA MILZEN</t>
  </si>
  <si>
    <t>Débito automático</t>
  </si>
  <si>
    <t>06/09/2023</t>
  </si>
  <si>
    <t>22/09/2023</t>
  </si>
  <si>
    <t>13/09/2023</t>
  </si>
  <si>
    <t>RT PEDIDO 6595 - FARIZE♥LEANDRO</t>
  </si>
  <si>
    <t>14/09/2023</t>
  </si>
  <si>
    <t>RT 179298 - CAMILA DOSSE</t>
  </si>
  <si>
    <t>20/09/2023</t>
  </si>
  <si>
    <t>RT PED.VENDA 179041-GABRIELA BORGES</t>
  </si>
  <si>
    <t>29/09/2023</t>
  </si>
  <si>
    <t>1/3 - PROJETO  - Rua Conde D’Eu,861&gt;&gt;&gt; 1/3</t>
  </si>
  <si>
    <t>09/10/2023</t>
  </si>
  <si>
    <t>21/09/2023</t>
  </si>
  <si>
    <t>27520277000100</t>
  </si>
  <si>
    <t>FIGUEIRA, BERTONI - SOCIEDADE DE ADVOGADOS</t>
  </si>
  <si>
    <t>1/2 - PROJETO CORPORATIVO 1/2</t>
  </si>
  <si>
    <t>10332720000108</t>
  </si>
  <si>
    <t>ED RITZ _VILA NOVA CONCEIÇÃO</t>
  </si>
  <si>
    <t>1/2 - PROJETO - HALL  SOCIAL &gt; ÁREAS COMUNS 1/2</t>
  </si>
  <si>
    <t>18/09/2023</t>
  </si>
  <si>
    <t>NF 325 - CANCELADA DEVIDO NÃO TER SIDO ISENTADA IRRF</t>
  </si>
  <si>
    <t>25/09/2023</t>
  </si>
  <si>
    <t>19/41</t>
  </si>
  <si>
    <t>30/09/2023</t>
  </si>
  <si>
    <t>24/09/2023</t>
  </si>
  <si>
    <t>3/59 - DARF PIS 3/60</t>
  </si>
  <si>
    <t>23/09/2023</t>
  </si>
  <si>
    <t>26/09/2023</t>
  </si>
  <si>
    <t>47104836000108</t>
  </si>
  <si>
    <t>EMPORIO BERALDIN (NATUR IND E COM)</t>
  </si>
  <si>
    <t>EMPÓRIO TECIDOS - RT - STEPHANIE - PEDIDO 5341</t>
  </si>
  <si>
    <t>2/2 - PROJETO  COORPORATIVO 2/2</t>
  </si>
  <si>
    <t>27/09/2023</t>
  </si>
  <si>
    <t>RT PEDIDO 00001996 - TIAGO KOCH</t>
  </si>
  <si>
    <t>BONIFICAÇÃO - PROPOSTA 275161-1 AMAURI E LUCIENE</t>
  </si>
  <si>
    <t>64422892000100</t>
  </si>
  <si>
    <t>LIDER INTERIORES ( LIDER IND E COM DE ESTOFADOS)</t>
  </si>
  <si>
    <t>RT CAMILA DOSSE E PAULO RAMOS</t>
  </si>
  <si>
    <t>1/4 - RT DIFERNÇA _ AMAURI E LUCIENE ACAPULGO GUARUJÁ 1/4</t>
  </si>
  <si>
    <t>28/09/2023</t>
  </si>
  <si>
    <t>RT_ ORÇ #9003 - PEDIDO 012506 - RIVIERA _MARIO E ROBERTA NAJM</t>
  </si>
  <si>
    <t>1/2 - NATUR IND[USTRIA - RT STEPHANIE &gt; PV 5356 1/2</t>
  </si>
  <si>
    <t>ESTUDIO BOLA - ORÇ EBCJ 1093A - CAMILA DOSSE E PAULO RAMOS</t>
  </si>
  <si>
    <t>RT &gt;Pedidos -  7342, 7687 e 8009</t>
  </si>
  <si>
    <t>SODEXO ELIANE 09/12</t>
  </si>
  <si>
    <t>02/10/2023</t>
  </si>
  <si>
    <t>VALE TRANSPORTE - ELIANE</t>
  </si>
  <si>
    <t>RT FARIZE♥LEANDRO</t>
  </si>
  <si>
    <t>11/10 - ELIANE - VALE TRANSPORTE 11/12</t>
  </si>
  <si>
    <t>29/10/2023</t>
  </si>
  <si>
    <t>RT_  GO4901 _RIVIERA_MARIA ISABEL NAJM</t>
  </si>
  <si>
    <t>10/10/2023</t>
  </si>
  <si>
    <t>Realizado depósito no dia 29/09 valor total 14.940,60</t>
  </si>
  <si>
    <t>RT_ FC 11702 _RIVIERA_MARIA ISABEL NAJM</t>
  </si>
  <si>
    <t>RT_ FR 16103_RIVIERA_MARIA ISABEL NAJM</t>
  </si>
  <si>
    <t>DIÁRIAS  JULIANA SOARES - REFERENTE SETEMBRO</t>
  </si>
  <si>
    <t>3/3 - GERENCIAMENTO COND JD ACAPULCO_GUARUJÁ 3/3</t>
  </si>
  <si>
    <t>60923480390</t>
  </si>
  <si>
    <t>VIRNA E ERIC</t>
  </si>
  <si>
    <t>1/2 - PROJETO RESIDENCIAL  1/2</t>
  </si>
  <si>
    <t>01/10/2023</t>
  </si>
  <si>
    <t xml:space="preserve">GERADO CPF- 609.234.803-90 &gt;  PARA REALIZAR CADASTRO &gt; ATUALIZAR APÓS OBTER DADOS </t>
  </si>
  <si>
    <t>10/12 - FGTS 10/12 - COMPETÊNCIA 09/2023</t>
  </si>
  <si>
    <t>06/10/2023</t>
  </si>
  <si>
    <t>10/12 - PRÓ LABORE - NATASHA 10/12</t>
  </si>
  <si>
    <t>10/12 - PRÓ LABORE MAYARA 10/12</t>
  </si>
  <si>
    <t>2/2 - LAURA DE CICO 2/5</t>
  </si>
  <si>
    <t>10/11 - SALÁRIO - JULYA 10/12</t>
  </si>
  <si>
    <t>08/11/2023</t>
  </si>
  <si>
    <t>05/10/2023</t>
  </si>
  <si>
    <t>02/11/2023</t>
  </si>
  <si>
    <t>6/7</t>
  </si>
  <si>
    <t>3/3 - COMISSÃO VERA  3/3</t>
  </si>
  <si>
    <t>2/2 - COMISSÃO PROJETO PAULO RAMOS 2/2</t>
  </si>
  <si>
    <t>1/3 - COMISSÃO PROJETO MARIEL E FAUSTO 1/3</t>
  </si>
  <si>
    <t>COMISSÃO REFERENTE A PROJETO MARIEL E FAUSTO
VALOR PROJETO R$ 24.000,00 X 3%= R$ 720,00
PAGAMENTO EM 3X SET/OUT/NOV
PAGAMENTO COMISSÃO 3X OUT/NOV/ DEZ</t>
  </si>
  <si>
    <t>1/2 - COMISSÃO RITZ 1/2</t>
  </si>
  <si>
    <t>COMISSÃO REFERENTE A PROJETO ED. RITZ
VALOR PROJETO R$ 10.000,00 X 3%=R$ 300,00
01/10-R$ 150.00
01/11-R$ 150,00</t>
  </si>
  <si>
    <t>1/2 - COMISSÃO PROJETO LUCIENE E AMAURI 1/2</t>
  </si>
  <si>
    <t>COMISSÃO PROJETO LUCIENE E AMAURI 
VALOR PROJETO R$ 12.000,00X3%=R$ 360,00
02/10-R$ 180,00
02/11-R$ 180,00</t>
  </si>
  <si>
    <t>RT FARIZE♥LEANDRO - PEDIDO 1767 - 25/07</t>
  </si>
  <si>
    <t>03/10/2023</t>
  </si>
  <si>
    <t>1/2 - RT PEDIDO 24990310 - CAMILA DOSSE 1/2</t>
  </si>
  <si>
    <t>4/5 - GERENCIAMENTO ATMOSFERA VILA MARIANA</t>
  </si>
  <si>
    <t>RT - CAMILA DOSSE</t>
  </si>
  <si>
    <t>40951726811</t>
  </si>
  <si>
    <t>GABRIELA BROSCO E DANIEL</t>
  </si>
  <si>
    <t>2/4 - PROJETO  2/4</t>
  </si>
  <si>
    <t>26/10/2023</t>
  </si>
  <si>
    <t>05/11/2023</t>
  </si>
  <si>
    <t>1/4 - PROJETO  1/4</t>
  </si>
  <si>
    <t>10/35 - DARF ISS 10/36</t>
  </si>
  <si>
    <t>16/10/2023</t>
  </si>
  <si>
    <t>RT EDUARDO PERERIRA JESUS - MARCENEIRO</t>
  </si>
  <si>
    <t>48122043000176</t>
  </si>
  <si>
    <t>CONCEITO ESQUADRIAS E VIDROS (Conceito Design&amp; Vidros Ltda)</t>
  </si>
  <si>
    <t>1/3 - RT &gt; P 1500(Stephanie) / P 15394(Amauri Marchi) / P1094(Stephanie)  1/3</t>
  </si>
  <si>
    <t xml:space="preserve">Cliente: Baltimore Participações LTDA  - (Stephanie)
Pedido: P-1500
Valor da venda: R$ 38.400,00
RT R$ 1.828,00
Cliente: Amauri Marchi
Pedido: 15394
Valor da venda: R$ 154.000,00
RT R$ 6.300,40
Cliente: Baltimore Participações LTDA -  (Stephanie)
Pedido: P-1094
Valor da venda: R$ 80.400
RT R$ 3.828,60
</t>
  </si>
  <si>
    <t>17/10/2023</t>
  </si>
  <si>
    <t>2/4 - RT DIFERNÇA _ AMAURI E LUCIENE ACAPULGO GUARUJÁ 2/4</t>
  </si>
  <si>
    <t>28/10/2023</t>
  </si>
  <si>
    <t>RT REFERENTE AO MÊS AGOSTO</t>
  </si>
  <si>
    <t>20/10/2023</t>
  </si>
  <si>
    <t>RT AMAURI E LUCIENE</t>
  </si>
  <si>
    <t>19/10/2023</t>
  </si>
  <si>
    <t>18/10/2023</t>
  </si>
  <si>
    <t>09/11/2023</t>
  </si>
  <si>
    <t>23/10/2023</t>
  </si>
  <si>
    <t>22397847000194</t>
  </si>
  <si>
    <t>SL GRÁFICA</t>
  </si>
  <si>
    <t>IMPRESSÕES PROJETO A2 - MARIELLA MATAVELLI</t>
  </si>
  <si>
    <t>1/3 - GERENCIAMENTO - EDIFICIO D'ORU 1/3</t>
  </si>
  <si>
    <t>2/2 - PROJETO CORPORATIVO 2/2</t>
  </si>
  <si>
    <t>21/10/2023</t>
  </si>
  <si>
    <t>NF 319 - DECORLIGHT  &gt; DIFERENÇA DE PAGATO DA NOTA</t>
  </si>
  <si>
    <t>Diferença Sobre NF Emitidas</t>
  </si>
  <si>
    <t>NF 317 - DECORLIGHT &gt; DIFERENÇA DE PAGATO DA NOTA</t>
  </si>
  <si>
    <t>NF 330 - DECORLIGHT &gt; DIFERENÇA DE PAGATO DA NOTA</t>
  </si>
  <si>
    <t>13469656000108</t>
  </si>
  <si>
    <t>ESPAÇO ORLEANS ( MGS COM)</t>
  </si>
  <si>
    <t>RT PEDIDO 195676 - CAMILA DOSSE/PAULORAMOS</t>
  </si>
  <si>
    <t>24/10/2023</t>
  </si>
  <si>
    <t>RT: Diogo Conte&gt;Luciene Marchi&gt;Ronei Gomes &gt; William Guidini</t>
  </si>
  <si>
    <t>RT PEDIDO &gt; 309866 - FARIZE</t>
  </si>
  <si>
    <t>2/2 - PROJETO - HALL  SOCIAL &gt; ÁREAS COMUNS 2/2</t>
  </si>
  <si>
    <t>1/3 - GERENCIAMENTO PROJETO CORPORATIVO  1/3</t>
  </si>
  <si>
    <t>14/10/2023</t>
  </si>
  <si>
    <t>25/10/2023</t>
  </si>
  <si>
    <t>4/59 - DARF PIS 4/60</t>
  </si>
  <si>
    <t>MATERIAIS DE LIMPEZAS E HIGIENE</t>
  </si>
  <si>
    <t xml:space="preserve">PRODUTOS DE BELEZA GLAMOUR ITAIM - 15,98
CIA BRASILEIRA DE DISTRIBUIÇÃO - 195,65
CARREFOUR COMERCIO - 24,22
</t>
  </si>
  <si>
    <t>27/10/2023</t>
  </si>
  <si>
    <t>2/3 - PROJETO  - Rua Conde D’Eu,861&gt;&gt;&gt; 2/3</t>
  </si>
  <si>
    <t>1/3 - PROJETO AIR BROOKLIN - 02 STUDIOS 1/3</t>
  </si>
  <si>
    <t>34658528851</t>
  </si>
  <si>
    <t>PRISCILLA MARCHI</t>
  </si>
  <si>
    <t>RT ELIAS MARCENEIRO</t>
  </si>
  <si>
    <t>30/10/2023</t>
  </si>
  <si>
    <t>11/11 - SALÁRIO - JULYA 11/12</t>
  </si>
  <si>
    <t>01/11/2023</t>
  </si>
  <si>
    <t>11/12 - PRÓ LABORE - NATASHA 11/12</t>
  </si>
  <si>
    <t>DIÁRIAS  JULIANA SOARES - REFERENTE OUTUBRO</t>
  </si>
  <si>
    <t>4/12 - DARF IRPJ 4/12</t>
  </si>
  <si>
    <t>31/10/2023</t>
  </si>
  <si>
    <t>20/41</t>
  </si>
  <si>
    <t>4/11 - DARF CSLL 4/12</t>
  </si>
  <si>
    <t>08/12/2023</t>
  </si>
  <si>
    <t>06/11/2023</t>
  </si>
  <si>
    <t>12/10 - ELIANE - VALE TRANSPORTE &gt;referente mês Novembro</t>
  </si>
  <si>
    <t>28/11/2023</t>
  </si>
  <si>
    <t>RT CAMILA DOSSE/PAULO RAMOS PEDIDO 21/09</t>
  </si>
  <si>
    <t>10% RT &gt; PAGAMENTO É REALIZADO ATÉ O FINAL DO MÊS SUBSEQUENTE DA DATA DO PEDIDO</t>
  </si>
  <si>
    <t>RT  OP 284439 - GABRIELA BORGES</t>
  </si>
  <si>
    <t>10/11/2023</t>
  </si>
  <si>
    <t>RT CAMILA DOSSE E PAULO RAMOS - 1° DEPÓSITO</t>
  </si>
  <si>
    <t>46298916000170</t>
  </si>
  <si>
    <t>JADER ALMEIDA ( TEMPS ART&amp;DESIGN)</t>
  </si>
  <si>
    <t>RT PROPOSTA 105 - CAMILA DOSSE</t>
  </si>
  <si>
    <t>11/12 - PRÓ LABORE MAYARA 11/12</t>
  </si>
  <si>
    <t>11/12 - FGTS 11/12 - COMPETÊNCIA 10/2023</t>
  </si>
  <si>
    <t>SODEXO ELIANE 10/12</t>
  </si>
  <si>
    <t>7/7</t>
  </si>
  <si>
    <t>2/3 - COMISSÃO PROJETO MARIEL E FAUSTO 2/3</t>
  </si>
  <si>
    <t>1/2 - COMISSÃO PROJETO VIRNA E ERIC 1/2</t>
  </si>
  <si>
    <t>COMISSÃO PROJETO VIRNA E ERIC
VALOR PROJETO R$ 28.500,00 COMISSÃO DE 3%
VALOR COMISSÃO R$855,00 EM 2X
NOVEMBRO -R$ 427,00
DEZEMBRO-R$ 427,00</t>
  </si>
  <si>
    <t>2/2 - COMISSÃO RITZ 2/2</t>
  </si>
  <si>
    <t>1/4 - COMISSÃO GABI E DANIEL 1/4</t>
  </si>
  <si>
    <t>COMISSÃO REFERENTE AO PROJETO GABRIELA E DANIEL
VALOR PROJETO: R$21.600,00 DIVIDIDO EM 4X
VALOR TOTAL DA COMISSÃO DE 3%=R$ R$648,00/4=R$ R$ 162,00
01/11-R$ 162,00
01/12-R$ 162,00
01/01-R$ 162,00
01/02-R$ 162,00</t>
  </si>
  <si>
    <t>1/3 - COMISSÃO PROJETO AIR BROOKLIN DIANA E DIOGO 1/3</t>
  </si>
  <si>
    <t>COMISSÃO REFERENTE AO PROJETO AIR BROOKLIN
VALOR PROJETO R$ 9.000,00X 5%=R$ 450,00/3
01/11-R$ 150,00
01/12-R$ 150,00
01/01-R$ 150.00</t>
  </si>
  <si>
    <t>1/2 - COMISSÃO PROJETO FIGUEREIDO BERTONI 1/2</t>
  </si>
  <si>
    <t>COMISSÃO PROJETO FIGUEREIDO E BERTONI
R$ 4.000,00X5%=R$ 200,00/2
01/11-R$ 100.00
01/12-R$ 100.00</t>
  </si>
  <si>
    <t>5/5 - GERENCIAMENTO  ATMOSFERA VILA MARIANA</t>
  </si>
  <si>
    <t>2/2 - NATUR IND[USTRIA - RT STEPHANIE &gt; PV 5356 2/2</t>
  </si>
  <si>
    <t>02/12/2023</t>
  </si>
  <si>
    <t>2/2 - COMISSÃO PROJETO LUCIENE E AMAURI 2/2</t>
  </si>
  <si>
    <t>07/11/2023</t>
  </si>
  <si>
    <t>2/2 - RT PEDIDO 24990310 - CAMILA DOSSE 2/2</t>
  </si>
  <si>
    <t>11/35 - DARF ISS 11/36</t>
  </si>
  <si>
    <t>21/41</t>
  </si>
  <si>
    <t>18/11/2023</t>
  </si>
  <si>
    <t>30/11/2023</t>
  </si>
  <si>
    <t>03/11/2023</t>
  </si>
  <si>
    <t>RT PEDIDO 665 - FARIZE♥LEANDRO</t>
  </si>
  <si>
    <t>17/11/2023</t>
  </si>
  <si>
    <t>51562585000174</t>
  </si>
  <si>
    <t>PLURIPISO COMERCIAL</t>
  </si>
  <si>
    <t>RT  PEDIDO 6672 - CAMILA DOSSE/PAULO RAMOS</t>
  </si>
  <si>
    <t xml:space="preserve">Cliente realizou 50% do Pagamento. Conforme as condições para o recebimento de RT &gt; somente na metade do Pagamento 
</t>
  </si>
  <si>
    <t>RT 0808 RM - VERA PARASMO</t>
  </si>
  <si>
    <t>15/11/2023</t>
  </si>
  <si>
    <t>03413335000120</t>
  </si>
  <si>
    <t>MAIS REVESTIMENTOS (OFICINA DE CERÂMICA E ARTES)</t>
  </si>
  <si>
    <t>RT ED KENSINGTON PARK</t>
  </si>
  <si>
    <t>14/11/2023</t>
  </si>
  <si>
    <t>07362708840</t>
  </si>
  <si>
    <t>MARIA ISABEL CORRÊA NAJM STRAPETTI</t>
  </si>
  <si>
    <t>1/6 - GERENCIAMENTO RIVIERA 1/6</t>
  </si>
  <si>
    <t>EMITIR NF PF - 51.716,40
Maria Isabel C Najm Strapetti 
CPF 073.627.088-40
Endereço: Rua General Fonseca Teles, 64 - Jd. Paulistano - CEP 01429-020 - São Paulo - SP
E-mail: belstrapetti@gmail.com</t>
  </si>
  <si>
    <t>RT PEDIDO 008035 - TIAGO kOCH</t>
  </si>
  <si>
    <t>1/6 - GERENCIAMENTO RIVIERA  1/6</t>
  </si>
  <si>
    <t>EMITIR NF PF - 37.435,41
Fábio Najm 
CPF - 030.448.618-37
Endereço - Rua Conselheiro Zacarias, 122 - Jardim Paulista - São Paulo-SP - CEP 01429-020 
E-mail - Fcnajm@gmail.com</t>
  </si>
  <si>
    <t>RT PEDIDO V5083536 - CAMILA DOSSE /PAULO RAMOS</t>
  </si>
  <si>
    <t>13/11/2023</t>
  </si>
  <si>
    <t>RT PEDIDO OR 0726 - STEPHANIE</t>
  </si>
  <si>
    <t>RT FARIZE E LEANDRO</t>
  </si>
  <si>
    <t>RT  CAMILA E PAULO</t>
  </si>
  <si>
    <t>PRESTAÇÃO DE SERVIÇOS INFORMÁTICA</t>
  </si>
  <si>
    <t>05206246000138</t>
  </si>
  <si>
    <t>CONTAAZUL SOFTWARE</t>
  </si>
  <si>
    <t>RENOVAÇÃO ANUIDADE CONTA AZUL PLATAFORMA FINANCEIRA</t>
  </si>
  <si>
    <t>RT CAMILA DOSSE</t>
  </si>
  <si>
    <t>21/11/2023</t>
  </si>
  <si>
    <t>RT - FARIZE</t>
  </si>
  <si>
    <t>16/11/2023</t>
  </si>
  <si>
    <t>09/12/2023</t>
  </si>
  <si>
    <t>22/11/2023</t>
  </si>
  <si>
    <t>2/3 - RT &gt; P 1500 / P 15394 / P1094 2/3</t>
  </si>
  <si>
    <t>1/5 - GERENCIAMENTO  O PARQUE  1/5</t>
  </si>
  <si>
    <t>2/3 - GERENCIAMENTO - EDIFICIO D'ORU 2/3</t>
  </si>
  <si>
    <t>20/11/2023</t>
  </si>
  <si>
    <t>23/11/2023</t>
  </si>
  <si>
    <t>2/3 - GERENCIAMENTO PROJETO CORPORATIVO  2/3</t>
  </si>
  <si>
    <t>3/4 - RT DIFERNÇA _ AMAURI E LUCIENE ACAPULGO GUARUJÁ 3/4</t>
  </si>
  <si>
    <t>27/11/2023</t>
  </si>
  <si>
    <t>RT PJ 15422 - DIANA/DIOGO &gt;O PARQUE</t>
  </si>
  <si>
    <t>24/11/2023</t>
  </si>
  <si>
    <t>5/59 - DARF PIS 5/60</t>
  </si>
  <si>
    <t>RT PEDIDO OR 0919 - DIANA E DIOGO &gt;O PARQUE</t>
  </si>
  <si>
    <t>RT REFERENTE :MÊS DE MAIO E OUTUBRO</t>
  </si>
  <si>
    <t>2/3 - PROJETO AIR BROOKLIN - 02 STUDIOS 2/3</t>
  </si>
  <si>
    <t>26/11/2023</t>
  </si>
  <si>
    <t>RT ACAPULCO &gt; LUCIENE E AMAURI</t>
  </si>
  <si>
    <t>29/11/2023</t>
  </si>
  <si>
    <t>3/3 - PROJETO  - Rua Conde D’Eu,861&gt;&gt;&gt; 3/3</t>
  </si>
  <si>
    <t>19/11/2023</t>
  </si>
  <si>
    <t>RT PEDIDO 7080 - FARIZE</t>
  </si>
  <si>
    <t>ELIANE - VALE TRANSPORTE - Referente Dezembro</t>
  </si>
  <si>
    <t>01/12/2023</t>
  </si>
  <si>
    <t>1°PARCELA 13° SALÁRIO ELIANE</t>
  </si>
  <si>
    <t>13°SALÁRIO</t>
  </si>
  <si>
    <t>FÉRIAS_ELIANE_REFERENTE ANO 2023</t>
  </si>
  <si>
    <t>DE AQUISIÇÃO - 22/01 A 21/01/2023</t>
  </si>
  <si>
    <t>DIÁRIAS  JULIANA SOARES - REFERENTE NOVEMBRO</t>
  </si>
  <si>
    <t>DIÁRIAS: 04-11-18-25 OUTUBRO</t>
  </si>
  <si>
    <t>SALÁRIO - JULYA 12/12</t>
  </si>
  <si>
    <t>93994281849</t>
  </si>
  <si>
    <t>MARIO NAJM</t>
  </si>
  <si>
    <t>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t>
  </si>
  <si>
    <t>3/3 - COMISSÃO PROJETO MARIEL E FAUSTO 3/3</t>
  </si>
  <si>
    <t>2/2 - COMISSÃO PROJETO VIRNA E ERIC 2/2</t>
  </si>
  <si>
    <t>2/4 - COMISSÃO GABI E DANIEL 2/4</t>
  </si>
  <si>
    <t>2/3 - COMISSÃO PROJETO AIR BROOKLIN DIANA E DIOGO 2/3</t>
  </si>
  <si>
    <t>2/2 - COMISSÃO PROJETO FIGUEREIDO BERTONI 2/2</t>
  </si>
  <si>
    <t>3/4 - PROJETO  3/4</t>
  </si>
  <si>
    <t>05/12/2023</t>
  </si>
  <si>
    <t>2/6 - GERENCIAMENTO RIVIERA  2/6</t>
  </si>
  <si>
    <t>10/12/2023</t>
  </si>
  <si>
    <t>08/01/2024</t>
  </si>
  <si>
    <t>02/01/2024</t>
  </si>
  <si>
    <t>06/12/2023</t>
  </si>
  <si>
    <t>SODEXO_ELIANE 12/12</t>
  </si>
  <si>
    <t>29/12/2023</t>
  </si>
  <si>
    <t>RT - CAMILA DOSSE E PAULO</t>
  </si>
  <si>
    <t>11/12/2023</t>
  </si>
  <si>
    <t>12/35 - DARF ISS 12/36</t>
  </si>
  <si>
    <t>03/12/2023</t>
  </si>
  <si>
    <t>2/6 - GERENCIAMENTO RIVIERA 2/6</t>
  </si>
  <si>
    <t>3/6 - GERENCIAMENTO RIVIERA  3/6</t>
  </si>
  <si>
    <t>09/01/2024</t>
  </si>
  <si>
    <t>3/3 - RT &gt; P 1500 / P 15394 / P1094 3/3</t>
  </si>
  <si>
    <t>15/12/2023</t>
  </si>
  <si>
    <t>12/12/2023</t>
  </si>
  <si>
    <t>20319779000110</t>
  </si>
  <si>
    <t>SR SKY SERRALHERIA</t>
  </si>
  <si>
    <t>RT  FARIZE ELEANDRO</t>
  </si>
  <si>
    <t>22/12/2023</t>
  </si>
  <si>
    <t>1/4 - GERENCIAMENTO: Rua Conde D’Eu,861 - Alto da Boa Vista 1/4</t>
  </si>
  <si>
    <t>20/12/2023</t>
  </si>
  <si>
    <t>RT PEDIDO 25241223 - O PARQUE_DIANA E DIOGO</t>
  </si>
  <si>
    <t>07/12/2023</t>
  </si>
  <si>
    <t>10/01/2024</t>
  </si>
  <si>
    <t>14/12/2023</t>
  </si>
  <si>
    <t>18379385000105</t>
  </si>
  <si>
    <t>VICTOR H ESTEVES PENAZZO</t>
  </si>
  <si>
    <t>1/3 - PROJETO INTERIORES  1/3</t>
  </si>
  <si>
    <t>PROJETO INTERIORES</t>
  </si>
  <si>
    <t>2/5 - GERENCIAMENTO  O PARQUE  2/5</t>
  </si>
  <si>
    <t>RT - MARIEL E FAUSTO BOLDRINI</t>
  </si>
  <si>
    <t>RT CAMILA DOSSE E PAULO RAMOS - 2° DEPÓSITO</t>
  </si>
  <si>
    <t>18/12/2023</t>
  </si>
  <si>
    <t>3/3 - GERENCIAMENTO - EDIFICIO D'ORU 3/3</t>
  </si>
  <si>
    <t>19/12/2023</t>
  </si>
  <si>
    <t>3/3 - GERENCIAMENTO PROJETO CORPORATIVO  3/3</t>
  </si>
  <si>
    <t>13/12/2023</t>
  </si>
  <si>
    <t>23/12/2023</t>
  </si>
  <si>
    <t>1/12 - CONDOMINIO+ALUGUEL  1/12</t>
  </si>
  <si>
    <t>05/01/2024</t>
  </si>
  <si>
    <t>2° PARCELA 13° SALÁRIO - ELIANE</t>
  </si>
  <si>
    <t>04/12/2023</t>
  </si>
  <si>
    <t>1/13 - SALÁRIO - JULYA FIGUEIREDO - COORDENADORA 1/13</t>
  </si>
  <si>
    <t>01/01/2024</t>
  </si>
  <si>
    <t>REFERENTE AO MÊS DE DEZEMBRO / 2024</t>
  </si>
  <si>
    <t>22/41</t>
  </si>
  <si>
    <t>31/12/2023</t>
  </si>
  <si>
    <t>6/59 - DARF PIS 6/60</t>
  </si>
  <si>
    <t>25/12/2023</t>
  </si>
  <si>
    <t>DARF PREVIDENCIARIO 13°/2023</t>
  </si>
  <si>
    <t>DARF CSRF-Oficina de Ceramicas e Artes</t>
  </si>
  <si>
    <t>SERVIÇO PRESTADO &gt; MILENA VIANA DA SILVA MORAES</t>
  </si>
  <si>
    <t>1/12 - SALÁRIO MAYARA OLIVEIRA  1/12</t>
  </si>
  <si>
    <t>REFERENTE S DEZEMBRO</t>
  </si>
  <si>
    <t>DIÁRIAS  JULIANA SOARES - REFERENTE DEZEMBRO</t>
  </si>
  <si>
    <t>21/12/2023</t>
  </si>
  <si>
    <t>RT ORÇ 7881 - ALDEMIRA</t>
  </si>
  <si>
    <t>RT -  Pedido 156455 - CRISTIANE UFLACKER</t>
  </si>
  <si>
    <t>26/08/2023</t>
  </si>
  <si>
    <t>27/12/2023</t>
  </si>
  <si>
    <t xml:space="preserve">26/08/2023 - O pedido 156455 foi efetuado em 3 parcelas :
26/09&gt;26/10&gt;27/11 + 30 dias para pagamento 
  </t>
  </si>
  <si>
    <t>RT REFERENTE :MÊS DE NOVEMBRO</t>
  </si>
  <si>
    <t>ENÉRGIA ELETRICA - referente a dezembro/23</t>
  </si>
  <si>
    <t>13° CONTABILIDADE</t>
  </si>
  <si>
    <t>71929145000110</t>
  </si>
  <si>
    <t>ANGIOVASC_MÉDICO DO TRABALHO</t>
  </si>
  <si>
    <t>EXAME PERIÓDICO: ELIANE</t>
  </si>
  <si>
    <t>Exame do Trabalho</t>
  </si>
  <si>
    <t>2/2 - PROJETO GUARUJÁ _ACAPULCO 2/2 + REEMBOLSO OBRA FACIL</t>
  </si>
  <si>
    <t>39520582000172</t>
  </si>
  <si>
    <t>HATHI (AGRA TAPETES-RJ)</t>
  </si>
  <si>
    <t>RT PEDIDO - 5715 - RONEI GOMES</t>
  </si>
  <si>
    <t>20415814000102</t>
  </si>
  <si>
    <t>HATHI (Asher Rio Comercio de Tapetes)</t>
  </si>
  <si>
    <t>RT PEDIDO 5716 - RONEI GOMES</t>
  </si>
  <si>
    <t>RT PEDIDO EBCJ 1170A_ESTUDIO BOLA &gt; O PARQUE_Diogo e Diana</t>
  </si>
  <si>
    <t>26/12/2023</t>
  </si>
  <si>
    <t>3/3 - PROJETO AIR BROOKLIN - 02 STUDIOS 3/3</t>
  </si>
  <si>
    <t>RT PEDIDO 0290 - FARIZE</t>
  </si>
  <si>
    <t>4/4 - RT DIFERNÇA _ AMAURI E LUCIENE ACAPULGO GUARUJÁ 4/4</t>
  </si>
  <si>
    <t>10349826000114</t>
  </si>
  <si>
    <t>POSITANO ATELIER</t>
  </si>
  <si>
    <t>RT 19598 - CAMILA DOSSE</t>
  </si>
  <si>
    <t>28/12/2023</t>
  </si>
  <si>
    <t>74417353000128</t>
  </si>
  <si>
    <t>RANIERI MARMORES E GRANITOS LTDA</t>
  </si>
  <si>
    <t>RT PEDIDO DE VENDA 1416 Ref. Orç: 13462 O PARQUE</t>
  </si>
  <si>
    <t>30/01/2024</t>
  </si>
  <si>
    <t>1/12 - PRÓ LABORE MAYARA CLA 1/13</t>
  </si>
  <si>
    <t>1/12 - PRÓ LABORE NATASHA  1/13</t>
  </si>
  <si>
    <t>3/4 - COMISSÃO GABI E DANIEL 3/4</t>
  </si>
  <si>
    <t>3/3 - COMISSÃO PROJETO AIR BROOKLIN DIANA E DIOGO 3/3</t>
  </si>
  <si>
    <t>1/3 - COMISSÃO PROJETO CAROL E VICTOR 1/3</t>
  </si>
  <si>
    <t>COMISSÃO REFERENTE AO PROJETO CAROL E VICTOR
VALOR PROJETO R$15.000,00 X 3%=R$ 450,00
01/01/24_R$ 150.00
01/02/24_R$ 150.00
01/03/24_R$ 150.00</t>
  </si>
  <si>
    <t>4/4 - PROJETO  4/4</t>
  </si>
  <si>
    <t>04/01/2024</t>
  </si>
  <si>
    <t>RT - PAULO E CAMILA DOSSE</t>
  </si>
  <si>
    <t>1/12 - HONORÁRIOS CONTÁBEIS  1/12</t>
  </si>
  <si>
    <t>29/01/2024</t>
  </si>
  <si>
    <t>1/12 - SALÁRIO ELIANE  1/12</t>
  </si>
  <si>
    <t>14/35 - DARF ISS 14/36</t>
  </si>
  <si>
    <t>SODEXO_ELIANE 11/12</t>
  </si>
  <si>
    <t>14/01/2024</t>
  </si>
  <si>
    <t>RT - MARIEL E RONEI</t>
  </si>
  <si>
    <t>06/02/2024</t>
  </si>
  <si>
    <t>1/12 - FGTS  1/12</t>
  </si>
  <si>
    <t>3/6 - GERENCIAMENTO RIVIERA 3/6</t>
  </si>
  <si>
    <t>RT_AMAURI _ LUCIENE GIL MARCHI</t>
  </si>
  <si>
    <t>RT CAMILA DOSSE E PAULO RAMOS  - 3° DEPÓSITO</t>
  </si>
  <si>
    <t>RT PEDIDO 14123960 - DIANA E DIOGO_PROJETO O PARQUE</t>
  </si>
  <si>
    <t>15/01/2024</t>
  </si>
  <si>
    <t>RT PEDIDO 20.5401 - Condominio Edificio Kensington Park</t>
  </si>
  <si>
    <t>19/01/2024</t>
  </si>
  <si>
    <t>2/2 - PROJETO RESIDENCIAL  2/2</t>
  </si>
  <si>
    <t>3/5 - GERENCIAMENTO  O PARQUE  3/5</t>
  </si>
  <si>
    <t>16/01/2024</t>
  </si>
  <si>
    <t>06954852000285</t>
  </si>
  <si>
    <t>MARIA CASA PIA (FRANCISCO RIBEIRO NETO)</t>
  </si>
  <si>
    <t>RT PEDIDO 00135908 - CAMILA DOSSE</t>
  </si>
  <si>
    <t>RT &gt; PAGO NO MÊS SUBSEQUENTE DA ENTREGA DO PRODUTO (PREVISÃO 07/12)</t>
  </si>
  <si>
    <t>20/01/2024</t>
  </si>
  <si>
    <t>17/01/2024</t>
  </si>
  <si>
    <t>RT PEDIDO DE VENDA Nº 283064 - COND EDIF KENSINGTON PARK</t>
  </si>
  <si>
    <t>DARF IRRF IGRA</t>
  </si>
  <si>
    <t>2/4 - GERENCIAMENTO: Rua Conde D’Eu,861 - Alto da Boa Vista 2/4</t>
  </si>
  <si>
    <t>22/01/2024</t>
  </si>
  <si>
    <t>2/3 - PROJETO INTERIORES  2/3</t>
  </si>
  <si>
    <t>21/01/2024</t>
  </si>
  <si>
    <t>RT PEDIDO 40131 - RONEI_CLAUDIA</t>
  </si>
  <si>
    <t>23/01/2024</t>
  </si>
  <si>
    <t>1/4 - DARF COFINS - TRIMESTRAL 1/4</t>
  </si>
  <si>
    <t>24/01/2024</t>
  </si>
  <si>
    <t>IMPOSTOS TRIMESTRAIS</t>
  </si>
  <si>
    <t>7/59 - DARF PIS 7/60</t>
  </si>
  <si>
    <t>1/4 - GERENCIAMENTO AIR BROOKLIN - 02 STUDIOS 1/4</t>
  </si>
  <si>
    <t>26/01/2024</t>
  </si>
  <si>
    <t>RT PEDIDO 40190 - CAROL E VOCTOR PENAZZO</t>
  </si>
  <si>
    <t>RT REFERENTE MÊS DE DEZEMBRO</t>
  </si>
  <si>
    <t>1/12 - ENEL - ENERGIA ELÉTRICA referente a janeiro 1/12</t>
  </si>
  <si>
    <t>04/10/2023</t>
  </si>
  <si>
    <t>31/01/2024</t>
  </si>
  <si>
    <t>VALE TRANSPORTE - REFERENTE MÊS DE FEVEREIRO</t>
  </si>
  <si>
    <t>01/02/2024</t>
  </si>
  <si>
    <t>18 DIAS UTEIS - DESCONTADO DIAS - 13-14-15 DE CARNAVAL</t>
  </si>
  <si>
    <t>1/12 - DIÁRIAS JULIANA SOARES  1/12</t>
  </si>
  <si>
    <t>DIARIAS REFERENTE A JANEIRO - 05-10-17-24-31</t>
  </si>
  <si>
    <t>RT PEDIDO 185075 - CLIENTE RONEI E CLAUDIA</t>
  </si>
  <si>
    <t>1/12 - ELIANE - VALE TRANSPORTE MÊS DE FEVEREIRO 1/12</t>
  </si>
  <si>
    <t>23/41</t>
  </si>
  <si>
    <t>18/01/2024</t>
  </si>
  <si>
    <t>4/4 - AGUARDANDO INSTALAÇÃO PARA RT - RIVIEIRA - COND. ED ALMIRANTE  - MARIA ISABEL NAJM E FABIO NAJM 4/4</t>
  </si>
  <si>
    <t>RT PEDIDO AASA78 - CAMILA E PAULO RAMOS e ABVH52 FARIZE e LEANDRO</t>
  </si>
  <si>
    <t>4/4 - COMISSÃO GABI E DANIEL 4/4</t>
  </si>
  <si>
    <t>2/3 - COMISSÃO PROJETO CAROL E VICTOR 2/3</t>
  </si>
  <si>
    <t>2/11 - SODEXO - ELIANE 2/12</t>
  </si>
  <si>
    <t>2/13 - SALÁRIO - JULYA FIGUEIREDO - COORDENADORA 2/13</t>
  </si>
  <si>
    <t>2/12 - SALÁRIO MAYARA OLIVEIRA  2/12</t>
  </si>
  <si>
    <t>2/12 - SALÁRIO ELIANE  2/12</t>
  </si>
  <si>
    <t>5/12 - DARF IRPJ_TRIMESTRAL 5/12</t>
  </si>
  <si>
    <t>5/11 - DARF CSLL _TRIMESTRAL 5/12</t>
  </si>
  <si>
    <t>2/12 - FGTS  2/12</t>
  </si>
  <si>
    <t>07/02/2024</t>
  </si>
  <si>
    <t>2/12 - CONDOMINIO+ALUGUEL  2/12</t>
  </si>
  <si>
    <t>05/02/2024</t>
  </si>
  <si>
    <t>2/12 - PRÓ LABORE MAYARA CLA 2/13</t>
  </si>
  <si>
    <t>2/12 - PRÓ LABORE NATASHA  2/13</t>
  </si>
  <si>
    <t>2/12 - DIÁRIAS JULIANA SOARES_referente a fevereiro  2/12</t>
  </si>
  <si>
    <t>29/02/2024</t>
  </si>
  <si>
    <t>1/5 - GERENCIAMENTO - GABRIELA BROSCO E DANIEL  1/5</t>
  </si>
  <si>
    <t>RT PEDIDO 25241223 - DIOGO&gt; PROJETO: O PARQUE</t>
  </si>
  <si>
    <t>14/02/2024</t>
  </si>
  <si>
    <t>RT ORÇ 2530- R01 - MARIEL E FAUSTO BOLDRINI</t>
  </si>
  <si>
    <t>09/02/2024</t>
  </si>
  <si>
    <t>15/35 - DARF ISS 15/36</t>
  </si>
  <si>
    <t>01316105000117</t>
  </si>
  <si>
    <t>PEDRAS MUNDIAL</t>
  </si>
  <si>
    <t>RT-24/01- FAUSTO E MARIEL</t>
  </si>
  <si>
    <t>RT PEDIDO 100782 - CAMILA DOSSE</t>
  </si>
  <si>
    <t>28/02/2024</t>
  </si>
  <si>
    <t>4/6 - GERENCIAMENTO RIVIERA  4/6</t>
  </si>
  <si>
    <t>08/02/2024</t>
  </si>
  <si>
    <t>2/12 - HONORÁRIOS CONTÁBEIS  2/12</t>
  </si>
  <si>
    <t>RT PEDIDO 30425/027951 - CLIENTE: BALTIMORE (STEPAHANIE )</t>
  </si>
  <si>
    <t>10/02/2024</t>
  </si>
  <si>
    <t>RT  - Pedido: 27297 / 025656 Cliente:  VICTOR E CAROL</t>
  </si>
  <si>
    <t>12/02/2024</t>
  </si>
  <si>
    <t>RT PEDIDO 186030 - CAMILA DOSSE E PAULO</t>
  </si>
  <si>
    <t>02/02/2024</t>
  </si>
  <si>
    <t>20/02/2024</t>
  </si>
  <si>
    <t>RT CAMILA DOSSE E PAULO</t>
  </si>
  <si>
    <t>23/02/2024</t>
  </si>
  <si>
    <t>3/4 - GERENCIAMENTO: Rua Conde D’Eu,861 - Alto da Boa Vista 3/4</t>
  </si>
  <si>
    <t>18/02/2024</t>
  </si>
  <si>
    <t>4/6 - GERENCIAMENTO RIVIERA 4/6</t>
  </si>
  <si>
    <t>22752241000120</t>
  </si>
  <si>
    <t>INOVAR ESQUADRIAS E ALUMINIO</t>
  </si>
  <si>
    <t>1/4 - RT PEDIDO RE 26071-2023 - FAUSTO BOLDINI E MARIEL  1/5</t>
  </si>
  <si>
    <t>15/02/2024</t>
  </si>
  <si>
    <t>4/5 - GERENCIAMENTO  O PARQUE  4/5</t>
  </si>
  <si>
    <t>16/02/2024</t>
  </si>
  <si>
    <t>RT PEDIDO FAUSTO E MARIEL</t>
  </si>
  <si>
    <t>12/03/2024</t>
  </si>
  <si>
    <t>19/02/2024</t>
  </si>
  <si>
    <t>REPOSIÇÃO MATERIAS ESCRITÓRIO+LIMPEZA</t>
  </si>
  <si>
    <t>LEPOK DISTRIBUIÇÃO  - 65,80
GPS - 64,74</t>
  </si>
  <si>
    <t>8/59 - DARF PIS 8/60</t>
  </si>
  <si>
    <t>21/02/2024</t>
  </si>
  <si>
    <t>RT PEDIDO 25500224 - DIANA E DIOGO_ O PARQUE</t>
  </si>
  <si>
    <t>22/02/2024</t>
  </si>
  <si>
    <t>01528455000147</t>
  </si>
  <si>
    <t>STARINOX</t>
  </si>
  <si>
    <t>RT_ORÇ 045-A/2024  - MARIEL_FAUSTO BOLDRINI</t>
  </si>
  <si>
    <t>DARF COFINS</t>
  </si>
  <si>
    <t>18108749123</t>
  </si>
  <si>
    <t>BETO E BRUNA</t>
  </si>
  <si>
    <t>1/2 - PROJETO RESIDENCIAL &gt;( Av.Francisco Matarazzo,1850) 1/2</t>
  </si>
  <si>
    <t>Dinheiro</t>
  </si>
  <si>
    <t>06/03/2024</t>
  </si>
  <si>
    <t>DEVOLUÇÃO DE DIFERENÇA SOBRE NF 367</t>
  </si>
  <si>
    <t>2/4 - GERENCIAMENTO AIR BROOKLIN - 02 STUDIOS 2/4</t>
  </si>
  <si>
    <t>26/02/2024</t>
  </si>
  <si>
    <t>2/12 - ENEL - ENERGIA ELÉTRICA referente a janeiro 2/12</t>
  </si>
  <si>
    <t>RT REFERENTE PEDIDO JANEIRO</t>
  </si>
  <si>
    <t>RT PEDIDO 1445 - AMAURI MARCHI JR</t>
  </si>
  <si>
    <t>RT QUAKER - PEDIDO PJ15822 - CAROL E VICTOR PENAZZO</t>
  </si>
  <si>
    <t>RT CODEX - PEDIDO 8452 - VICTOR PENAZZO</t>
  </si>
  <si>
    <t>47981659000130</t>
  </si>
  <si>
    <t>LUSTRECO COM DE ILUMINAÇÃO E DEC</t>
  </si>
  <si>
    <t>RT PEDIDO 81382 - VICTOR PENAZZO E CAROL</t>
  </si>
  <si>
    <t>24/41</t>
  </si>
  <si>
    <t>11815477000141</t>
  </si>
  <si>
    <t>VASO &amp; COR</t>
  </si>
  <si>
    <t>RT VICTOR PENAZZO  E CAROL</t>
  </si>
  <si>
    <t xml:space="preserve">RT 20% &gt; % FICA AO CRITÉRIO DO ARQUITETO EM DIVIDIR COM O CLIENTE COMO CONDIÇÕES DE DESCONTO PARA  PAGAMENTO </t>
  </si>
  <si>
    <t>01/03/2024</t>
  </si>
  <si>
    <t>3/12 - SALÁRIO MAYARA OLIVEIRA  3/12</t>
  </si>
  <si>
    <t>2/12 - ELIANE - VALE TRANSPORTE MÊS DE MARÇO 2/12</t>
  </si>
  <si>
    <t>CURSO ILUMINAÇÃO NICOLE GOMES</t>
  </si>
  <si>
    <t>Cursos e Treinamentos</t>
  </si>
  <si>
    <t>10434541000181</t>
  </si>
  <si>
    <t>DO IT SERV  INFORMÁTICA</t>
  </si>
  <si>
    <t>DO IT - PLATAFORMA DE GESTÃO</t>
  </si>
  <si>
    <t>Contrato de Serviços</t>
  </si>
  <si>
    <t>1/5 - GERENCIAMENTO  1/5</t>
  </si>
  <si>
    <t>3/12 - PRÓ LABORE MAYARA CLA 3/13</t>
  </si>
  <si>
    <t>3/12 - PRÓ LABORE NATASHA  3/13</t>
  </si>
  <si>
    <t>3/12 - SALÁRIO ELIANE  3/12</t>
  </si>
  <si>
    <t>3/3 - COMISSÃO PROJETO CAROL E VICTOR 3/3</t>
  </si>
  <si>
    <t>3/13 - SALÁRIO - JULYA FIGUEIREDO - COORDENADORA 3/13</t>
  </si>
  <si>
    <t>1/11 - SALÁRIO - MANU_ESTAGIÁRIA  1/11</t>
  </si>
  <si>
    <t>1/10 - SALÁRIO KARINA ESTAGIARIA 1/10</t>
  </si>
  <si>
    <t>02/03/2024</t>
  </si>
  <si>
    <t>2/5 - GERENCIAMENTO - GABRIELA BROSCO E DANIEL  2/5</t>
  </si>
  <si>
    <t>3/12 - ENEL - ENERGIA ELÉTRICA referente a janeiro 3/12</t>
  </si>
  <si>
    <t>03/03/2024</t>
  </si>
  <si>
    <t>RT OR 0847 - CAROL E VICTOR PENAZZO</t>
  </si>
  <si>
    <t>04/03/2024</t>
  </si>
  <si>
    <t>03072868000195</t>
  </si>
  <si>
    <t>ARTELEITURA (SANDRODE MOURA ALMEIDA)</t>
  </si>
  <si>
    <t>RT VICTOR PENAZZO_CAROL</t>
  </si>
  <si>
    <t>3/12 - FGTS  3/12</t>
  </si>
  <si>
    <t>20/03/2024</t>
  </si>
  <si>
    <t>61198164000160</t>
  </si>
  <si>
    <t>PORTO SEGURO</t>
  </si>
  <si>
    <t>SEGURO DE VIDA ANUAL -  ESTAGIARIO KARINA OURIQUE</t>
  </si>
  <si>
    <t>05/03/2024</t>
  </si>
  <si>
    <t>Seguro de Vida</t>
  </si>
  <si>
    <t>BENEFICIO ESTAGIARIO</t>
  </si>
  <si>
    <t>3/12 - CONDOMINIO+ALUGUEL  3/12</t>
  </si>
  <si>
    <t>08/03/2024</t>
  </si>
  <si>
    <t>1/3 - PROJETO GRAND VITALI _ DIANA E DIOGO  1/3</t>
  </si>
  <si>
    <t>RT PEDIDO 8.173 - O PARQUE (DIOGO ♥ DIANA)</t>
  </si>
  <si>
    <t>RT PEDIDOS 14124450/14124452 . AIR BROOKLIN_DIANA E DIOGO</t>
  </si>
  <si>
    <t>09/03/2024</t>
  </si>
  <si>
    <t>5/6 - GERENCIAMENTO RIVIERA  5/6</t>
  </si>
  <si>
    <t>10/03/2024</t>
  </si>
  <si>
    <t>3/12 - HONORÁRIOS CONTÁBEIS  3/12</t>
  </si>
  <si>
    <t>5/6 - GERENCIAMENTO RIVIERA 5/6</t>
  </si>
  <si>
    <t>11/03/2024</t>
  </si>
  <si>
    <t>16/35 - DARF ISS 16/36</t>
  </si>
  <si>
    <t>3/3 - PROJETO INTERIORES  3/3</t>
  </si>
  <si>
    <t>RT PEDIDO 10044181 - VICTOR PENAZZO E CAROL</t>
  </si>
  <si>
    <t>13/03/2024</t>
  </si>
  <si>
    <t>RT PEDIDO  CAROL E VICTOR PENAZZO</t>
  </si>
  <si>
    <t>Programa de fidelidade</t>
  </si>
  <si>
    <t>Em aberto</t>
  </si>
  <si>
    <t>15/03/2024</t>
  </si>
  <si>
    <t>5/5 - GERENCIAMENTO  O PARQUE  5/5</t>
  </si>
  <si>
    <t>RT &gt; O PARQUE - DIANA♥DIOGO -</t>
  </si>
  <si>
    <t>RT terá desconto de 250 reais referente uma compra feita pela Mayara</t>
  </si>
  <si>
    <t>RT PEDIDO 25500224 - O PARQUE_DIOGO</t>
  </si>
  <si>
    <t>16/03/2024</t>
  </si>
  <si>
    <t>2/4 - RT PEDIDO RE 26071-2023 - FAUSTO BOLDINI E MARIEL  2/5</t>
  </si>
  <si>
    <t>19/03/2024</t>
  </si>
  <si>
    <t>4/4 - GERENCIAMENTO: Rua Conde D’Eu,861 - Alto da Boa Vista 4/4</t>
  </si>
  <si>
    <t>RT PROP 357-23 - O PARQUE_DIOGO_DIANA</t>
  </si>
  <si>
    <t>27/02/2024</t>
  </si>
  <si>
    <t>84106356317</t>
  </si>
  <si>
    <t>RICARDO BUSSOLAN JUAN</t>
  </si>
  <si>
    <t>1/4 - PROJETO  RICARDO JUAN E LILI 1/4</t>
  </si>
  <si>
    <t>CPF não pertence ao cliente &gt; foi gerado no site para realização do caadastro 
https://www.geradordecpf.org/</t>
  </si>
  <si>
    <t>TERAPLUS SERVIÇOS DE INFORMÁTICA</t>
  </si>
  <si>
    <t>PRESTAÇÃO SERVIÇOS INFORMÁTICA</t>
  </si>
  <si>
    <t>22/03/2024</t>
  </si>
  <si>
    <t>1/4 - GERENCIAMENTO &gt; Contrato: Salão de Festa_Churrasqueira_Hall Social  1/4</t>
  </si>
  <si>
    <t>3/4 - GERENCIAMENTO &gt; Contrato: Salão de Festa_Churrasqueira_Hall Social  3/4</t>
  </si>
  <si>
    <t>1/4 - GERENCIAMENTO &gt; Contrato: Salão de Jogos_Academia 1/4</t>
  </si>
  <si>
    <t>24/03/2024</t>
  </si>
  <si>
    <t>3/4 - GERENCIAMENTO AIR BROOKLIN - 02 STUDIOS 3/4</t>
  </si>
  <si>
    <t>28/03/2024</t>
  </si>
  <si>
    <t>RT PEDIDO 38429-COMPRA 034756 - FARIZE</t>
  </si>
  <si>
    <t>29/03/2024</t>
  </si>
  <si>
    <t>3/11 - SODEXO - ELIANE 3/12</t>
  </si>
  <si>
    <t>10417379000193</t>
  </si>
  <si>
    <t>GRANIDOMUS (Elepar Ind e Com)</t>
  </si>
  <si>
    <t>RT PEDIDO 3159C - FAUSTO E MARIEL</t>
  </si>
  <si>
    <t>44346930000177</t>
  </si>
  <si>
    <t>COLORMIX STORE (Braville ou Brasmix)</t>
  </si>
  <si>
    <t>RT PEDIDOS:243850/51/52/53</t>
  </si>
  <si>
    <t>1/2 - RT - O PARQUE_DIOGO_DIANA 1/2</t>
  </si>
  <si>
    <t>31/03/2024</t>
  </si>
  <si>
    <t>25/41</t>
  </si>
  <si>
    <t>18/03/2024</t>
  </si>
  <si>
    <t>4/13 - SALÁRIO - JULYA FIGUEIREDO - COORDENADORA 4/13</t>
  </si>
  <si>
    <t>3/12 - DIÁRIAS JULIANA SOARES_referente a março  3/12</t>
  </si>
  <si>
    <t>3/12 - ELIANE - VALE TRANSPORTE MÊS DE ABRIL 3/12</t>
  </si>
  <si>
    <t>01/04/2024</t>
  </si>
  <si>
    <t>2/5 - GERENCIAMENTO  2/5</t>
  </si>
  <si>
    <t>4/12 - PRÓ LABORE MAYARA CLA 4/13</t>
  </si>
  <si>
    <t>4/12 - PRÓ LABORE NATASHA  4/13</t>
  </si>
  <si>
    <t>4/12 - SALÁRIO ELIANE  4/12</t>
  </si>
  <si>
    <t>4/12 - SALÁRIO MAYARA OLIVEIRA  4/12</t>
  </si>
  <si>
    <t>3/5 - GERENCIAMENTO - GABRIELA BROSCO E DANIEL  3/5</t>
  </si>
  <si>
    <t>4/12 - ENEL - ENERGIA ELÉTRICA referente a janeiro 4/12</t>
  </si>
  <si>
    <t>2/11 - SALÁRIO - MANU_ESTAGIÁRIA  2/11</t>
  </si>
  <si>
    <t>2/10 - SALÁRIO KARINA ESTAGIARIA 2/10</t>
  </si>
  <si>
    <t>05/04/2024</t>
  </si>
  <si>
    <t>4/12 - CONDOMINIO+ALUGUEL  4/12</t>
  </si>
  <si>
    <t>08/04/2024</t>
  </si>
  <si>
    <t>6/6 - GERENCIAMENTO RIVIERA  6/6</t>
  </si>
  <si>
    <t>2/3 - PROJETO GRAND VITALI _ DIANA E DIOGO  2/3</t>
  </si>
  <si>
    <t>09/04/2024</t>
  </si>
  <si>
    <t>4/12 - HONORÁRIOS CONTÁBEIS  4/12</t>
  </si>
  <si>
    <t>10/04/2024</t>
  </si>
  <si>
    <t>17/35 - DARF ISS 17/36</t>
  </si>
  <si>
    <t>6/6 - GERENCIAMENTO RIVIERA 6/6</t>
  </si>
  <si>
    <t>RT ORÇ 2530-R01 - MARIEL_FAUSTO BOLDRINI</t>
  </si>
  <si>
    <t>13/04/2024</t>
  </si>
  <si>
    <t>4/11 - SODEXO - ELIANE 4/12</t>
  </si>
  <si>
    <t>15/04/2024</t>
  </si>
  <si>
    <t>3/4 - RT PEDIDO RE 26071-2023 - FAUSTO BOLDINI E MARIEL  3/5</t>
  </si>
  <si>
    <t>RT PEDIDO 033224 - VICTOR PENAZZO</t>
  </si>
  <si>
    <t>19/04/2024</t>
  </si>
  <si>
    <t>4/12 - FGTS  4/12</t>
  </si>
  <si>
    <t>20/04/2024</t>
  </si>
  <si>
    <t>RT PEDIDO 40471 - VICTOR PENAZZO</t>
  </si>
  <si>
    <t>RT PEDIDO 39643 - MARIO NAJM</t>
  </si>
  <si>
    <t>2/4 - PROJETO  RICARDO JUAN E LILI 2/4</t>
  </si>
  <si>
    <t>21/04/2024</t>
  </si>
  <si>
    <t>6/11 - DARF CSLL 6/12</t>
  </si>
  <si>
    <t>6/12 - DARF IRPJ 6/12</t>
  </si>
  <si>
    <t>4/4 - GERENCIAMENTO &gt; Contrato: Salão de Festa_Churrasqueira_Hall Social  4/4</t>
  </si>
  <si>
    <t>22/04/2024</t>
  </si>
  <si>
    <t>2/4 - GERENCIAMENTO &gt; Contrato: Salão de Festa_Churrasqueira_Hall Social  2/4</t>
  </si>
  <si>
    <t>23/04/2024</t>
  </si>
  <si>
    <t>4/4 - GERENCIAMENTO AIR BROOKLIN - 02 STUDIOS 4/4</t>
  </si>
  <si>
    <t>2/4 - DARF COFINS - TRIMESTRAL 2/4</t>
  </si>
  <si>
    <t>2/4 - GERENCIAMENTO &gt; Contrato: Salão de Jogos_Academia 2/4</t>
  </si>
  <si>
    <t>28/04/2024</t>
  </si>
  <si>
    <t>2/2 - RT - O PARQUE_DIOGO_DIANA 2/2</t>
  </si>
  <si>
    <t>29/04/2024</t>
  </si>
  <si>
    <t>1/3 - RT -  AIR BROOKLIN_DIOGO 1/3</t>
  </si>
  <si>
    <t>RT Conforme condições do cliente &gt; primeiro pagamento previsto somente em Abril</t>
  </si>
  <si>
    <t>30/04/2024</t>
  </si>
  <si>
    <t>26/41</t>
  </si>
  <si>
    <t>18/04/2024</t>
  </si>
  <si>
    <t>5/13 - SALÁRIO - JULYA FIGUEIREDO - COORDENADORA 5/13</t>
  </si>
  <si>
    <t>4/12 - DIÁRIAS JULIANA SOARES  4/12</t>
  </si>
  <si>
    <t>4/12 - ELIANE - VALE TRANSPORTE MÊS DE MAIO 4/12</t>
  </si>
  <si>
    <t>01/05/2024</t>
  </si>
  <si>
    <t>3/5 - GERENCIAMENTO  3/5</t>
  </si>
  <si>
    <t>5/12 - PRÓ LABORE MAYARA CLA 5/13</t>
  </si>
  <si>
    <t>5/12 - PRÓ LABORE NATASHA  5/13</t>
  </si>
  <si>
    <t>5/12 - SALÁRIO ELIANE  5/12</t>
  </si>
  <si>
    <t>5/12 - SALÁRIO MAYARA OLIVEIRA  5/12</t>
  </si>
  <si>
    <t>4/5 - GERENCIAMENTO - GABRIELA BROSCO E DANIEL  4/5</t>
  </si>
  <si>
    <t>5/12 - ENEL - ENERGIA ELÉTRICA referente a janeiro 5/12</t>
  </si>
  <si>
    <t>3/11 - SALÁRIO - MANU_ESTAGIÁRIA  3/11</t>
  </si>
  <si>
    <t>3/10 - SALÁRIO KARINA ESTAGIARIA 3/10</t>
  </si>
  <si>
    <t>06/05/2024</t>
  </si>
  <si>
    <t>5/12 - CONDOMINIO+ALUGUEL  5/12</t>
  </si>
  <si>
    <t>08/05/2024</t>
  </si>
  <si>
    <t>3/3 - PROJETO GRAND VITALI _ DIANA E DIOGO  3/3</t>
  </si>
  <si>
    <t>09/05/2024</t>
  </si>
  <si>
    <t>5/12 - HONORÁRIOS CONTÁBEIS  5/12</t>
  </si>
  <si>
    <t>13/05/2024</t>
  </si>
  <si>
    <t>5/11 - SODEXO - ELIANE 5/12</t>
  </si>
  <si>
    <t>15/05/2024</t>
  </si>
  <si>
    <t>4/4 - RT PEDIDO RE 26071-2023 - FAUSTO BOLDINI E MARIEL  4/5</t>
  </si>
  <si>
    <t>19/05/2024</t>
  </si>
  <si>
    <t>5/12 - FGTS  5/12</t>
  </si>
  <si>
    <t>20/05/2024</t>
  </si>
  <si>
    <t>3/4 - PROJETO  RICARDO JUAN E LILI 3/4</t>
  </si>
  <si>
    <t>23/05/2024</t>
  </si>
  <si>
    <t>3/4 - GERENCIAMENTO &gt; Contrato: Salão de Jogos_Academia 3/4</t>
  </si>
  <si>
    <t>29/05/2024</t>
  </si>
  <si>
    <t>18/35 - DARF ISS 18/36</t>
  </si>
  <si>
    <t>2/3 - RT -  AIR BROOKLIN_DIOGO 2/3</t>
  </si>
  <si>
    <t>30/05/2024</t>
  </si>
  <si>
    <t>6/13 - SALÁRIO - JULYA FIGUEIREDO - COORDENADORA 6/13</t>
  </si>
  <si>
    <t>5/12 - DIÁRIAS JULIANA SOARES  5/12</t>
  </si>
  <si>
    <t>5/12 - ELIANE - VALE TRANSPORTE MÊS DE JUNHO 5/12</t>
  </si>
  <si>
    <t>31/05/2024</t>
  </si>
  <si>
    <t>27/41</t>
  </si>
  <si>
    <t>18/05/2024</t>
  </si>
  <si>
    <t>5/5 - GERENCIAMENTO - GABRIELA BROSCO E DANIEL  5/5</t>
  </si>
  <si>
    <t>01/06/2024</t>
  </si>
  <si>
    <t>4/5 - GERENCIAMENTO  4/5</t>
  </si>
  <si>
    <t>4/11 - SALÁRIO - MANU_ESTAGIÁRIA  4/11</t>
  </si>
  <si>
    <t>4/10 - SALÁRIO KARINA ESTAGIARIA 4/10</t>
  </si>
  <si>
    <t>03/06/2024</t>
  </si>
  <si>
    <t>6/12 - PRÓ LABORE MAYARA CLA 6/13</t>
  </si>
  <si>
    <t>6/12 - PRÓ LABORE NATASHA  6/13</t>
  </si>
  <si>
    <t>6/12 - SALÁRIO ELIANE  6/12</t>
  </si>
  <si>
    <t>6/12 - SALÁRIO MAYARA OLIVEIRA  6/12</t>
  </si>
  <si>
    <t>6/12 - ENEL - ENERGIA ELÉTRICA referente a janeiro 6/12</t>
  </si>
  <si>
    <t>05/06/2024</t>
  </si>
  <si>
    <t>6/12 - CONDOMINIO+ALUGUEL  6/12</t>
  </si>
  <si>
    <t>08/06/2024</t>
  </si>
  <si>
    <t>6/12 - HONORÁRIOS CONTÁBEIS  6/12</t>
  </si>
  <si>
    <t>12/06/2024</t>
  </si>
  <si>
    <t>6/11 - SODEXO - ELIANE 6/12</t>
  </si>
  <si>
    <t>18/06/2024</t>
  </si>
  <si>
    <t>6/12 - FGTS  6/12</t>
  </si>
  <si>
    <t>20/06/2024</t>
  </si>
  <si>
    <t>4/4 - PROJETO  RICARDO JUAN E LILI 4/4</t>
  </si>
  <si>
    <t>22/06/2024</t>
  </si>
  <si>
    <t>4/4 - GERENCIAMENTO &gt; Contrato: Salão de Jogos_Academia 4/4</t>
  </si>
  <si>
    <t>28/06/2024</t>
  </si>
  <si>
    <t>19/35 - DARF ISS 19/36</t>
  </si>
  <si>
    <t>29/06/2024</t>
  </si>
  <si>
    <t>7/13 - SALÁRIO - JULYA FIGUEIREDO - COORDENADORA 7/13</t>
  </si>
  <si>
    <t>6/12 - DIÁRIAS JULIANA SOARES  6/12</t>
  </si>
  <si>
    <t>6/12 - ELIANE - VALE TRANSPORTE MÊS DEJULHO 6/12</t>
  </si>
  <si>
    <t>3/3 - RT -  AIR BROOKLIN_DIOGO 3/3</t>
  </si>
  <si>
    <t>30/06/2024</t>
  </si>
  <si>
    <t>28/41</t>
  </si>
  <si>
    <t>01/07/2024</t>
  </si>
  <si>
    <t>5/5 - GERENCIAMENTO  5/5</t>
  </si>
  <si>
    <t>7/12 - PRÓ LABORE MAYARA CLA 7/13</t>
  </si>
  <si>
    <t>7/12 - PRÓ LABORE NATASHA  7/13</t>
  </si>
  <si>
    <t>7/12 - SALÁRIO ELIANE  7/12</t>
  </si>
  <si>
    <t>7/12 - SALÁRIO MAYARA OLIVEIRA  7/12</t>
  </si>
  <si>
    <t>7/12 - ENEL - ENERGIA ELÉTRICA referente a janeiro 7/12</t>
  </si>
  <si>
    <t>5/11 - SALÁRIO - MANU_ESTAGIÁRIA  5/11</t>
  </si>
  <si>
    <t>5/10 - SALÁRIO KARINA ESTAGIARIA 5/10</t>
  </si>
  <si>
    <t>05/07/2024</t>
  </si>
  <si>
    <t>7/12 - CONDOMINIO+ALUGUEL  7/12</t>
  </si>
  <si>
    <t>08/07/2024</t>
  </si>
  <si>
    <t>7/12 - HONORÁRIOS CONTÁBEIS  7/12</t>
  </si>
  <si>
    <t>12/07/2024</t>
  </si>
  <si>
    <t>7/11 - SODEXO - ELIANE 7/12</t>
  </si>
  <si>
    <t>18/07/2024</t>
  </si>
  <si>
    <t>7/12 - FGTS  7/12</t>
  </si>
  <si>
    <t>20/07/2024</t>
  </si>
  <si>
    <t>7/11 - DARF CSLL 7/12</t>
  </si>
  <si>
    <t>7/12 - DARF IRPJ 7/12</t>
  </si>
  <si>
    <t>1/4 - GERENCIAMENTO RICARDO JUAN E LILI 1/4</t>
  </si>
  <si>
    <t>Gerado CPF somente para realização de cadastro CPF 841.063.563-17
https://www.geradordecpf.org/</t>
  </si>
  <si>
    <t>22/07/2024</t>
  </si>
  <si>
    <t>3/4 - DARF COFINS - TRIMESTRAL 3/4</t>
  </si>
  <si>
    <t>28/07/2024</t>
  </si>
  <si>
    <t>20/35 - DARF ISS 20/36</t>
  </si>
  <si>
    <t>29/07/2024</t>
  </si>
  <si>
    <t>8/12 - SALÁRIO ELIANE  8/12</t>
  </si>
  <si>
    <t>8/13 - SALÁRIO - JULYA FIGUEIREDO - COORDENADORA 8/13</t>
  </si>
  <si>
    <t>7/12 - ELIANE - VALE TRANSPORTE MÊS DE AGOSTO 7/12</t>
  </si>
  <si>
    <t>31/07/2024</t>
  </si>
  <si>
    <t>29/41</t>
  </si>
  <si>
    <t>7/12 - DIÁRIAS JULIANA SOARES  7/12</t>
  </si>
  <si>
    <t>01/08/2024</t>
  </si>
  <si>
    <t>8/12 - PRÓ LABORE MAYARA CLA 8/13</t>
  </si>
  <si>
    <t>8/12 - PRÓ LABORE NATASHA  8/13</t>
  </si>
  <si>
    <t>8/12 - SALÁRIO MAYARA OLIVEIRA  8/12</t>
  </si>
  <si>
    <t>8/12 - ENEL - ENERGIA ELÉTRICA referente a janeiro 8/12</t>
  </si>
  <si>
    <t>6/11 - SALÁRIO - MANU_ESTAGIÁRIA  6/11</t>
  </si>
  <si>
    <t>6/10 - SALÁRIO KARINA ESTAGIARIA 6/10</t>
  </si>
  <si>
    <t>05/08/2024</t>
  </si>
  <si>
    <t>8/12 - CONDOMINIO+ALUGUEL  8/12</t>
  </si>
  <si>
    <t>07/08/2024</t>
  </si>
  <si>
    <t>8/12 - HONORÁRIOS CONTÁBEIS  8/12</t>
  </si>
  <si>
    <t>11/08/2024</t>
  </si>
  <si>
    <t>8/11 - SODEXO - ELIANE 8/12</t>
  </si>
  <si>
    <t>17/08/2024</t>
  </si>
  <si>
    <t>8/12 - FGTS  8/12</t>
  </si>
  <si>
    <t>20/08/2024</t>
  </si>
  <si>
    <t>2/4 - GERENCIAMENTO RICARDO JUAN E LILI 2/4</t>
  </si>
  <si>
    <t>27/08/2024</t>
  </si>
  <si>
    <t>21/35 - DARF ISS 21/36</t>
  </si>
  <si>
    <t>28/08/2024</t>
  </si>
  <si>
    <t>9/13 - SALÁRIO - JULYA FIGUEIREDO - COORDENADORA 9/13</t>
  </si>
  <si>
    <t>8/12 - ELIANE - VALE TRANSPORTE MÊS DE SETEMBRO 8/12</t>
  </si>
  <si>
    <t>29/08/2024</t>
  </si>
  <si>
    <t>8/12 - DIÁRIAS JULIANA SOARES  8/12</t>
  </si>
  <si>
    <t>31/08/2024</t>
  </si>
  <si>
    <t>30/41</t>
  </si>
  <si>
    <t>18/08/2024</t>
  </si>
  <si>
    <t>01/09/2024</t>
  </si>
  <si>
    <t>7/11 - SALÁRIO - MANU_ESTAGIÁRIA  7/11</t>
  </si>
  <si>
    <t>7/10 - SALÁRIO KARINA ESTAGIARIA 7/10</t>
  </si>
  <si>
    <t>2/4 - GERENCIAMENTO GRAND VITALI_DIANA E DIOGO 2/4</t>
  </si>
  <si>
    <t>1/4 - GERENCIAMENTO GRAND VITALI_DIANA E DIOGO 1/4</t>
  </si>
  <si>
    <t>02/09/2024</t>
  </si>
  <si>
    <t>9/12 - PRÓ LABORE MAYARA CLA 9/13</t>
  </si>
  <si>
    <t>9/12 - PRÓ LABORE NATASHA  9/13</t>
  </si>
  <si>
    <t>9/12 - SALÁRIO ELIANE  9/12</t>
  </si>
  <si>
    <t>9/12 - SALÁRIO MAYARA OLIVEIRA  9/12</t>
  </si>
  <si>
    <t>9/12 - ENEL - ENERGIA ELÉTRICA referente a janeiro 9/12</t>
  </si>
  <si>
    <t>05/09/2024</t>
  </si>
  <si>
    <t>9/12 - CONDOMINIO+ALUGUEL  9/12</t>
  </si>
  <si>
    <t>06/09/2024</t>
  </si>
  <si>
    <t>9/12 - HONORÁRIOS CONTÁBEIS  9/12</t>
  </si>
  <si>
    <t>10/09/2024</t>
  </si>
  <si>
    <t>9/11 - SODEXO - ELIANE 9/12</t>
  </si>
  <si>
    <t>16/09/2024</t>
  </si>
  <si>
    <t>9/12 - FGTS  9/12</t>
  </si>
  <si>
    <t>20/09/2024</t>
  </si>
  <si>
    <t>3/4 - GERENCIAMENTO RICARDO JUAN E LILI 3/4</t>
  </si>
  <si>
    <t>26/09/2024</t>
  </si>
  <si>
    <t>22/35 - DARF ISS 22/36</t>
  </si>
  <si>
    <t>27/09/2024</t>
  </si>
  <si>
    <t>10/13 - SALÁRIO - JULYA FIGUEIREDO - COORDENADORA 10/13</t>
  </si>
  <si>
    <t>9/12 - ELIANE - VALE TRANSPORTE MÊS DE OUTUBRO 9/12</t>
  </si>
  <si>
    <t>30/09/2024</t>
  </si>
  <si>
    <t>31/41</t>
  </si>
  <si>
    <t>18/09/2024</t>
  </si>
  <si>
    <t>9/12 - DIÁRIAS JULIANA SOARES  9/12</t>
  </si>
  <si>
    <t>01/10/2024</t>
  </si>
  <si>
    <t>10/12 - PRÓ LABORE MAYARA CLA 10/13</t>
  </si>
  <si>
    <t>10/12 - PRÓ LABORE NATASHA  10/13</t>
  </si>
  <si>
    <t>10/12 - SALÁRIO ELIANE  10/12</t>
  </si>
  <si>
    <t>10/12 - SALÁRIO MAYARA OLIVEIRA  10/12</t>
  </si>
  <si>
    <t>8/11 - SALÁRIO - MANU_ESTAGIÁRIA  8/11</t>
  </si>
  <si>
    <t>8/10 - SALÁRIO KARINA ESTAGIARIA 8/10</t>
  </si>
  <si>
    <t>3/4 - GERENCIAMENTO GRAND VITALI_DIANA E DIOGO 3/4</t>
  </si>
  <si>
    <t>02/10/2024</t>
  </si>
  <si>
    <t>10/12 - ENEL - ENERGIA ELÉTRICA referente a janeiro 10/12</t>
  </si>
  <si>
    <t>06/10/2024</t>
  </si>
  <si>
    <t>10/12 - HONORÁRIOS CONTÁBEIS  10/12</t>
  </si>
  <si>
    <t>07/10/2024</t>
  </si>
  <si>
    <t>10/12 - CONDOMINIO+ALUGUEL  10/12</t>
  </si>
  <si>
    <t>10/10/2024</t>
  </si>
  <si>
    <t>10/11 - SODEXO - ELIANE 10/12</t>
  </si>
  <si>
    <t>16/10/2024</t>
  </si>
  <si>
    <t>10/12 - FGTS  10/12</t>
  </si>
  <si>
    <t>18/10/2024</t>
  </si>
  <si>
    <t>8/11 - DARF CSLL 8/12</t>
  </si>
  <si>
    <t>8/12 - DARF IRPJ 8/12</t>
  </si>
  <si>
    <t>20/10/2024</t>
  </si>
  <si>
    <t>4/4 - DARF COFINS - TRIMESTRAL 4/4</t>
  </si>
  <si>
    <t>4/4 - GERENCIAMENTO RICARDO JUAN E LILI 4/4</t>
  </si>
  <si>
    <t>26/10/2024</t>
  </si>
  <si>
    <t>23/35 - DARF ISS 23/36</t>
  </si>
  <si>
    <t>27/10/2024</t>
  </si>
  <si>
    <t>11/13 - SALÁRIO - JULYA FIGUEIREDO - COORDENADORA 11/13</t>
  </si>
  <si>
    <t>10/12 - DIÁRIAS JULIANA SOARES  10/12</t>
  </si>
  <si>
    <t>10/12 - ELIANE - VALE TRANSPORTE MÊS DE NOVEMBRO 10/12</t>
  </si>
  <si>
    <t>31/10/2024</t>
  </si>
  <si>
    <t>32/41</t>
  </si>
  <si>
    <t>01/11/2024</t>
  </si>
  <si>
    <t>11/12 - PRÓ LABORE MAYARA CLA 11/13</t>
  </si>
  <si>
    <t>11/12 - PRÓ LABORE NATASHA  11/13</t>
  </si>
  <si>
    <t>11/12 - SALÁRIO ELIANE  11/12</t>
  </si>
  <si>
    <t>11/12 - SALÁRIO MAYARA OLIVEIRA  11/12</t>
  </si>
  <si>
    <t>11/12 - ENEL - ENERGIA ELÉTRICA referente a janeiro 11/12</t>
  </si>
  <si>
    <t>9/11 - SALÁRIO - MANU_ESTAGIÁRIA  9/11</t>
  </si>
  <si>
    <t>9/10 - SALÁRIO KARINA ESTAGIARIA 9/10</t>
  </si>
  <si>
    <t>4/4 - GERENCIAMENTO GRAND VITALI_DIANA E DIOGO 4/4</t>
  </si>
  <si>
    <t>05/11/2024</t>
  </si>
  <si>
    <t>11/12 - CONDOMINIO+ALUGUEL  11/12</t>
  </si>
  <si>
    <t>11/12 - HONORÁRIOS CONTÁBEIS  11/12</t>
  </si>
  <si>
    <t>09/11/2024</t>
  </si>
  <si>
    <t>11/11 - SODEXO - ELIANE 11/12</t>
  </si>
  <si>
    <t>15/11/2024</t>
  </si>
  <si>
    <t>11/12 - FGTS  11/12</t>
  </si>
  <si>
    <t>20/11/2024</t>
  </si>
  <si>
    <t>25/11/2024</t>
  </si>
  <si>
    <t>24/35 - DARF ISS 24/36</t>
  </si>
  <si>
    <t>26/11/2024</t>
  </si>
  <si>
    <t>12/13 - SALÁRIO - JULYA FIGUEIREDO - COORDENADORA 12/13</t>
  </si>
  <si>
    <t>11/12 - DIÁRIAS JULIANA SOARES  11/12</t>
  </si>
  <si>
    <t>11/12 - ELIANE - VALE TRANSPORTE MÊS DE DEZEMBRO 11/12</t>
  </si>
  <si>
    <t>30/11/2024</t>
  </si>
  <si>
    <t>33/41</t>
  </si>
  <si>
    <t>18/11/2024</t>
  </si>
  <si>
    <t>01/12/2024</t>
  </si>
  <si>
    <t>10/11 - SALÁRIO - MANU_ESTAGIÁRIA  10/11</t>
  </si>
  <si>
    <t>10/10 - SALÁRIO KARINA ESTAGIARIA 10/10</t>
  </si>
  <si>
    <t>02/12/2024</t>
  </si>
  <si>
    <t>12/12 - PRÓ LABORE MAYARA CLA 12/13</t>
  </si>
  <si>
    <t>12/12 - PRÓ LABORE NATASHA  12/13</t>
  </si>
  <si>
    <t>12/12 - SALÁRIO ELIANE  12/12</t>
  </si>
  <si>
    <t>12/12 - SALÁRIO MAYARA OLIVEIRA  12/12</t>
  </si>
  <si>
    <t>12/12 - ENEL - ENERGIA ELÉTRICA referente a janeiro 12/12</t>
  </si>
  <si>
    <t>12/12 - DIÁRIAS JULIANA SOARES  12/12</t>
  </si>
  <si>
    <t>05/12/2024</t>
  </si>
  <si>
    <t>12/12 - CONDOMINIO+ALUGUEL  12/12</t>
  </si>
  <si>
    <t>12/12 - HONORÁRIOS CONTÁBEIS  12/12</t>
  </si>
  <si>
    <t>09/12/2024</t>
  </si>
  <si>
    <t>12/11 - SODEXO - ELIANE 12/12</t>
  </si>
  <si>
    <t>15/12/2024</t>
  </si>
  <si>
    <t>12/12 - FGTS  12/12</t>
  </si>
  <si>
    <t>20/12/2024</t>
  </si>
  <si>
    <t>25/12/2024</t>
  </si>
  <si>
    <t>25/35 - DARF ISS 25/36</t>
  </si>
  <si>
    <t>26/12/2024</t>
  </si>
  <si>
    <t>13/13 - SALÁRIO - JULYA FIGUEIREDO - COORDENADORA 13/13</t>
  </si>
  <si>
    <t>12/12 - ELIANE - VALE TRANSPORTE MÊS DE FEVEREIRO 12/12</t>
  </si>
  <si>
    <t>31/12/2024</t>
  </si>
  <si>
    <t>34/41</t>
  </si>
  <si>
    <t>18/12/2024</t>
  </si>
  <si>
    <t>01/01/2025</t>
  </si>
  <si>
    <t>11/11 - SALÁRIO - MANU_ESTAGIÁRIA  11/11</t>
  </si>
  <si>
    <t>16/01/2025</t>
  </si>
  <si>
    <t>9/11 - DARF CSLL 9/12</t>
  </si>
  <si>
    <t>9/12 - DARF IRPJ 9/12</t>
  </si>
  <si>
    <t>24/01/2025</t>
  </si>
  <si>
    <t>26/35 - DARF ISS 26/36</t>
  </si>
  <si>
    <t>31/01/2025</t>
  </si>
  <si>
    <t>35/41</t>
  </si>
  <si>
    <t>18/01/2025</t>
  </si>
  <si>
    <t>23/02/2025</t>
  </si>
  <si>
    <t>27/35 - DARF ISS 27/36</t>
  </si>
  <si>
    <t>28/02/2025</t>
  </si>
  <si>
    <t>36/41</t>
  </si>
  <si>
    <t>18/02/2025</t>
  </si>
  <si>
    <t>25/03/2025</t>
  </si>
  <si>
    <t>28/35 - DARF ISS 28/36</t>
  </si>
  <si>
    <t>31/03/2025</t>
  </si>
  <si>
    <t>37/41</t>
  </si>
  <si>
    <t>18/03/2025</t>
  </si>
  <si>
    <t>16/04/2025</t>
  </si>
  <si>
    <t>10/11 - DARF CSLL 10/12</t>
  </si>
  <si>
    <t>10/12 - DARF IRPJ 10/12</t>
  </si>
  <si>
    <t>24/04/2025</t>
  </si>
  <si>
    <t>29/35 - DARF ISS 29/36</t>
  </si>
  <si>
    <t>30/04/2025</t>
  </si>
  <si>
    <t>38/41</t>
  </si>
  <si>
    <t>18/04/2025</t>
  </si>
  <si>
    <t>24/05/2025</t>
  </si>
  <si>
    <t>30/35 - DARF ISS 30/36</t>
  </si>
  <si>
    <t>31/05/2025</t>
  </si>
  <si>
    <t>39/41</t>
  </si>
  <si>
    <t>18/05/2025</t>
  </si>
  <si>
    <t>23/06/2025</t>
  </si>
  <si>
    <t>31/35 - DARF ISS 31/36</t>
  </si>
  <si>
    <t>30/06/2025</t>
  </si>
  <si>
    <t>40/41</t>
  </si>
  <si>
    <t>18/06/2025</t>
  </si>
  <si>
    <t>15/07/2025</t>
  </si>
  <si>
    <t>11/11 - DARF CSLL 11/12</t>
  </si>
  <si>
    <t>11/12 - DARF IRPJ 11/12</t>
  </si>
  <si>
    <t>23/07/2025</t>
  </si>
  <si>
    <t>32/35 - DARF ISS 32/36</t>
  </si>
  <si>
    <t>31/07/2025</t>
  </si>
  <si>
    <t>41/41</t>
  </si>
  <si>
    <t>18/07/2025</t>
  </si>
  <si>
    <t>22/08/2025</t>
  </si>
  <si>
    <t>33/35 - DARF ISS 33/36</t>
  </si>
  <si>
    <t>21/09/2025</t>
  </si>
  <si>
    <t>34/35 - DARF ISS 34/36</t>
  </si>
  <si>
    <t>13/10/2025</t>
  </si>
  <si>
    <t>12/11 - DARF CSLL 12/12</t>
  </si>
  <si>
    <t>12/12 - DARF IRPJ 12/12</t>
  </si>
  <si>
    <t>21/10/2025</t>
  </si>
  <si>
    <t>35/35 - DARF ISS 35/36</t>
  </si>
  <si>
    <t>20/11/2025</t>
  </si>
  <si>
    <t>36/35 - DARF ISS 36/36</t>
  </si>
  <si>
    <t>Nome</t>
  </si>
  <si>
    <t>Razão Social</t>
  </si>
  <si>
    <t>CNPJ</t>
  </si>
  <si>
    <t>CPF</t>
  </si>
  <si>
    <t>ID Estrangeiro</t>
  </si>
  <si>
    <t>DataCriacao</t>
  </si>
  <si>
    <t>Status</t>
  </si>
  <si>
    <t>Código</t>
  </si>
  <si>
    <t>Inscrição Estadual</t>
  </si>
  <si>
    <t>Email principal</t>
  </si>
  <si>
    <t>Telefone principal</t>
  </si>
  <si>
    <t>Data fundação/Aniversário</t>
  </si>
  <si>
    <t>CEP</t>
  </si>
  <si>
    <t>Estado</t>
  </si>
  <si>
    <t>Cidade</t>
  </si>
  <si>
    <t>Endereço</t>
  </si>
  <si>
    <t>Número</t>
  </si>
  <si>
    <t>Bairro</t>
  </si>
  <si>
    <t>Complemento</t>
  </si>
  <si>
    <t>Nome Contato</t>
  </si>
  <si>
    <t>E-mail Contato</t>
  </si>
  <si>
    <t>AGILLIZE COMERCIO DE EQUIPAMENTOS E SERVICOS PREDIAIS LTDA</t>
  </si>
  <si>
    <t>19.978.391/0001-41</t>
  </si>
  <si>
    <t>RT 10% &gt; nf OPCIONAL &gt; DEPENDE DO VALOR DE REPASSE</t>
  </si>
  <si>
    <t>ativado</t>
  </si>
  <si>
    <t>VITOR.BATISTA@AGILLIZE.COM</t>
  </si>
  <si>
    <t>(11) 3969-8806</t>
  </si>
  <si>
    <t>09751-250</t>
  </si>
  <si>
    <t>SP</t>
  </si>
  <si>
    <t>São Bernardo do Campo</t>
  </si>
  <si>
    <t>GETULIO VARGAS</t>
  </si>
  <si>
    <t>BAETA NEVES</t>
  </si>
  <si>
    <t>SALA  111</t>
  </si>
  <si>
    <t>THIAGO</t>
  </si>
  <si>
    <t>ALAMANDA HOME DECORACOES LTDA</t>
  </si>
  <si>
    <t>05.409.533/0001-45</t>
  </si>
  <si>
    <t>luisa@alamandahome.com.br</t>
  </si>
  <si>
    <t>(11) 96409-1655</t>
  </si>
  <si>
    <t>09080-370</t>
  </si>
  <si>
    <t>Santo André</t>
  </si>
  <si>
    <t>DAS FIGUEIRAS</t>
  </si>
  <si>
    <t>JARDIM</t>
  </si>
  <si>
    <t>Luisa</t>
  </si>
  <si>
    <t>luisa@alamanda.com.br</t>
  </si>
  <si>
    <t>126.190.866-04</t>
  </si>
  <si>
    <t>Dados do Cliente:</t>
  </si>
  <si>
    <t>Nome: Aldemira Farias</t>
  </si>
  <si>
    <t>CPF: 126.190.866-04</t>
  </si>
  <si>
    <t>E-mail: afkoch@globo.com</t>
  </si>
  <si>
    <t>Celular: (11)9-7205-3494</t>
  </si>
  <si>
    <t>Endereço: Av. Prof. Alceu Maynard de Araújo, 2 – aptº 52</t>
  </si>
  <si>
    <t>Torre Toulon – Granja Julieta – São Paulo - SP – CEP – 04726-160</t>
  </si>
  <si>
    <t>Portaria: 5181-1653</t>
  </si>
  <si>
    <t>Zelador: Gilmar - 011-99144-0831</t>
  </si>
  <si>
    <t>Zelador: André - 011-98943-3631</t>
  </si>
  <si>
    <t>Sindico: Carlos - 011 - 97851-9553</t>
  </si>
  <si>
    <t>afkoch@globo.com</t>
  </si>
  <si>
    <t>(11) 97205-3494</t>
  </si>
  <si>
    <t>04726-160</t>
  </si>
  <si>
    <t>São Paulo</t>
  </si>
  <si>
    <t>Avenida Professor Alceu Maynard Araújo</t>
  </si>
  <si>
    <t>Vila Cruzeiro</t>
  </si>
  <si>
    <t>aptº 52</t>
  </si>
  <si>
    <t>AL FRAME ESQUADRIAS LTDA</t>
  </si>
  <si>
    <t>22.893.129/0001-09</t>
  </si>
  <si>
    <t>FINANCEIRO@EASB.COM.BR</t>
  </si>
  <si>
    <t>(11) 2381-5481</t>
  </si>
  <si>
    <t>09721-240</t>
  </si>
  <si>
    <t>PAISSANDU</t>
  </si>
  <si>
    <t>CENTRO</t>
  </si>
  <si>
    <t>SALA  33</t>
  </si>
  <si>
    <t>ALLFORM/G COMERCIO DE MOVEIS E SERVICOS LTDA</t>
  </si>
  <si>
    <t>14.130.871/0001-34</t>
  </si>
  <si>
    <t>FINANCEIRO@ALLFORMG.COM.BR</t>
  </si>
  <si>
    <t>(11) 2833-4563</t>
  </si>
  <si>
    <t>03340-000</t>
  </si>
  <si>
    <t>VEREADOR ABEL FERREIRA</t>
  </si>
  <si>
    <t>VILA REGENTE FEIJO</t>
  </si>
  <si>
    <t>ANEXO P</t>
  </si>
  <si>
    <t>TRIAXS COMERCIO DE PISOS LTDA</t>
  </si>
  <si>
    <t>42.724.731/0001-20</t>
  </si>
  <si>
    <t>LUIS@COLUMBIACONSULTORIA.COM.BR</t>
  </si>
  <si>
    <t>(11) 2866-4273</t>
  </si>
  <si>
    <t>03340-010</t>
  </si>
  <si>
    <t>VER ABEL FERREIRA</t>
  </si>
  <si>
    <t>ANEXO 635</t>
  </si>
  <si>
    <t>ANA CAROLINA  BERTONI</t>
  </si>
  <si>
    <t>ANA CAROLINA  BERTONI e FELIPE</t>
  </si>
  <si>
    <t>ANA LUIZA  E FABIO CORREA NAJM</t>
  </si>
  <si>
    <t>GRACIELE CRISTINA DA SILVA 13217023617</t>
  </si>
  <si>
    <t>19.667.770/0001-10</t>
  </si>
  <si>
    <t>gracielecristina2010@hotmail.com</t>
  </si>
  <si>
    <t>(34) 9765-9300</t>
  </si>
  <si>
    <t>38067-000</t>
  </si>
  <si>
    <t>MG</t>
  </si>
  <si>
    <t>Uberaba</t>
  </si>
  <si>
    <t>DELFIM MOREIRA</t>
  </si>
  <si>
    <t>FABRICIO</t>
  </si>
  <si>
    <t>LOJA</t>
  </si>
  <si>
    <t>ANDREA SOARES</t>
  </si>
  <si>
    <t>andrea@antarestech.com.br</t>
  </si>
  <si>
    <t>COMERCIO, TAPECARIA E COLCHOES ARTACHOS LTDA</t>
  </si>
  <si>
    <t>00.748.261/0001-94</t>
  </si>
  <si>
    <t>racaluel@terra.com.br</t>
  </si>
  <si>
    <t>(11) 3851-5396</t>
  </si>
  <si>
    <t>02479-000</t>
  </si>
  <si>
    <t>FRANKLIN DO AMARAL</t>
  </si>
  <si>
    <t>VL N CACHOEIRINHA</t>
  </si>
  <si>
    <t>SALAO</t>
  </si>
  <si>
    <t>RAFAELA</t>
  </si>
  <si>
    <t>raphaela@artachos.com.br</t>
  </si>
  <si>
    <t>SANDRO DE MOURA ALMEIDA</t>
  </si>
  <si>
    <t>03.072.868/0001-95</t>
  </si>
  <si>
    <t>PERCONTABIL@UOL.COM.BR</t>
  </si>
  <si>
    <t>(11) 4426-9832</t>
  </si>
  <si>
    <t>09820-135</t>
  </si>
  <si>
    <t>MIRO VETORAZZO</t>
  </si>
  <si>
    <t>DEMARCHI</t>
  </si>
  <si>
    <t>CASA  106</t>
  </si>
  <si>
    <t>23.735.360/0001-37</t>
  </si>
  <si>
    <t>166.055.800-01</t>
  </si>
  <si>
    <t>BEATRIZ FORTUNATO E MARCOS</t>
  </si>
  <si>
    <t>BD COMERCIO DE COLCHOES E DECORACOES LTDA</t>
  </si>
  <si>
    <t>45.423.301/0001-66</t>
  </si>
  <si>
    <t>ALINEF@ARASSESSORIA.SRV.BR</t>
  </si>
  <si>
    <t>(47) 9936-9495</t>
  </si>
  <si>
    <t>05657-120</t>
  </si>
  <si>
    <t>PAULO II</t>
  </si>
  <si>
    <t>JARDIM VITÓRIA RÉGIA</t>
  </si>
  <si>
    <t>46.095.940/0001-02</t>
  </si>
  <si>
    <t>CONTABILIDADEMORAES@UOL.COM.BR</t>
  </si>
  <si>
    <t>(11) 3733-4160</t>
  </si>
  <si>
    <t>01138-020</t>
  </si>
  <si>
    <t>SOLIMOES</t>
  </si>
  <si>
    <t>BARRA FUNDA</t>
  </si>
  <si>
    <t>Valéria</t>
  </si>
  <si>
    <t>valeria@belcolore.com.br</t>
  </si>
  <si>
    <t>BETO</t>
  </si>
  <si>
    <t>colegio brasil canada ltda</t>
  </si>
  <si>
    <t>04.114.939/0001-38</t>
  </si>
  <si>
    <t>beto@colegiobrasilcanada.com.br</t>
  </si>
  <si>
    <t>(11) 3675-6840</t>
  </si>
  <si>
    <t>05002-050</t>
  </si>
  <si>
    <t>DESEMBARGADOR GUIMARAES</t>
  </si>
  <si>
    <t>AGUA BRANCA</t>
  </si>
  <si>
    <t>181.087.491-23</t>
  </si>
  <si>
    <t>CPF NÃO PERTENCE AO CLIENTE &gt; FOI GERADO PARA FINS DE CADASTRO &gt; SITE https://www.geradordecpf.org/</t>
  </si>
  <si>
    <t>ISAGE COMERCIO DE MOVEIS LTDA</t>
  </si>
  <si>
    <t>05.481.457/0001-89</t>
  </si>
  <si>
    <t>10%RT sobre o valor liquido.</t>
  </si>
  <si>
    <t>audrey.rocha@gabriel.bontempo.com.br</t>
  </si>
  <si>
    <t>(11) 2900-2010</t>
  </si>
  <si>
    <t>02053-002</t>
  </si>
  <si>
    <t>GUILHERME</t>
  </si>
  <si>
    <t>VILA GUILHERME</t>
  </si>
  <si>
    <t>A</t>
  </si>
  <si>
    <t>Vanessa</t>
  </si>
  <si>
    <t>ALAMEDA MOVEIS E DECORACOES - EIRELI</t>
  </si>
  <si>
    <t>04.365.154/0001-38</t>
  </si>
  <si>
    <t>RT &gt; 15% após 40 dias</t>
  </si>
  <si>
    <t>maria.silva@brentwood.com.br</t>
  </si>
  <si>
    <t>(11) 94746-5804</t>
  </si>
  <si>
    <t>04578-000</t>
  </si>
  <si>
    <t>Avenida das Nações Unidas</t>
  </si>
  <si>
    <t>Brooklin Paulista</t>
  </si>
  <si>
    <t>FUNDOSPARA RUA MONTE URAIS</t>
  </si>
  <si>
    <t>Silvana Pimentel</t>
  </si>
  <si>
    <t>silvana.pimentel@brentwood.com.br</t>
  </si>
  <si>
    <t>Bioma Comércio de Móveis Eireli</t>
  </si>
  <si>
    <t>42.800.463/0001-88</t>
  </si>
  <si>
    <t>Dados para emissão da nota fiscal de serviços antigo:</t>
  </si>
  <si>
    <t>Bioma Comércio de Móveis Ltda</t>
  </si>
  <si>
    <t>CNPJ: 42.800.463/0001-88 – Inscrição Estadual: 286.682.199.119 – Inscrição Municipal: 85419</t>
  </si>
  <si>
    <t>Endereço: Av.Luigi Papaiz, 239 – Campanário – Diadema /SP – CEP 09931-610</t>
  </si>
  <si>
    <t>amanda.caroline@breton.com.br</t>
  </si>
  <si>
    <t>(11) 4055-9700</t>
  </si>
  <si>
    <t>09931-610</t>
  </si>
  <si>
    <t>Diadema</t>
  </si>
  <si>
    <t>LUIGI PAPAIZ</t>
  </si>
  <si>
    <t>CAMPANARIO</t>
  </si>
  <si>
    <t>GALPAO1A</t>
  </si>
  <si>
    <t>SETOR FINANCEIRO</t>
  </si>
  <si>
    <t>financeiro@breton.com.br</t>
  </si>
  <si>
    <t>CARMEM</t>
  </si>
  <si>
    <t>CAROL PUGA E VICTOR PENAZZO</t>
  </si>
  <si>
    <t>409.373.508-50</t>
  </si>
  <si>
    <t>ATELIER PRODUTOS SOB MEDIDA EIRELI</t>
  </si>
  <si>
    <t>33.796.134/0001-10</t>
  </si>
  <si>
    <t>Os dados para faturamento são:</t>
  </si>
  <si>
    <t>Atelier Produtos Sob Medida EIRELI</t>
  </si>
  <si>
    <t>Avenida Marques de São Vicente, 2219 - Conj 710B – Cep: 05036-040 - São Paulo – SP</t>
  </si>
  <si>
    <t>Fone: 2955-6644 </t>
  </si>
  <si>
    <t>C.N.P.J. 33.796.134/0001-10       </t>
  </si>
  <si>
    <t>Inscrição Estadual: 126.180.958.113</t>
  </si>
  <si>
    <t>Inscrição Municipal: 6.285.701-0</t>
  </si>
  <si>
    <t>Favor se atentar as observações abaixo:</t>
  </si>
  <si>
    <t>• Incluir no corpo da nota os dados para pagamento e chave PIX no mesmo CNPJ (Preferencialmente Itaú);</t>
  </si>
  <si>
    <t>•  Informar todas as retenções federais nos campos próprios;</t>
  </si>
  <si>
    <t>• Se for de outro município informar a alíquota de ISS do seu município, também no campo próprio;</t>
  </si>
  <si>
    <t>CONTATO@OMEGAC.COM.BR</t>
  </si>
  <si>
    <t>(11) 3831-3914</t>
  </si>
  <si>
    <t>05036-040</t>
  </si>
  <si>
    <t>MARQ DE SAO VICENTE</t>
  </si>
  <si>
    <t>CONJ  710B</t>
  </si>
  <si>
    <t>Larissa Suzuki</t>
  </si>
  <si>
    <t>financeiro2@casamansur.com.br</t>
  </si>
  <si>
    <t>CASA TEX COMERCIO DE CONFECCOES LTDA</t>
  </si>
  <si>
    <t>03.012.484/0001-87</t>
  </si>
  <si>
    <t>(11) 3940-1784</t>
  </si>
  <si>
    <t>88330-003</t>
  </si>
  <si>
    <t>SC</t>
  </si>
  <si>
    <t>Balneário Camboriú</t>
  </si>
  <si>
    <t>BRASIL</t>
  </si>
  <si>
    <t>LOJA 07</t>
  </si>
  <si>
    <t>ALTA COMERCIO E DECORACOES LTDA</t>
  </si>
  <si>
    <t>19.517.214/0001-68</t>
  </si>
  <si>
    <t>RT - 10% - PAGA-SE 30 DIAS APÓS FECHAMENTO DO PEDIDO</t>
  </si>
  <si>
    <t>ALEX@CASAVITTA.COM</t>
  </si>
  <si>
    <t>(11) 98133-1616</t>
  </si>
  <si>
    <t>02049-000</t>
  </si>
  <si>
    <t>OTTO BAUMGART</t>
  </si>
  <si>
    <t>LOJA  244                       PISO 1</t>
  </si>
  <si>
    <t>TATIANA RANIERI</t>
  </si>
  <si>
    <t>contato@casavitta.com</t>
  </si>
  <si>
    <t>capires@kmpg.com.br</t>
  </si>
  <si>
    <t>05657-230</t>
  </si>
  <si>
    <t>Rua Professor Alexandre Correia</t>
  </si>
  <si>
    <t>Jardim Vitória Régia</t>
  </si>
  <si>
    <t>apto 21</t>
  </si>
  <si>
    <t>Catia Pires</t>
  </si>
  <si>
    <t>LALIQUE IMPORTACAO E EXPORTACAO DE TECIDOS, CARPETES, TAPETES, PAPEIS DE PAREDE E PRODUTOS DE DECORACAO EIRELI</t>
  </si>
  <si>
    <t>00.785.263/0001-53</t>
  </si>
  <si>
    <t>LIGIA@CELINADIAS.COM.BR</t>
  </si>
  <si>
    <t>(11) 3062-6281</t>
  </si>
  <si>
    <t>01442-001</t>
  </si>
  <si>
    <t>GABRIEL MONTEIRO DA SILVA</t>
  </si>
  <si>
    <t>JARDIM AMERICA</t>
  </si>
  <si>
    <t>Nocolly</t>
  </si>
  <si>
    <t>CLAMI MOVEIS &amp; DECORACOES LTDA</t>
  </si>
  <si>
    <t>62.617.121/0001-34</t>
  </si>
  <si>
    <t>proconsist@terra.com.br</t>
  </si>
  <si>
    <t>(11) 4195-6105</t>
  </si>
  <si>
    <t>06460-035</t>
  </si>
  <si>
    <t>Barueri</t>
  </si>
  <si>
    <t>JAVARI</t>
  </si>
  <si>
    <t>TAMBORE</t>
  </si>
  <si>
    <t>ANDAR 3</t>
  </si>
  <si>
    <t>CODEX HOME - DECORACAO LTDA.</t>
  </si>
  <si>
    <t>20.033.995/0001-02</t>
  </si>
  <si>
    <t>FINANCEIRO@CODEXHOME.COM.BR</t>
  </si>
  <si>
    <t>(11) 3062-7415</t>
  </si>
  <si>
    <t>01442-000</t>
  </si>
  <si>
    <t>BRUNO CHAGURI</t>
  </si>
  <si>
    <t>assistente@codexhome.com.br</t>
  </si>
  <si>
    <t>COLÉGIO BRASIL CANADÁ</t>
  </si>
  <si>
    <t>COLORMIX INDUSTRIA E COMERCIO DE PIGMENTOS LTDA</t>
  </si>
  <si>
    <t>44.346.930/0001-77</t>
  </si>
  <si>
    <t>Reserva Técnica: </t>
  </si>
  <si>
    <t>7% em produtos </t>
  </si>
  <si>
    <t>10% em cortes especiais</t>
  </si>
  <si>
    <t>Pagos 40 dias após o fechamento do pedido</t>
  </si>
  <si>
    <t>cleber.simoes@colormix.net.br</t>
  </si>
  <si>
    <t>(11) 2450-6054</t>
  </si>
  <si>
    <t>Alameda Gabriel Monteiro da Silva</t>
  </si>
  <si>
    <t>Jardim América</t>
  </si>
  <si>
    <t>Carla</t>
  </si>
  <si>
    <t>gabriel@colormixstore.com.br</t>
  </si>
  <si>
    <t>CONCEITO DESIGN &amp; VIDROS LTDA</t>
  </si>
  <si>
    <t>48.122.043/0001-76</t>
  </si>
  <si>
    <t>FINANCEIRO@CONCEITOESQUADRIAS.COM.BR</t>
  </si>
  <si>
    <t>(11) 4036-7118</t>
  </si>
  <si>
    <t>08735-070</t>
  </si>
  <si>
    <t>Mogi das Cruzes</t>
  </si>
  <si>
    <t>GUSTAVO VIEIRA DE LIMA</t>
  </si>
  <si>
    <t>JARDIM AVENIDA</t>
  </si>
  <si>
    <t>LETRA A</t>
  </si>
  <si>
    <t>CONDOMINIO EDIFICIO THE ENTERPRISE CENTER</t>
  </si>
  <si>
    <t>97.486.906/0001-08</t>
  </si>
  <si>
    <t>04534-003</t>
  </si>
  <si>
    <t>ITAIM BIBI</t>
  </si>
  <si>
    <t>CONSTELLE NEG IMOB</t>
  </si>
  <si>
    <t>05.206.246/0001-38</t>
  </si>
  <si>
    <t>CONTROLADORIA@CONTAAZUL.COM</t>
  </si>
  <si>
    <t>(47) 3512-1715</t>
  </si>
  <si>
    <t>89219-600</t>
  </si>
  <si>
    <t>Joinville</t>
  </si>
  <si>
    <t>DONA FRANCISCA</t>
  </si>
  <si>
    <t>ZONA INDUSTRIAL NORTE</t>
  </si>
  <si>
    <t>BLOCO O                         MODULOS 04 E 05</t>
  </si>
  <si>
    <t>Contaazul</t>
  </si>
  <si>
    <t>faturamento@contaazul.com</t>
  </si>
  <si>
    <t>CRISTIANA BERTOLUCCI - ILUMINACAO E DECORACAO LTDA.</t>
  </si>
  <si>
    <t>12.652.248/0001-16</t>
  </si>
  <si>
    <t>RT 10% &gt; COM NF</t>
  </si>
  <si>
    <t>ACOMPANHAR QUANDO OCORRER A ENTREGA DA MERCADORIA, APÓS ESTA QUE SOLICITAM NF</t>
  </si>
  <si>
    <t>E-mail: financeiro@cristianabertolucci.com.br</t>
  </si>
  <si>
    <t>HELENA.BARBATO@ABGALHA.COM.BR</t>
  </si>
  <si>
    <t>(11) 2020-0310</t>
  </si>
  <si>
    <t>05433-000</t>
  </si>
  <si>
    <t>GIRASSOL</t>
  </si>
  <si>
    <t>VILA MADALENA</t>
  </si>
  <si>
    <t>ufk.cristiane@gmail.com</t>
  </si>
  <si>
    <t>(11) 99211-4777</t>
  </si>
  <si>
    <t>05686-002</t>
  </si>
  <si>
    <t>Avenida Duquesa de Goiás</t>
  </si>
  <si>
    <t>Real Parque</t>
  </si>
  <si>
    <t>Cristiane Uflacker</t>
  </si>
  <si>
    <t>Os dados para a nota:</t>
  </si>
  <si>
    <t>William Guidini Lima</t>
  </si>
  <si>
    <t>CPF:  08196510608</t>
  </si>
  <si>
    <t>Endereço: Av Dr Altino Arantes 692, apto 131 - Vila Clementino - 04042-003</t>
  </si>
  <si>
    <t>Email: william.guidini@gmail.com</t>
  </si>
  <si>
    <t>Tel: 11-948406942</t>
  </si>
  <si>
    <t>danicalitott</t>
  </si>
  <si>
    <t>Torre A - Sunrise</t>
  </si>
  <si>
    <t>Daneila Calito</t>
  </si>
  <si>
    <t>danicalitott@gmail.com</t>
  </si>
  <si>
    <t>DANIELA CALITO e</t>
  </si>
  <si>
    <t>DANIELA CALITO  e WILLIAM GUIDINI</t>
  </si>
  <si>
    <t>DECORLIGHT  ILUMINAÇÃO</t>
  </si>
  <si>
    <t>DECOR LIGHT ILUMINACAO LTDA</t>
  </si>
  <si>
    <t>02.129.744/0002-17</t>
  </si>
  <si>
    <t>RT  - 10% (PODENDO VARIAR DE PEDIDO A PEDIDO)</t>
  </si>
  <si>
    <t>CARLA@CONSENSOCONTABIL.COM.BR</t>
  </si>
  <si>
    <t>(11) 2643-5500</t>
  </si>
  <si>
    <t>04089-005</t>
  </si>
  <si>
    <t>DOS MARACATINS</t>
  </si>
  <si>
    <t>INDIANOPOLIS</t>
  </si>
  <si>
    <t>GILBERTO DIAS</t>
  </si>
  <si>
    <t>financeiro@decorlight.com.br</t>
  </si>
  <si>
    <t>BE ON LINE - ELABORACAO SITES E COMERCIO PARA DECORACAO - LTDA</t>
  </si>
  <si>
    <t>27.355.342/0001-80</t>
  </si>
  <si>
    <t>RODRIGO.THOMAZ@DESINGSUPPLIER.COM.BR</t>
  </si>
  <si>
    <t>(11) 7062-2222</t>
  </si>
  <si>
    <t>04037-004</t>
  </si>
  <si>
    <t>DR DIOGO DE FARIA</t>
  </si>
  <si>
    <t>VILA CLEMENTINO</t>
  </si>
  <si>
    <t>SALA  02</t>
  </si>
  <si>
    <t>DIANA CONTE</t>
  </si>
  <si>
    <t>DIANA CONTE E DIOGO</t>
  </si>
  <si>
    <t>333.824.408-81</t>
  </si>
  <si>
    <t>STUDIO GUSTAVO DI MENNO DE ILUMINACAO LTDA</t>
  </si>
  <si>
    <t>22.544.181/0006-64</t>
  </si>
  <si>
    <t>SOCIETARIO@CONTABILMOYSES.COM.BR</t>
  </si>
  <si>
    <t>(11) 3739-5976</t>
  </si>
  <si>
    <t>ANEXO FRENTE</t>
  </si>
  <si>
    <t>cpd@dimlux.com.br</t>
  </si>
  <si>
    <t>PENDURE E PRONTO DECORACOES LTDA</t>
  </si>
  <si>
    <t>03.434.812/0001-33</t>
  </si>
  <si>
    <t>RT 5%</t>
  </si>
  <si>
    <t>CONTATO@DIVETROKLABIN.COM.BR</t>
  </si>
  <si>
    <t>(11) 4726-3566</t>
  </si>
  <si>
    <t>04116-000</t>
  </si>
  <si>
    <t>PREFEITO FABIO PRADO</t>
  </si>
  <si>
    <t>JARDIM VILA MARIANA</t>
  </si>
  <si>
    <t>LIGIA DINIZ</t>
  </si>
  <si>
    <t>DO IT SERV  INFORMÁTICA</t>
  </si>
  <si>
    <t>DD IT SERVICOS EM INFORMATICA LTDA</t>
  </si>
  <si>
    <t>10.434.541/0001-81</t>
  </si>
  <si>
    <t>REPARTICOES@CONTABILIDADEHIRATA.COM.BR</t>
  </si>
  <si>
    <t>(11) 94061-8871</t>
  </si>
  <si>
    <t>04122-001</t>
  </si>
  <si>
    <t>SANTA CRUZ</t>
  </si>
  <si>
    <t>VILA MARIANA</t>
  </si>
  <si>
    <t>APT: 64;</t>
  </si>
  <si>
    <t>FEMA COMERCIO DE MOVEIS EIRELI</t>
  </si>
  <si>
    <t>21.996.005/0001-96</t>
  </si>
  <si>
    <t>Emitido Nota fiscal FEMA Comércio -</t>
  </si>
  <si>
    <t>Dados de Cadastro:</t>
  </si>
  <si>
    <t>Razão Social: FEMA COMERCIO DE MOVEIS EIRELI</t>
  </si>
  <si>
    <t>CNPJ: 21.996.005/0001-96</t>
  </si>
  <si>
    <t>Endereço: Al. Gabriel Monteiro da Silva, 1250 </t>
  </si>
  <si>
    <t>E-mail: contasapagar@dpot.com.br</t>
  </si>
  <si>
    <t>Telefone: 11 – 4134-6100 - PABX * Financeiro (11) 4134-6102 Sheila</t>
  </si>
  <si>
    <t>contasapagar@dpot.com.br</t>
  </si>
  <si>
    <t>(11) 4134-6100</t>
  </si>
  <si>
    <t>01441-000</t>
  </si>
  <si>
    <t>Sheila Alves</t>
  </si>
  <si>
    <t>D.D.U. MOVEIS E DECORACOES LTDA.</t>
  </si>
  <si>
    <t>18.996.563/0001-47</t>
  </si>
  <si>
    <t>cometa@contabilidadecometa.com.br</t>
  </si>
  <si>
    <t>(11) 4062-0220</t>
  </si>
  <si>
    <t>ELIANA</t>
  </si>
  <si>
    <t>EDIFICIO VALENCIA</t>
  </si>
  <si>
    <t>05.575.940/0001-22</t>
  </si>
  <si>
    <t>(11) 3145-1322</t>
  </si>
  <si>
    <t>04119-062</t>
  </si>
  <si>
    <t>AFONSO CELSO</t>
  </si>
  <si>
    <t>SAUDE</t>
  </si>
  <si>
    <t>CONDOMINIO RITZ VILA NOVA</t>
  </si>
  <si>
    <t>10.332.720/0001-08</t>
  </si>
  <si>
    <t>advenger@advenger.com.br</t>
  </si>
  <si>
    <t>(11) 3847-8400</t>
  </si>
  <si>
    <t>04509-001</t>
  </si>
  <si>
    <t>JACQUES FELIX</t>
  </si>
  <si>
    <t>VILA NOVA CONCEICAO</t>
  </si>
  <si>
    <t>ADRIANA</t>
  </si>
  <si>
    <t>CONDOMINIO EDIFICIO SUPREME</t>
  </si>
  <si>
    <t>07.996.042/0001-73</t>
  </si>
  <si>
    <t>financeiro@donew.com.br</t>
  </si>
  <si>
    <t>(11) 99991-8286</t>
  </si>
  <si>
    <t>04116-260</t>
  </si>
  <si>
    <t>RENE ZAMLUTTI</t>
  </si>
  <si>
    <t>CHACARA KLABIN</t>
  </si>
  <si>
    <t>Viviane</t>
  </si>
  <si>
    <t>001.455.315-54</t>
  </si>
  <si>
    <t>Eduardo</t>
  </si>
  <si>
    <t>ARTE MSM - REFORMA E COMERCIO DE MOVEIS LTDA</t>
  </si>
  <si>
    <t>11.466.583/0001-67</t>
  </si>
  <si>
    <t>saile.saile@uol.com.br</t>
  </si>
  <si>
    <t>(11) 94783-1542</t>
  </si>
  <si>
    <t>05891-230</t>
  </si>
  <si>
    <t>DOS ESTORIS DO NORTE</t>
  </si>
  <si>
    <t>JARDIM IRENE</t>
  </si>
  <si>
    <t>NATUR INDUSTRIA E COMERCIO LTDA</t>
  </si>
  <si>
    <t>47.104.836/0001-08</t>
  </si>
  <si>
    <t>CONTATO@BERALDIN.COM.BR</t>
  </si>
  <si>
    <t>(11) 3085-1772</t>
  </si>
  <si>
    <t>05594-010</t>
  </si>
  <si>
    <t>ARI APS</t>
  </si>
  <si>
    <t>JARDIM BONFIGLIOLI</t>
  </si>
  <si>
    <t>CONJ  84</t>
  </si>
  <si>
    <t>REVESTIMENTOS E PISOS SJ ORLEAN LTDA</t>
  </si>
  <si>
    <t>01.212.194/0001-51</t>
  </si>
  <si>
    <t>BARTOLOMEUGENU@IG.COM.BR</t>
  </si>
  <si>
    <t>(21) 2236-6389</t>
  </si>
  <si>
    <t>20910-061</t>
  </si>
  <si>
    <t>RJ</t>
  </si>
  <si>
    <t>Rio de Janeiro</t>
  </si>
  <si>
    <t>SAO LUIZ GONZAGA</t>
  </si>
  <si>
    <t>SAO CRISTOVAO</t>
  </si>
  <si>
    <t>A LOJA</t>
  </si>
  <si>
    <t>MGS COMERCIO DE PAPEIS E TECIDOS LTDA</t>
  </si>
  <si>
    <t>13.469.656/0001-08</t>
  </si>
  <si>
    <t>ADMINISTRATIVOSP@ORLEAN.COM</t>
  </si>
  <si>
    <t>(11) 23388-0008</t>
  </si>
  <si>
    <t>DMP REFORMAS, DECORACOES E COMERCIO LTDA</t>
  </si>
  <si>
    <t>18.578.178/0001-80</t>
  </si>
  <si>
    <t>RT 10% &gt; Pagamentos são realizados de acordo com as condições de pagamento do cliente.</t>
  </si>
  <si>
    <t>contato@espacoreformar.com.br</t>
  </si>
  <si>
    <t>(11) 97099-4934</t>
  </si>
  <si>
    <t>02020-060</t>
  </si>
  <si>
    <t>TIJUCA PAULISTA</t>
  </si>
  <si>
    <t>SANTANA</t>
  </si>
  <si>
    <t>Marcos</t>
  </si>
  <si>
    <t>CASAESTAR COMERCIO DE MOVEIS E DECORACAO EIRELI</t>
  </si>
  <si>
    <t>11.426.816/0001-06</t>
  </si>
  <si>
    <t>RT 5% &gt; SEN=M nf</t>
  </si>
  <si>
    <t>raquel@estarmoveis.com.br</t>
  </si>
  <si>
    <t>(11) 4121-4106</t>
  </si>
  <si>
    <t>09725-780</t>
  </si>
  <si>
    <t>RUI BARBOSA</t>
  </si>
  <si>
    <t>JARDIM OLAVO BILAC</t>
  </si>
  <si>
    <t>Fernando</t>
  </si>
  <si>
    <t>contasareceber@estarmoveis.com.br</t>
  </si>
  <si>
    <t>MA MATHIAS - PROJETOS E DESIGN - EIRELI</t>
  </si>
  <si>
    <t>17.888.374/0001-98</t>
  </si>
  <si>
    <t>ESCPOLIVALENTE@ESCPOLIVALENTE.COM.BR</t>
  </si>
  <si>
    <t>(11) 99611-3383</t>
  </si>
  <si>
    <t>09070-220</t>
  </si>
  <si>
    <t>DAS PAINEIRAS</t>
  </si>
  <si>
    <t>MARCELO ASTOLPHI</t>
  </si>
  <si>
    <t>CONSTELLE NEGOCIOS IMOBILIARIOS LTDA.</t>
  </si>
  <si>
    <t>06.310.798/0001-54</t>
  </si>
  <si>
    <t>isabel@sobloco.com.br</t>
  </si>
  <si>
    <t>(11) 3093-9300</t>
  </si>
  <si>
    <t>01451-001</t>
  </si>
  <si>
    <t>BRIGADEIRO FARIA LIMA</t>
  </si>
  <si>
    <t>JARDIM PAULISTANO</t>
  </si>
  <si>
    <t>8 ANDAR</t>
  </si>
  <si>
    <t>FARIZE NURAD</t>
  </si>
  <si>
    <t>355.482.328-78</t>
  </si>
  <si>
    <t>Dados para Faturamento Fornecedores </t>
  </si>
  <si>
    <t>Fausto Vargas Boldrini</t>
  </si>
  <si>
    <t>CPF: 355.482.328-78</t>
  </si>
  <si>
    <t>E-mail: faustoboldrini@gmail.com</t>
  </si>
  <si>
    <t>End: Rua Gil Eanes,154 - aptº 81 - Campo Belo - São Paulo-SP - CEP: 04601-040</t>
  </si>
  <si>
    <t>faustoboldrini@gmail.com</t>
  </si>
  <si>
    <t>(11) 97592-6945</t>
  </si>
  <si>
    <t>04601-040</t>
  </si>
  <si>
    <t>Rua Gil Eanes</t>
  </si>
  <si>
    <t>Campo Belo</t>
  </si>
  <si>
    <t>aptº 81</t>
  </si>
  <si>
    <t>Mariel Boldrini</t>
  </si>
  <si>
    <t>FERNANDA E TIAGO</t>
  </si>
  <si>
    <t>27.520.277/0001-00</t>
  </si>
  <si>
    <t>CAROLINA.FIGUEIRA@FABLAW.COM.BR</t>
  </si>
  <si>
    <t>(11) 3443-7290</t>
  </si>
  <si>
    <t>04542-000</t>
  </si>
  <si>
    <t>LEOPOLDO COUTO DE MAGALHAES JUNIOR</t>
  </si>
  <si>
    <t>CONJ  36/37</t>
  </si>
  <si>
    <t>FORNECEDIOR</t>
  </si>
  <si>
    <t>FR INDUSTRIA E COMERCIO DE MOVEIS LTDA</t>
  </si>
  <si>
    <t>04.244.807/0001-20</t>
  </si>
  <si>
    <t>Dados para emissão da nota fiscal:</t>
  </si>
  <si>
    <t>Razão Social: FRANCCINO MOVEIS LTDA</t>
  </si>
  <si>
    <t>Endereço: Av. Quinca do Dede, 40 - Bairro: São Francisco </t>
  </si>
  <si>
    <t>Cidade: Cláudio/MG – CEP: 35530-000</t>
  </si>
  <si>
    <t>CNPJ: 04.244.807/0001-20</t>
  </si>
  <si>
    <t>Inscrição Estadual: 166.112.231.0060</t>
  </si>
  <si>
    <t>HELENICERMS@HOTMAIL.COM</t>
  </si>
  <si>
    <t>(37) 3381-4204</t>
  </si>
  <si>
    <t>35530-000</t>
  </si>
  <si>
    <t>Cláudio</t>
  </si>
  <si>
    <t>QUINCA DO DEDE</t>
  </si>
  <si>
    <t>40, 60</t>
  </si>
  <si>
    <t>SAO FRANCISCO</t>
  </si>
  <si>
    <t>Keila Salomé Silva</t>
  </si>
  <si>
    <t>financeiro3@franccino.com.br</t>
  </si>
  <si>
    <t>FRANCINNO MOVEIS</t>
  </si>
  <si>
    <t>409.517.268-11</t>
  </si>
  <si>
    <t>gabriel figueira</t>
  </si>
  <si>
    <t>GABRIEL SOLLERO FIGUEIRA</t>
  </si>
  <si>
    <t>GAPAZ - COMERCIO DE ROUPAS E MODA FEMININA LTDA</t>
  </si>
  <si>
    <t>20.949.689/0001-02</t>
  </si>
  <si>
    <t>contabilmello@yahoo.com.br</t>
  </si>
  <si>
    <t>(11) 2988-1830</t>
  </si>
  <si>
    <t>04083-001</t>
  </si>
  <si>
    <t>MOACI</t>
  </si>
  <si>
    <t>PLANALTO PAULISTA</t>
  </si>
  <si>
    <t>CONJ  803</t>
  </si>
  <si>
    <t>Financeiro</t>
  </si>
  <si>
    <t>financeiro@gapaz.com.br</t>
  </si>
  <si>
    <t>GAPAZ - COMERCIO DE ROUPAS E MODA FEMININA</t>
  </si>
  <si>
    <t>Projeto de arquitetura de interiores para o showroom da marca Gapaz localizado na Al. Dos Nhambiquaras,1518 -Moema- SP.</t>
  </si>
  <si>
    <t>Paula</t>
  </si>
  <si>
    <t>paula@|gapaz.com.br</t>
  </si>
  <si>
    <t>EUGENIO SILVA DOS SANTOS 06445877419</t>
  </si>
  <si>
    <t>35.579.865/0001-39</t>
  </si>
  <si>
    <t>Jennifer Fagundes ex vendedora oficial da Potenza &gt; Atualmente sócia :  GENIO DO MARMORE</t>
  </si>
  <si>
    <t>Eugenio Silva dos Santos</t>
  </si>
  <si>
    <t>CNPJ: 35.579.865/0001-39</t>
  </si>
  <si>
    <t>Banco: Itaú</t>
  </si>
  <si>
    <t>Agencia: 0846</t>
  </si>
  <si>
    <t>Conta: 99828-4</t>
  </si>
  <si>
    <t>PIX: 35.579.865/0001-39</t>
  </si>
  <si>
    <t>eugeniosilvasantos35@gmail.com</t>
  </si>
  <si>
    <t>(11) 99869-2520</t>
  </si>
  <si>
    <t>04387-050</t>
  </si>
  <si>
    <t>ANTONIO DA SILVA LOBO JUNIOR</t>
  </si>
  <si>
    <t>CIDADE DOMITILA</t>
  </si>
  <si>
    <t>Jennifer Fagundes</t>
  </si>
  <si>
    <t>ELEPAR INDUSTRIA E COMERCIO DE PRE-MOLDADOS LTDA</t>
  </si>
  <si>
    <t>10.417.379/0001-93</t>
  </si>
  <si>
    <t>GRANIDOMUS@GRANIDOMUS.COM.BR</t>
  </si>
  <si>
    <t>(11) 4138-5501</t>
  </si>
  <si>
    <t>06790-020</t>
  </si>
  <si>
    <t>Taboão da Serra</t>
  </si>
  <si>
    <t>ABILIO JOSE ESPINOLA</t>
  </si>
  <si>
    <t>JARDIM TRES MARIAS</t>
  </si>
  <si>
    <t>GUILHERME E MARIA CLARA</t>
  </si>
  <si>
    <t>ASHER RIO COMERCIO DE TAPETES LTDA</t>
  </si>
  <si>
    <t>39.520.582/0001-72</t>
  </si>
  <si>
    <t>CONTEMPORANEALEGAL@GMAIL.COM</t>
  </si>
  <si>
    <t>(21) 3420-9606</t>
  </si>
  <si>
    <t>22775-900</t>
  </si>
  <si>
    <t>AYRTON SENNA</t>
  </si>
  <si>
    <t>BARRA DA TIJUCA</t>
  </si>
  <si>
    <t>LOJ 101 BLC F</t>
  </si>
  <si>
    <t>AGRA COMERCIO DE TAPETES LTDA</t>
  </si>
  <si>
    <t>20.415.814/0001-02</t>
  </si>
  <si>
    <t>ADMINISTRATIVO@GALERIAHATHI.COM</t>
  </si>
  <si>
    <t>22421-000</t>
  </si>
  <si>
    <t>BARAO DE JAGUARIPE</t>
  </si>
  <si>
    <t>IPANEMA</t>
  </si>
  <si>
    <t>INNOVARE COMERCIO DE MOVEIS E OBJETOS DE DECORACAO LTDA.</t>
  </si>
  <si>
    <t>21.137.007/0001-20</t>
  </si>
  <si>
    <t>Dados da Loja para emissão da Nota Fiscal:   </t>
  </si>
  <si>
    <t>Innovare Comercio de Moveis e Objetos de Decoração Ltda</t>
  </si>
  <si>
    <t>CNPJ 21.137.007/0001-20</t>
  </si>
  <si>
    <t>IE – 144540001115</t>
  </si>
  <si>
    <t>Rua Joaquim Antunes 184 – Pinheiros CEP 05414-000</t>
  </si>
  <si>
    <t>gerencia@incasasp.com.br</t>
  </si>
  <si>
    <t>(11) 94002-1205</t>
  </si>
  <si>
    <t>05415-000</t>
  </si>
  <si>
    <t>JOAQUIM ANTUNES</t>
  </si>
  <si>
    <t>PINHEIROS</t>
  </si>
  <si>
    <t>ANA PAULA</t>
  </si>
  <si>
    <t>vendas@incasasp.com.br</t>
  </si>
  <si>
    <t>EXOTIC FLOORS COMERCIO DE MADEIRAS LTDA</t>
  </si>
  <si>
    <t>08.348.069/0001-12</t>
  </si>
  <si>
    <t>CINTIA@INDUSPARQUETADM.COM.BR</t>
  </si>
  <si>
    <t>(11) 3990-2600</t>
  </si>
  <si>
    <t>06460-010</t>
  </si>
  <si>
    <t>ARUANA</t>
  </si>
  <si>
    <t>GALPAO03                  COND  CENTR COM EMP JUBRAN</t>
  </si>
  <si>
    <t>Sergiane Alice Rodrigues</t>
  </si>
  <si>
    <t>sergiane@indusparquetsp.com.br</t>
  </si>
  <si>
    <t>INOVAR ESQUADRIAS DE ALUMINIO LTDA</t>
  </si>
  <si>
    <t>22.752.241/0001-20</t>
  </si>
  <si>
    <t>roberto@invaluminio.com.br</t>
  </si>
  <si>
    <t>(11) 99987-4223</t>
  </si>
  <si>
    <t>04408-000</t>
  </si>
  <si>
    <t>PUBLIO PIMENTEL</t>
  </si>
  <si>
    <t>AMERICANOPOLIS</t>
  </si>
  <si>
    <t>Junior</t>
  </si>
  <si>
    <t>junior@invaluminio.com.br</t>
  </si>
  <si>
    <t>TEMPS ART&amp;DESIGN LTDA</t>
  </si>
  <si>
    <t>46.298.916/0001-70</t>
  </si>
  <si>
    <t>CONTABIL@JADERALMEIDA.COM</t>
  </si>
  <si>
    <t>(49) 9831-0779</t>
  </si>
  <si>
    <t>05502-001</t>
  </si>
  <si>
    <t>MAGALHÃES DE CASTRO</t>
  </si>
  <si>
    <t>BUTANTÃ</t>
  </si>
  <si>
    <t>LOJA  L07E.M1             LOTE  LOJA L07E.M1</t>
  </si>
  <si>
    <t>JOZILENE DIAS VIEIRA PEREIRA 02708557505</t>
  </si>
  <si>
    <t>32.887.793/0001-07</t>
  </si>
  <si>
    <t>Eduardo Pereira de jesus júnior</t>
  </si>
  <si>
    <t>CPF: 001.455.315.54</t>
  </si>
  <si>
    <t>edujr7307@gmail.com</t>
  </si>
  <si>
    <t>(11) 98210-2010</t>
  </si>
  <si>
    <t>11444-560</t>
  </si>
  <si>
    <t>Guarujá</t>
  </si>
  <si>
    <t>UM</t>
  </si>
  <si>
    <t>JARDIM MAR E CEU</t>
  </si>
  <si>
    <t>JOSE</t>
  </si>
  <si>
    <t>JOSÉ MILZEN</t>
  </si>
  <si>
    <t>ROTERGAN TECIDOS E DECORACOES LTDA</t>
  </si>
  <si>
    <t>05.857.732/0001-16</t>
  </si>
  <si>
    <t>SUELI@JRJ.COM.BR</t>
  </si>
  <si>
    <t>(11) 3060-2777</t>
  </si>
  <si>
    <t>04761-000</t>
  </si>
  <si>
    <t>DOMINGOS JORGE</t>
  </si>
  <si>
    <t>VILA SOCORRO</t>
  </si>
  <si>
    <t>Aline Canteri</t>
  </si>
  <si>
    <t>financeiro@jrj.com.br</t>
  </si>
  <si>
    <t>JS - CONSTRUCAO CIVIL LTDA</t>
  </si>
  <si>
    <t>09.421.676/0001-23</t>
  </si>
  <si>
    <t>jorge@jsengenharia.com.br</t>
  </si>
  <si>
    <t>(41) 3018-9518</t>
  </si>
  <si>
    <t>82520-470</t>
  </si>
  <si>
    <t>PR</t>
  </si>
  <si>
    <t>Curitiba</t>
  </si>
  <si>
    <t>OZORIO DUQUE ESTRADA</t>
  </si>
  <si>
    <t>JARDIM SOCIAL</t>
  </si>
  <si>
    <t>EDUARDO</t>
  </si>
  <si>
    <t>314.425.648-06</t>
  </si>
  <si>
    <t>Thiago Luis Rapuano</t>
  </si>
  <si>
    <t>CPF: 314.425.648-06</t>
  </si>
  <si>
    <t>Celular:011-9-7125-9494</t>
  </si>
  <si>
    <t>E-mail: jucovino@gmail.com</t>
  </si>
  <si>
    <t>Rua Jabor,647 - apto 74E</t>
  </si>
  <si>
    <t>recoralli@hotmail.com</t>
  </si>
  <si>
    <t>(11) 97125-9494</t>
  </si>
  <si>
    <t>04202-959</t>
  </si>
  <si>
    <t>Rua Tabor</t>
  </si>
  <si>
    <t>Ipiranga</t>
  </si>
  <si>
    <t>apto 74 E</t>
  </si>
  <si>
    <t>Juliana Covino</t>
  </si>
  <si>
    <t>jucovino@gmail.com</t>
  </si>
  <si>
    <t>tfkoch@gmail.com</t>
  </si>
  <si>
    <t>(11) 99942-5332</t>
  </si>
  <si>
    <t>torre A1 ,apto.52</t>
  </si>
  <si>
    <t>KALUNGA SA</t>
  </si>
  <si>
    <t>43.283.811/0009-07</t>
  </si>
  <si>
    <t>01451-011</t>
  </si>
  <si>
    <t>IGUATEMI</t>
  </si>
  <si>
    <t>CHACARA ITAIM</t>
  </si>
  <si>
    <t>KAUÊ AMARIZ DA CUNHA</t>
  </si>
  <si>
    <t>427.932.018-71</t>
  </si>
  <si>
    <t>Agência 0001</t>
  </si>
  <si>
    <t>Nu pagamentos S.A 260</t>
  </si>
  <si>
    <t>Número da conta - 43333921 - 3</t>
  </si>
  <si>
    <t>kcunha195@gmail.com</t>
  </si>
  <si>
    <t>(11) 99478-1099</t>
  </si>
  <si>
    <t>KEYATO FERRAGENS LTDA</t>
  </si>
  <si>
    <t>50.868.520/0001-99</t>
  </si>
  <si>
    <t>04089-012</t>
  </si>
  <si>
    <t>LABLUZ SAO PAULO ASSESSORIA E PLANEJAMENTO EM ILUMINACAO LTDA.</t>
  </si>
  <si>
    <t>72.811.581/0001-52</t>
  </si>
  <si>
    <t>A discriminação dos serviços para emissão da nota deve ser:</t>
  </si>
  <si>
    <t>Prestação de Serviço </t>
  </si>
  <si>
    <t>Vencimento: 25/03/2021</t>
  </si>
  <si>
    <t>O código de serviço da nota deve ser:</t>
  </si>
  <si>
    <t>7.01 – Engenharia, agronomia, agrimensura, arquitetura, geologia, urbanismo, paisagismo e congêneres.</t>
  </si>
  <si>
    <t>RAZÃO SOCIAL : LABLUZ SP ASS. E PLANEJAMENTO DE ILUMINAÇÃO</t>
  </si>
  <si>
    <t>FANTASIA: LABLUZ</t>
  </si>
  <si>
    <t>ENDEREÇO COMPLETO: AV. SANTA MARINA, 2240 - FREGUESIA DO Ó -</t>
  </si>
  <si>
    <t>02732-040 - SÃO PAULO/SP</t>
  </si>
  <si>
    <t>CNPJ: 72.811.581/0001-52</t>
  </si>
  <si>
    <t>INSCRIÇÃO ESTADUAL: 113.832.989.115</t>
  </si>
  <si>
    <t>INSCRIÇÃO MUNICIPAL: 2.197.309-1</t>
  </si>
  <si>
    <t>TELEFONE: 011 3934-2788</t>
  </si>
  <si>
    <t>EMAIL: labluzsp@labluz.com.br</t>
  </si>
  <si>
    <t>SITE: www.labluz.com.br</t>
  </si>
  <si>
    <t>FUNDADA EM: 30/08/1995</t>
  </si>
  <si>
    <t>ENDEREÇO COMPLETO SHOWROOM: RUA ANTONIO CARLOS, 686 -</t>
  </si>
  <si>
    <t>CERQUEIRA CESAR - 01309-010 - SÃO PAULO/ SP</t>
  </si>
  <si>
    <t>CNPJ: 72.811.581/0003-14</t>
  </si>
  <si>
    <t>TELEFONE SHOWROOM: 011 3218-278821</t>
  </si>
  <si>
    <t>Dados Bancários:</t>
  </si>
  <si>
    <t>Itaú</t>
  </si>
  <si>
    <t>Ag: 0285</t>
  </si>
  <si>
    <t>Cc/06783-1</t>
  </si>
  <si>
    <t>MN Arquitetura e Interiores LTDA</t>
  </si>
  <si>
    <t>Cnpj: 19.803.989/0001-08</t>
  </si>
  <si>
    <t>Podem ser aceitos códigos de decoração, design de interiores e desenho técnico.</t>
  </si>
  <si>
    <t>labluzsp@labluz.com.br</t>
  </si>
  <si>
    <t>(11) 3218-2788</t>
  </si>
  <si>
    <t>01309-010</t>
  </si>
  <si>
    <t>Rua Antônio Carlos</t>
  </si>
  <si>
    <t>Consolação</t>
  </si>
  <si>
    <t>Jessé Placido</t>
  </si>
  <si>
    <t>jesse@labluz.com.br</t>
  </si>
  <si>
    <t>LIDER INDUSTRIA E COMERCIO DE ESTOFADOS S/A</t>
  </si>
  <si>
    <t>64.422.892/0001-00</t>
  </si>
  <si>
    <t>ENILDA@LIDERINTERIORES.COM.BR</t>
  </si>
  <si>
    <t>(37) 3244-0318</t>
  </si>
  <si>
    <t>35557-000</t>
  </si>
  <si>
    <t>Carmo do Cajuru</t>
  </si>
  <si>
    <t>PRESIDENTE TANCREDO DE ALMEIDA NEVES</t>
  </si>
  <si>
    <t>BONFIM</t>
  </si>
  <si>
    <t>PIMENTA BUENO DECORACAO E MODA LTDA</t>
  </si>
  <si>
    <t>07.007.228/0001-52</t>
  </si>
  <si>
    <t>Dados para NF</t>
  </si>
  <si>
    <t>Razão Social: Pimenta Bueno Decoração e Moda Ltda</t>
  </si>
  <si>
    <t>Endereço: Rua Desembargador Alceu Cordeiro Fernandes, 114 - Campo Limpo - São paulo-Sp</t>
  </si>
  <si>
    <t>CEP: 05758-060</t>
  </si>
  <si>
    <t>Tel: 11 - 3744-4587</t>
  </si>
  <si>
    <t>contato@lilianpimenta.com.br</t>
  </si>
  <si>
    <t>(11) 95317-6653</t>
  </si>
  <si>
    <t>05758-060</t>
  </si>
  <si>
    <t>Rua Desembargador Alceu Cordeiro Fernandes</t>
  </si>
  <si>
    <t>Jardim Pirajussara</t>
  </si>
  <si>
    <t>gláucia</t>
  </si>
  <si>
    <t>LORRANY</t>
  </si>
  <si>
    <t>LUBIA</t>
  </si>
  <si>
    <t>LUCA CAFICI</t>
  </si>
  <si>
    <t>PF - CPF: 238.149.658-09</t>
  </si>
  <si>
    <t>lcafici@gmail.com</t>
  </si>
  <si>
    <t>04547-001</t>
  </si>
  <si>
    <t>Rua Gomes de Carvalho</t>
  </si>
  <si>
    <t>Vila Olímpia</t>
  </si>
  <si>
    <t>aptº 909</t>
  </si>
  <si>
    <t>Luca Cafici</t>
  </si>
  <si>
    <t>063.204.728-39</t>
  </si>
  <si>
    <t>04116-250</t>
  </si>
  <si>
    <t>Rua Agnaldo Manuel dos Santos</t>
  </si>
  <si>
    <t>Jardim Vila Mariana</t>
  </si>
  <si>
    <t>luciene Gilmarchi</t>
  </si>
  <si>
    <t>luciene@cblreciclagem.com.br</t>
  </si>
  <si>
    <t>LUIZ FILIPE  (SOBLOCO)</t>
  </si>
  <si>
    <t>093.318.938-92</t>
  </si>
  <si>
    <t>Emissão de N|F</t>
  </si>
  <si>
    <t>Luiz Filipe Pereira de Almeida</t>
  </si>
  <si>
    <t>CPF - 093.318.938-92</t>
  </si>
  <si>
    <t>Av. Brigadeiro Faria Lima 2601  &gt; 7o andar</t>
  </si>
  <si>
    <t>OU</t>
  </si>
  <si>
    <t>Rua Evaristo de Morais, 55 - apto 121 - Paraíso - CEP 04007-07</t>
  </si>
  <si>
    <t>Avenida Brigadeiro Faria Lima</t>
  </si>
  <si>
    <t>Jardim Paulistano</t>
  </si>
  <si>
    <t>7° andar</t>
  </si>
  <si>
    <t>Luiz Felipe</t>
  </si>
  <si>
    <t>lf@sobloco.com.br</t>
  </si>
  <si>
    <t>LUMINI SOLUCOES EM ILUMINACAO LTDA</t>
  </si>
  <si>
    <t>40.418.865/0002-78</t>
  </si>
  <si>
    <t>fiscal@lumini.com.br</t>
  </si>
  <si>
    <t>(11) 3898-0222</t>
  </si>
  <si>
    <t>Maryanne Cristofoli</t>
  </si>
  <si>
    <t>maryanne@lumini.com.br</t>
  </si>
  <si>
    <t>LUSTRECO COMERCIO DE ILUMINACAO E DECORACOES LTDA</t>
  </si>
  <si>
    <t>47.981.659/0001-30</t>
  </si>
  <si>
    <t>OSMAIR.BERNARDINO@LUSTRECO.COM.BR</t>
  </si>
  <si>
    <t>(11) 9999-9999</t>
  </si>
  <si>
    <t>04538-050</t>
  </si>
  <si>
    <t>VIZEU</t>
  </si>
  <si>
    <t>QUATRO ARTE COMERCIO DE MOVEIS E DECORACAO LTDA</t>
  </si>
  <si>
    <t>14.086.456/0001-20</t>
  </si>
  <si>
    <t>FISCAL@MADE55.COM</t>
  </si>
  <si>
    <t>(11) 2311-4110</t>
  </si>
  <si>
    <t>04522-034</t>
  </si>
  <si>
    <t>GAIVOTA</t>
  </si>
  <si>
    <t>MOEMA</t>
  </si>
  <si>
    <t>Elaine</t>
  </si>
  <si>
    <t>KAMY TAPETES - COMERCIO LTDA</t>
  </si>
  <si>
    <t>12.576.817/0001-91</t>
  </si>
  <si>
    <t>Ramo: Tapetes</t>
  </si>
  <si>
    <t>ANA@BYKAMY.COM</t>
  </si>
  <si>
    <t>(11) 3721-1494</t>
  </si>
  <si>
    <t>Noemia</t>
  </si>
  <si>
    <t>noemia@bykamy.com.br</t>
  </si>
  <si>
    <t>IGOR NIKOLAS PETER</t>
  </si>
  <si>
    <t>01.003.548/0001-58</t>
  </si>
  <si>
    <t>FINANCEIRO@MAISONTECIDOS.COM.BR</t>
  </si>
  <si>
    <t>(11) 2835-0824</t>
  </si>
  <si>
    <t>04517-040</t>
  </si>
  <si>
    <t>NORMANDIA</t>
  </si>
  <si>
    <t>CRIS</t>
  </si>
  <si>
    <t>financeiro@maisontecidos.com.br</t>
  </si>
  <si>
    <t>OFICINA DE CERAMICA E ARTES LTDA</t>
  </si>
  <si>
    <t>03.413.335/0001-20</t>
  </si>
  <si>
    <t>DADOS PARA EMISSÃO DE NF</t>
  </si>
  <si>
    <t>Razão Social:</t>
  </si>
  <si>
    <t>OFICINA DE CERÂMICA E ARTES LTDA</t>
  </si>
  <si>
    <t>Endereço:</t>
  </si>
  <si>
    <t>AVENIDA PORTUGAL, Nº 1439</t>
  </si>
  <si>
    <t>Bairro:</t>
  </si>
  <si>
    <t>JARDIM BELA VISTA</t>
  </si>
  <si>
    <t>CEP:</t>
  </si>
  <si>
    <t>09041-321</t>
  </si>
  <si>
    <t>Cidade:</t>
  </si>
  <si>
    <t>SANTO ANDRÉ - SP</t>
  </si>
  <si>
    <t>Fone / Fax:</t>
  </si>
  <si>
    <t>(11) 4993-9988</t>
  </si>
  <si>
    <t>E-mail:</t>
  </si>
  <si>
    <t>victor.financeiro@maisrevestimentos.com.br</t>
  </si>
  <si>
    <t>CNPJ:</t>
  </si>
  <si>
    <t>IE:</t>
  </si>
  <si>
    <t>SANTOANDRE@MAISREVESTIMENTOS.COM.BR</t>
  </si>
  <si>
    <t>PORTUGAL</t>
  </si>
  <si>
    <t>Marcello Bertoni</t>
  </si>
  <si>
    <t>Marcello Bertoni - CPF - 317.001.308-46</t>
  </si>
  <si>
    <t>marcello@bertoni.com.br</t>
  </si>
  <si>
    <t>(11) 99402-4553</t>
  </si>
  <si>
    <t>317.001.308-46</t>
  </si>
  <si>
    <t>Marcelo Betoni</t>
  </si>
  <si>
    <t>ATELIER NICOLE DESIGN LTDA</t>
  </si>
  <si>
    <t>15.534.125/0001-79</t>
  </si>
  <si>
    <t>ESCRITORIOCENTRAL@CONTABILIDADE-ECC.COM.BR</t>
  </si>
  <si>
    <t>(11) 3258-7333</t>
  </si>
  <si>
    <t>MÁRCIA E HELIO</t>
  </si>
  <si>
    <t>FRANCISCO RIBEIRO NETO</t>
  </si>
  <si>
    <t>06.954.852/0002-85</t>
  </si>
  <si>
    <t>unicont@terra.com.br</t>
  </si>
  <si>
    <t>(11) 4022-1627</t>
  </si>
  <si>
    <t>13312-820</t>
  </si>
  <si>
    <t>Itu</t>
  </si>
  <si>
    <t>DO ACUCAR</t>
  </si>
  <si>
    <t>S/N</t>
  </si>
  <si>
    <t>TAPERINHA</t>
  </si>
  <si>
    <t>KM    23</t>
  </si>
  <si>
    <t>Maria Clara e Guilherme</t>
  </si>
  <si>
    <t>067.386.896-67</t>
  </si>
  <si>
    <t>Guilherme J A Wood</t>
  </si>
  <si>
    <t>O valor para prestação do serviço de projeto de arquitetura de interiores descrito nos itens acima, será de R$ 12.600,00.</t>
  </si>
  <si>
    <t>Forma de pagamento: O pagamento poderá ser efetuado em 03 (três) parcelas iguais.</t>
  </si>
  <si>
    <t>073.627.088-40</t>
  </si>
  <si>
    <t>belstrapetti@gmail.com</t>
  </si>
  <si>
    <t>(11) 98254-8765</t>
  </si>
  <si>
    <t>01433-020</t>
  </si>
  <si>
    <t>Rua General Fonseca Teles</t>
  </si>
  <si>
    <t>Jardim Paulista</t>
  </si>
  <si>
    <t>Maria Isabel</t>
  </si>
  <si>
    <t>MARIA ISABEL NAJM-SÃO PAULO</t>
  </si>
  <si>
    <t>MARIA ISABEL-SÃO PAULO</t>
  </si>
  <si>
    <t>MARILIA Z ROCHOLLI e ThiagoGRANJEIRO</t>
  </si>
  <si>
    <t>939.942.818-49</t>
  </si>
  <si>
    <t>MARTHA</t>
  </si>
  <si>
    <t>MILENA VIANA DA SILVA MORAES 05065041318</t>
  </si>
  <si>
    <t>47.404.525/0001-56</t>
  </si>
  <si>
    <t>MILENAWM1@GMAIL.COM</t>
  </si>
  <si>
    <t>(98) 9985-5064</t>
  </si>
  <si>
    <t>65054-005</t>
  </si>
  <si>
    <t>MA</t>
  </si>
  <si>
    <t>São Luís</t>
  </si>
  <si>
    <t>DE RIBAMAR</t>
  </si>
  <si>
    <t>FORQUILHA</t>
  </si>
  <si>
    <t>COND VITORIA;BLOCO A12A;APT 14</t>
  </si>
  <si>
    <t>MN ARQUITETURA***</t>
  </si>
  <si>
    <t>MN ARQUITETURAJM SISTEMAS E SERVICOS LTDA</t>
  </si>
  <si>
    <t>MN _Gapaz_Patricia</t>
  </si>
  <si>
    <t>MONT B COMERCIO DE PEDRAS EIRELI</t>
  </si>
  <si>
    <t>26.334.186/0001-09</t>
  </si>
  <si>
    <t>Vera Cristina</t>
  </si>
  <si>
    <t>(11) 98564-3099</t>
  </si>
  <si>
    <t>06233-180</t>
  </si>
  <si>
    <t>Osasco</t>
  </si>
  <si>
    <t>WALTER MANZOLLI</t>
  </si>
  <si>
    <t>vera@montblancmarmores.com.br</t>
  </si>
  <si>
    <t>FORMAS E FIBRAS TAPETES LTDA</t>
  </si>
  <si>
    <t>25.284.846/0001-21</t>
  </si>
  <si>
    <t>CRISTIANELOPES@BONOMI.COM.BR</t>
  </si>
  <si>
    <t>(11) 3392-3811</t>
  </si>
  <si>
    <t>01137-010</t>
  </si>
  <si>
    <t>NORMA PIERUCCINI GIANNOTTI</t>
  </si>
  <si>
    <t>SALA  03</t>
  </si>
  <si>
    <t>MUL-T-LOCK DO BRASIL INDUSTRIA E COMERCIO  EIRELI</t>
  </si>
  <si>
    <t>58.609.553/0001-26</t>
  </si>
  <si>
    <t>NIDE@MULTLOCK.COM.BR</t>
  </si>
  <si>
    <t>(11) 3351-7777</t>
  </si>
  <si>
    <t>01127-050</t>
  </si>
  <si>
    <t>PAULO GIANNOTTI</t>
  </si>
  <si>
    <t>BOM RETIRO</t>
  </si>
  <si>
    <t>LUCIANA</t>
  </si>
  <si>
    <t>luciana@multlock.com.br</t>
  </si>
  <si>
    <t>MUMA COMERCIO DE MOVEIS S A</t>
  </si>
  <si>
    <t>17.688.095/0001-80</t>
  </si>
  <si>
    <t>LOJA DE MOEMA</t>
  </si>
  <si>
    <t>FINANCEIRO@MUMA.COM.BR</t>
  </si>
  <si>
    <t>(81) 3266-0105</t>
  </si>
  <si>
    <t>52011-050</t>
  </si>
  <si>
    <t>PE</t>
  </si>
  <si>
    <t>Recife</t>
  </si>
  <si>
    <t>AMELIA</t>
  </si>
  <si>
    <t>GRACAS</t>
  </si>
  <si>
    <t>LOJA 000A</t>
  </si>
  <si>
    <t>Neia</t>
  </si>
  <si>
    <t>sidineia@muma.com.br</t>
  </si>
  <si>
    <t>NF194-EDIFICIO SUPREME</t>
  </si>
  <si>
    <t>OBRA FACIL COMERCIO DE MATERIAIS PARA CONSTRUCAO LTDA</t>
  </si>
  <si>
    <t>05.909.339/0001-29</t>
  </si>
  <si>
    <t>Entenda sua pontuação: www.obrafacilmais.com.br</t>
  </si>
  <si>
    <t>Pontos de pedidos “baixados "entre os dias 1 a 30 (31) de um mês, serão disponibilizados para resgate em até 10 dias úteis do próximo mês e devem ser resgatados até o último dia deste mesmo mês.</t>
  </si>
  <si>
    <t>Ex: Um pedido com data de baixa entre 1/7 a 31/7, seus pontos estarão disponíveis para resgate no máximo em 14/8 e devem ser resgatado em 31/8. Os pontos na área de produtos podem ser acumulados</t>
  </si>
  <si>
    <t>Somente serão enviados para resgate, valores acumuladas em 100 pontos. Abaixo disso, ficará no sistema da loja até acumular os 100 pontos e então ser enviado para resgate.dor</t>
  </si>
  <si>
    <t>bruno@lojaobrafacil.com.br</t>
  </si>
  <si>
    <t>(11) 99573-4012</t>
  </si>
  <si>
    <t>05422-002</t>
  </si>
  <si>
    <t>DOS PINHEIROS</t>
  </si>
  <si>
    <t>Adriana</t>
  </si>
  <si>
    <t>venda@lojaobrafacil.com.br</t>
  </si>
  <si>
    <t>PAGLIOTTO DESIGN E COMERCIO EIRELI</t>
  </si>
  <si>
    <t>01.236.114/0001-06</t>
  </si>
  <si>
    <t>- Razão social – Pagliotto Design e Comércio Eireli</t>
  </si>
  <si>
    <t>- Nome fantasia –“ Pagliotto Pedras de Cantaria”</t>
  </si>
  <si>
    <t>- Endereço: Av. Prof. Vicente Ráo, 1259 (antigo 1271A) – Cep: 04636-001</t>
  </si>
  <si>
    <t>- CNPJ – 01.236.114/0001-06 - I.E – 114.966.669.114</t>
  </si>
  <si>
    <t>- Inscrição Municipal – 2.495.867-0</t>
  </si>
  <si>
    <t>- Fones: (11) 5041-5288 / 5041-5692</t>
  </si>
  <si>
    <t>- E-mail: pagliotto@pedrasabao.com.br</t>
  </si>
  <si>
    <t>- Contato: Juscilene Valéria</t>
  </si>
  <si>
    <t>- Responsável: Antonio Carlos P. C. Pagliotto</t>
  </si>
  <si>
    <t>- Site: www.pedrasabao.com.br</t>
  </si>
  <si>
    <t>Dados bancários:</t>
  </si>
  <si>
    <t>1 – Banco do Brasil – AG: 4334-6 – C/C: 5333-3</t>
  </si>
  <si>
    <t>Fone: 11 96395-1532 – Gerente Sandra</t>
  </si>
  <si>
    <t>2 – Itaú – AG: 0767- C/C: 34392-4</t>
  </si>
  <si>
    <t>Fone: 11 98919-3625 – Gerente Ana Carolina</t>
  </si>
  <si>
    <t>Fornecedores:</t>
  </si>
  <si>
    <t>1) Tintas Jd Ltda</t>
  </si>
  <si>
    <t>Fone: 11 5670-6060 – Gerente Sr. Francisco</t>
  </si>
  <si>
    <t>2) Temfer Materiais de Construção</t>
  </si>
  <si>
    <t>Fone: 11 5091-8044 – Contato: Sr. Ricardo</t>
  </si>
  <si>
    <t>3) Geosinter Ferramentas diamantadas</t>
  </si>
  <si>
    <t>Fone: 11 3296-000 – Contato: Sra. Monica</t>
  </si>
  <si>
    <t>Clientes:</t>
  </si>
  <si>
    <t>1) Arq.</t>
  </si>
  <si>
    <t>PAGLIOTTO@PEDRASDESABAO.COM.BR</t>
  </si>
  <si>
    <t>(11) 5041-5288</t>
  </si>
  <si>
    <t>04636-001</t>
  </si>
  <si>
    <t>PROFESSOR VICENTE RAO</t>
  </si>
  <si>
    <t>JARDIM PETROPOLIS</t>
  </si>
  <si>
    <t>JUSCILENE</t>
  </si>
  <si>
    <t>pagliotto@pedrasabao.com.br</t>
  </si>
  <si>
    <t>PAMPLONA S C EIR</t>
  </si>
  <si>
    <t>PARQUET SP REVESTIMENTOS EM MADEIRA LTDA</t>
  </si>
  <si>
    <t>01.701.923/0001-33</t>
  </si>
  <si>
    <t>gustavo@parquetsp.com.br</t>
  </si>
  <si>
    <t>(11) 5095-1000</t>
  </si>
  <si>
    <t>04607-002</t>
  </si>
  <si>
    <t>ANTONIO DE MACEDO SOARES</t>
  </si>
  <si>
    <t>CAMPO BELO</t>
  </si>
  <si>
    <t>ELISA ROCHA</t>
  </si>
  <si>
    <t>vendas4@parquetsp.com.br</t>
  </si>
  <si>
    <t>patchouly</t>
  </si>
  <si>
    <t>CASSIANA PARTEZANI MEGNIS</t>
  </si>
  <si>
    <t>08.614.292/0001-64</t>
  </si>
  <si>
    <t>5% RT - APÓS REALIZAR O PAGAMENTO, SOLICITAR NF</t>
  </si>
  <si>
    <t>patchouly@patchouly.com.br</t>
  </si>
  <si>
    <t>(11) 94128-6807</t>
  </si>
  <si>
    <t>01232-010</t>
  </si>
  <si>
    <t>CONSELHEIRO BROTERO</t>
  </si>
  <si>
    <t>SANTA CECILIA</t>
  </si>
  <si>
    <t>PAULA E DANIEL</t>
  </si>
  <si>
    <t>PAULA RISO E ANA CAROLIAN BERTONI</t>
  </si>
  <si>
    <t>321.637.138-73</t>
  </si>
  <si>
    <t>CAMILADOSSE@YAHOO.COM.BR</t>
  </si>
  <si>
    <t>(11) 5084-0083</t>
  </si>
  <si>
    <t>PBTECH E SERV</t>
  </si>
  <si>
    <t>PBTECHG</t>
  </si>
  <si>
    <t>MUNDIAL PEDRAS E TELHAS DE FRANCA LTDA</t>
  </si>
  <si>
    <t>01.316.105/0001-17</t>
  </si>
  <si>
    <t>GISLENE@PEDRASMUNDIAL.COM.BR</t>
  </si>
  <si>
    <t>(16) 3722-5466</t>
  </si>
  <si>
    <t>14403-138</t>
  </si>
  <si>
    <t>Franca</t>
  </si>
  <si>
    <t>PAULO VI</t>
  </si>
  <si>
    <t>JARDIM ALVORADA</t>
  </si>
  <si>
    <t>PLURIPISO COMERCIAL LTDA</t>
  </si>
  <si>
    <t>51.562.585/0001-74</t>
  </si>
  <si>
    <t>RT 10% &gt; Não inclui valor do frete e mão de obra</t>
  </si>
  <si>
    <t>renata.machado@pluripiso.com.br</t>
  </si>
  <si>
    <t>(11) 99947-8518</t>
  </si>
  <si>
    <t>04015-001</t>
  </si>
  <si>
    <t>JOAQUIM TAVORA</t>
  </si>
  <si>
    <t>DRZ PORTAS ECOLOGICAS LTDA</t>
  </si>
  <si>
    <t>10.652.922/0002-18</t>
  </si>
  <si>
    <t>MATRIZ: RUA PRUDENTE DE MORAES,940 - CENTRO</t>
  </si>
  <si>
    <t>UNIAO DA VITORIA - PR</t>
  </si>
  <si>
    <t>100012-2</t>
  </si>
  <si>
    <t>CEP: 84600905</t>
  </si>
  <si>
    <t>ded@pormade.com.br</t>
  </si>
  <si>
    <t>(11) 95591-9243</t>
  </si>
  <si>
    <t>FERNANDA SANTOS LIMA</t>
  </si>
  <si>
    <t>sr5.4@pormade.com.br</t>
  </si>
  <si>
    <t>PORT</t>
  </si>
  <si>
    <t>PORTO</t>
  </si>
  <si>
    <t>PBTECH COMERCIO E SERVICOS DE REVESTIMENTOS CERAMICOS LTDA.</t>
  </si>
  <si>
    <t>05.876.012/0013-31</t>
  </si>
  <si>
    <t>RAZÃO SOCIAL : PBTECH COMÉRCIO E SERVIÇOS DE REVESTIMENTOS CERÂMICOS</t>
  </si>
  <si>
    <t>CNPJ: 05.876.012/0013-31</t>
  </si>
  <si>
    <t>Endereço: Av. dos Bandeirantes , 2001 - VILA OLIMPIA, São Paulo - SP, 04553011    </t>
  </si>
  <si>
    <t>Telefone: 011-4878-1770</t>
  </si>
  <si>
    <t>E-mail: priscila.ribeiro@portobelloshop.com.br</t>
  </si>
  <si>
    <t>Podem ser aceitos códigos de decoração, design de interiores e desenho técnico.  </t>
  </si>
  <si>
    <t>RT  Portobello é sempre paga no mês seguinte ao do fechamento do pedido (entre o dia 15 e 25)&gt; Financeiro entra em contato para solicitar NF </t>
  </si>
  <si>
    <t>É descontado o valor do Frete, e impostos&gt;Outra informação ligar - (11) 98490-1067</t>
  </si>
  <si>
    <t>alex.linhares@portobelloshop.com.br</t>
  </si>
  <si>
    <t>04553-011</t>
  </si>
  <si>
    <t>DOS BANDEIRANTES</t>
  </si>
  <si>
    <t>VILA OLIMPIA</t>
  </si>
  <si>
    <t>Alex Sander Linhares</t>
  </si>
  <si>
    <t>61.198.164/0001-60</t>
  </si>
  <si>
    <t>POSITANO ATELIER DO DESIGN LTDA</t>
  </si>
  <si>
    <t>10.349.826/0001-14</t>
  </si>
  <si>
    <t>JOAO@POSITANODESIGN.COM.BR</t>
  </si>
  <si>
    <t>(11) 3675-1730</t>
  </si>
  <si>
    <t>346.585.288-51</t>
  </si>
  <si>
    <t>PROMOVEIS MARCENARIA LTDA</t>
  </si>
  <si>
    <t>18.351.607/0001-81</t>
  </si>
  <si>
    <t>Preço posto e montado no local:</t>
  </si>
  <si>
    <t>Banco do Brasil:</t>
  </si>
  <si>
    <t> Ag 1201-7 </t>
  </si>
  <si>
    <t>C/c: 39092-5</t>
  </si>
  <si>
    <t>marcenaria.promoveis@gmail.com</t>
  </si>
  <si>
    <t>(11) 99644-1418</t>
  </si>
  <si>
    <t>06186-100</t>
  </si>
  <si>
    <t>Av. Internacional</t>
  </si>
  <si>
    <t>Santo Antonio</t>
  </si>
  <si>
    <t>João Carlos Fazzio</t>
  </si>
  <si>
    <t>47.937.607/0001-66</t>
  </si>
  <si>
    <t>Marisa</t>
  </si>
  <si>
    <t>M2 TAPETES LTDA</t>
  </si>
  <si>
    <t>21.399.406/0001-69</t>
  </si>
  <si>
    <t>07600-213</t>
  </si>
  <si>
    <t>Mairiporã</t>
  </si>
  <si>
    <t>PEDRO GALRAO DO NASCIMENTO</t>
  </si>
  <si>
    <t>PILLOWS &amp; FABRICS COMERCIO DE PECAS DECORATIVAS LTDA</t>
  </si>
  <si>
    <t>10.201.943/0001-36</t>
  </si>
  <si>
    <t>CNPJ 10.201.943/0001-36</t>
  </si>
  <si>
    <t>INSC. ESTADUAL 144.108.207.117</t>
  </si>
  <si>
    <t>Endereço: Rua Custódio de Aguiar, 198 Galpão 4.</t>
  </si>
  <si>
    <t>Bairro: Balneário Mar Paulista</t>
  </si>
  <si>
    <t>São Paulo – SP</t>
  </si>
  <si>
    <t>CEP: 04464-140</t>
  </si>
  <si>
    <t>flavio@ftrlegal.com.br</t>
  </si>
  <si>
    <t>(11) 3284-3355</t>
  </si>
  <si>
    <t>04464-140</t>
  </si>
  <si>
    <t>CUSTODIO DE AGUIAR</t>
  </si>
  <si>
    <t>BALNEARIO MAR PAULISTA</t>
  </si>
  <si>
    <t>GALPAO: 4;</t>
  </si>
  <si>
    <t>Pedroso</t>
  </si>
  <si>
    <t>pedroso@quakertextil.com.br</t>
  </si>
  <si>
    <t>QUAKER TEXTIL DO BRASIL LTDA.</t>
  </si>
  <si>
    <t>03.784.035/0001-57</t>
  </si>
  <si>
    <t>QUAKER TEXTIL DO BRASIL LTDA</t>
  </si>
  <si>
    <t>CNPJ: 03.784.035/0001-57</t>
  </si>
  <si>
    <t>I.E: 115.664.666.115</t>
  </si>
  <si>
    <t>RUA: CUSTODIO DE AGUIAR, 186</t>
  </si>
  <si>
    <t>BAIRRO: BALNEÁRIO MAR PAULISTA</t>
  </si>
  <si>
    <t>SÃO PAULO - SP</t>
  </si>
  <si>
    <t>CEP 04464-140</t>
  </si>
  <si>
    <t>fabianogonzaga@quakertextil.com.br</t>
  </si>
  <si>
    <t>PEDROSO</t>
  </si>
  <si>
    <t>CBM-OFICINA DE ARTEFATOS DE MADEIRA LTDA</t>
  </si>
  <si>
    <t>56.922.826/0002-43</t>
  </si>
  <si>
    <t>O prazo para pagamento será de 45 dias após o recebimento da NF</t>
  </si>
  <si>
    <t>CONTABIL@QUARTOSETC.COM.BR</t>
  </si>
  <si>
    <t>(19) 3491-3300</t>
  </si>
  <si>
    <t>AN PAULA COSTA</t>
  </si>
  <si>
    <t>comercial2@quartosetc.com.br</t>
  </si>
  <si>
    <t>74.417.353/0001-28</t>
  </si>
  <si>
    <t>FINANCEIRO@RANIERIMARMORES.COM.BR</t>
  </si>
  <si>
    <t>(11) 5078-3060</t>
  </si>
  <si>
    <t>03186-010</t>
  </si>
  <si>
    <t>CAMPO LARGO</t>
  </si>
  <si>
    <t>VILA BERTIOGA</t>
  </si>
  <si>
    <t>841.063.563-17</t>
  </si>
  <si>
    <t>ROSA ANDRADE</t>
  </si>
  <si>
    <t>077.643.320-20</t>
  </si>
  <si>
    <t>CPF GERADO SOMENTE PARA CADASTRO &gt; NÃO PERTENCE AO CLIENTE</t>
  </si>
  <si>
    <t>SAO JUDAS PRIME ARTIGOS DE ILUMINACAO LTDA</t>
  </si>
  <si>
    <t>29.320.864/0001-72</t>
  </si>
  <si>
    <t>ARNALDO@CONTABILIPIRANGA.COM.BR</t>
  </si>
  <si>
    <t>(11) 2092-6361</t>
  </si>
  <si>
    <t>03322-001</t>
  </si>
  <si>
    <t>AZEVEDO SOARES</t>
  </si>
  <si>
    <t>VILA GOMES CARDIM</t>
  </si>
  <si>
    <t>Mauricio Pedroso</t>
  </si>
  <si>
    <t>COIFAS E ELETRODOMESTICOS COMERCIO LTDA</t>
  </si>
  <si>
    <t>09.053.150/0001-38</t>
  </si>
  <si>
    <t>COIFASEPROJETOSOFICIAL@GMAIL.COM</t>
  </si>
  <si>
    <t>(11) 94715-1584</t>
  </si>
  <si>
    <t>09726-150</t>
  </si>
  <si>
    <t>ANTARTICO</t>
  </si>
  <si>
    <t>JARDIM DO MAR</t>
  </si>
  <si>
    <t>QUADRA51                  LOTE  P/B</t>
  </si>
  <si>
    <t>M&amp;P GALASSI DECORACAO DE AMBIENTES EIRELI</t>
  </si>
  <si>
    <t>14.211.200/0001-06</t>
  </si>
  <si>
    <t>mariana@soleart.com.br</t>
  </si>
  <si>
    <t>(11) 95609-5600</t>
  </si>
  <si>
    <t>05840-020</t>
  </si>
  <si>
    <t>ARISTODEMO GAZZOTTI</t>
  </si>
  <si>
    <t>VILA DAS BELEZAS</t>
  </si>
  <si>
    <t>CONJ  2</t>
  </si>
  <si>
    <t>Mariana</t>
  </si>
  <si>
    <t>SR. SKY COMERCIO E SOLUCOES CONSTRUTIVAS LTDA</t>
  </si>
  <si>
    <t>20.319.779/0001-10</t>
  </si>
  <si>
    <t>COMERCIAL@SRSKYVIDROS.COM.BR</t>
  </si>
  <si>
    <t>(11) 2387-7992</t>
  </si>
  <si>
    <t>02737-000</t>
  </si>
  <si>
    <t>DOS SITIANTES</t>
  </si>
  <si>
    <t>ITABERABA</t>
  </si>
  <si>
    <t>STARINOX COMERCIO E SERVICOS DE INOX LTDA</t>
  </si>
  <si>
    <t>01.528.455/0001-47</t>
  </si>
  <si>
    <t>RACALUEL@TERRA.COM.BR</t>
  </si>
  <si>
    <t>02611-001</t>
  </si>
  <si>
    <t>PARADA PINTO</t>
  </si>
  <si>
    <t>VILA AMALIA</t>
  </si>
  <si>
    <t>STEFANIE E ENRICO</t>
  </si>
  <si>
    <t>STEPHANIE</t>
  </si>
  <si>
    <t>UNIAR COMERCIO DE ELETRO-ELETRONICOS E SERVICOS LTDA.</t>
  </si>
  <si>
    <t>07.722.501/0001-20</t>
  </si>
  <si>
    <t>Reserva Técnica = 5%</t>
  </si>
  <si>
    <t>Datas: 20 e 25 de cada mês</t>
  </si>
  <si>
    <t>edvaldo@poloar.com.br</t>
  </si>
  <si>
    <t>(11) 3648-8634</t>
  </si>
  <si>
    <t>01201-001</t>
  </si>
  <si>
    <t>Rua Barão de Campinas</t>
  </si>
  <si>
    <t>Campos Elíseos</t>
  </si>
  <si>
    <t>PAVMTO01</t>
  </si>
  <si>
    <t>Deise Marques Damasceno</t>
  </si>
  <si>
    <t>damascena.deise@grupostr.com.br</t>
  </si>
  <si>
    <t>44.754.653/0001-31</t>
  </si>
  <si>
    <t>RT 10% COM NF</t>
  </si>
  <si>
    <t>APÓS PAGAMENTO DO CLIENTE A RT É LIBERADO E SERÁ PAGO APÓS 10 DIAS DO ENVIO DA NF</t>
  </si>
  <si>
    <t>CASO CLIENTE PARCELAR DEVERÁ CONTAR A LIBERAÇÃO APÓS FINALLIZAÇÃO DO PAGAMENTO INDEPENDENTE DA FORMA( BOLETO OU CRÉDITO)</t>
  </si>
  <si>
    <t>helio@garutti.com.br</t>
  </si>
  <si>
    <t>(11) 3256-2333</t>
  </si>
  <si>
    <t>05520-300</t>
  </si>
  <si>
    <t>FRANCISCO MORATO</t>
  </si>
  <si>
    <t>FERRIRA</t>
  </si>
  <si>
    <t>Gabriela</t>
  </si>
  <si>
    <t>gabriela@svetlana.com.br</t>
  </si>
  <si>
    <t>LIMATEC INSTALACOES LTDA</t>
  </si>
  <si>
    <t>48.118.380/0001-90</t>
  </si>
  <si>
    <t>NFE@TENSOFLEX.COM.BR</t>
  </si>
  <si>
    <t>(21) 3822-1671</t>
  </si>
  <si>
    <t>20760-000</t>
  </si>
  <si>
    <t>ALVARO MIRANDA</t>
  </si>
  <si>
    <t>PILARES</t>
  </si>
  <si>
    <t>GLP 1</t>
  </si>
  <si>
    <t>Jéssica</t>
  </si>
  <si>
    <t>financeiro@tensoflex.com.br</t>
  </si>
  <si>
    <t>TERAPLUS SERVICOS EM INFORMATICA LTDA</t>
  </si>
  <si>
    <t>37.513.543/0001-12</t>
  </si>
  <si>
    <t>CAROL@TERABYTE.COM.BR</t>
  </si>
  <si>
    <t>(11) 5044-7887</t>
  </si>
  <si>
    <t>04617-007</t>
  </si>
  <si>
    <t>VIEIRA DE MORAIS</t>
  </si>
  <si>
    <t>CONJ  603  604 E 605</t>
  </si>
  <si>
    <t>THIAGO E FERNANDA</t>
  </si>
  <si>
    <t>tzboli@gmail.com</t>
  </si>
  <si>
    <t>Thiago e Fernanda</t>
  </si>
  <si>
    <t>TIAGO FARIAS KORCH</t>
  </si>
  <si>
    <t>TIAGO KORCH</t>
  </si>
  <si>
    <t>VANESSA  E ADO</t>
  </si>
  <si>
    <t>VASO &amp; COR INDUSTRIA E COMERCIO DE VASOS LTDA</t>
  </si>
  <si>
    <t>11.815.477/0001-41</t>
  </si>
  <si>
    <t>(48) 3469-0683</t>
  </si>
  <si>
    <t>88862-000</t>
  </si>
  <si>
    <t>Treviso</t>
  </si>
  <si>
    <t>GERAL</t>
  </si>
  <si>
    <t>RIO MOROZINI</t>
  </si>
  <si>
    <t>INTERIOR TREVISO          LOCAL. RIO MOROZINI</t>
  </si>
  <si>
    <t>ERIC</t>
  </si>
  <si>
    <t>VICTOR H. ESTEVES PENAZZO &amp; CIA LTDA</t>
  </si>
  <si>
    <t>18.379.385/0001-05</t>
  </si>
  <si>
    <t>avelarcontabil@uol.com.br</t>
  </si>
  <si>
    <t>(19) 3672-3690</t>
  </si>
  <si>
    <t>13650-000</t>
  </si>
  <si>
    <t>Santa Cruz das Palmeiras</t>
  </si>
  <si>
    <t>DONA QUITA</t>
  </si>
  <si>
    <t>SALA  T</t>
  </si>
  <si>
    <t>609.234.803-90</t>
  </si>
  <si>
    <t>WENTZ INDUSTRIA, COMERCIO &amp; DESIGN LTDA</t>
  </si>
  <si>
    <t>26.180.529/0002-09</t>
  </si>
  <si>
    <t>ATENDIMENTO@VNCONTABIL.COM.BR</t>
  </si>
  <si>
    <t>(11) 2385-2575</t>
  </si>
  <si>
    <t>01409-003</t>
  </si>
  <si>
    <t>PEIXOTO GOMIDE</t>
  </si>
  <si>
    <t>JARDIM PAULISTA</t>
  </si>
  <si>
    <t>Fernanda Pimentel</t>
  </si>
  <si>
    <t>fernanda@wentz.design</t>
  </si>
  <si>
    <t>ZEEA ( Julia Vieira Machado  Móveis)</t>
  </si>
  <si>
    <t>JULIA VIEIRA MACHADO MOVEIS</t>
  </si>
  <si>
    <t>39.586.589/0001-97</t>
  </si>
  <si>
    <t>GILSON@CRIVITTA.COM.BR</t>
  </si>
  <si>
    <t>(48) 9679-0231</t>
  </si>
  <si>
    <t>18086-602</t>
  </si>
  <si>
    <t>Sorocaba</t>
  </si>
  <si>
    <t>IPORANGA</t>
  </si>
  <si>
    <t>EDEN</t>
  </si>
  <si>
    <t>Recorrência: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</si>
</sst>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12" x14ac:knownFonts="1">
    <font>
      <sz val="11"/>
      <color indexed="8"/>
      <name val="Aptos Narrow"/>
      <family val="2"/>
      <scheme val="minor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color indexed="17"/>
      <name val="Montserrat"/>
    </font>
    <font>
      <sz val="10"/>
      <color indexed="10"/>
      <name val="Montserrat"/>
    </font>
    <font>
      <sz val="10"/>
      <color indexed="8"/>
      <name val="Montserrat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indexed="8"/>
      <name val="Helvetica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14" fontId="7" fillId="0" borderId="0" xfId="0" applyNumberFormat="1" applyFont="1"/>
    <xf numFmtId="0" fontId="10" fillId="0" borderId="0" xfId="1"/>
    <xf numFmtId="3" fontId="7" fillId="0" borderId="0" xfId="0" applyNumberFormat="1" applyFont="1"/>
    <xf numFmtId="0" fontId="8" fillId="0" borderId="0" xfId="0" applyFont="1"/>
    <xf numFmtId="0" fontId="9" fillId="0" borderId="0" xfId="0" applyFont="1"/>
    <xf numFmtId="0" fontId="7" fillId="0" borderId="0" xfId="0" applyFont="1"/>
    <xf numFmtId="14" fontId="7" fillId="0" borderId="0" xfId="0" applyNumberFormat="1" applyFont="1"/>
    <xf numFmtId="0" fontId="10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abela Silva" id="{AA244A65-3B50-8147-B2CC-64D3F147D63C}" userId="12c87dc2676a41e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4-03-13T14:33:30.03" personId="{AA244A65-3B50-8147-B2CC-64D3F147D63C}" id="{EB138178-87C2-4B47-AAF9-32DD234EE3AC}">
    <text xml:space="preserve">Realizado
</text>
  </threadedComment>
  <threadedComment ref="S1" dT="2024-03-13T14:34:06.61" personId="{AA244A65-3B50-8147-B2CC-64D3F147D63C}" id="{B4037BE6-B9A3-F143-B940-2A0F8D9061E5}">
    <text xml:space="preserve">Emissão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NA@BYKAMY.COM" TargetMode="External"/><Relationship Id="rId21" Type="http://schemas.openxmlformats.org/officeDocument/2006/relationships/hyperlink" Target="mailto:silvana.pimentel@brentwood.com.br" TargetMode="External"/><Relationship Id="rId42" Type="http://schemas.openxmlformats.org/officeDocument/2006/relationships/hyperlink" Target="mailto:ufk.cristiane@gmail.com" TargetMode="External"/><Relationship Id="rId63" Type="http://schemas.openxmlformats.org/officeDocument/2006/relationships/hyperlink" Target="mailto:contato@espacoreformar.com.br" TargetMode="External"/><Relationship Id="rId84" Type="http://schemas.openxmlformats.org/officeDocument/2006/relationships/hyperlink" Target="mailto:gerencia@incasasp.com.br" TargetMode="External"/><Relationship Id="rId138" Type="http://schemas.openxmlformats.org/officeDocument/2006/relationships/hyperlink" Target="mailto:venda@lojaobrafacil.com.br" TargetMode="External"/><Relationship Id="rId159" Type="http://schemas.openxmlformats.org/officeDocument/2006/relationships/hyperlink" Target="mailto:pedroso@quakertextil.com.br" TargetMode="External"/><Relationship Id="rId170" Type="http://schemas.openxmlformats.org/officeDocument/2006/relationships/hyperlink" Target="mailto:RACALUEL@TERRA.COM.BR" TargetMode="External"/><Relationship Id="rId107" Type="http://schemas.openxmlformats.org/officeDocument/2006/relationships/hyperlink" Target="mailto:contato@lilianpimenta.com.br" TargetMode="External"/><Relationship Id="rId11" Type="http://schemas.openxmlformats.org/officeDocument/2006/relationships/hyperlink" Target="mailto:racaluel@terra.com.br" TargetMode="External"/><Relationship Id="rId32" Type="http://schemas.openxmlformats.org/officeDocument/2006/relationships/hyperlink" Target="mailto:FINANCEIRO@CODEXHOME.COM.BR" TargetMode="External"/><Relationship Id="rId53" Type="http://schemas.openxmlformats.org/officeDocument/2006/relationships/hyperlink" Target="mailto:contasapagar@dpot.com.br" TargetMode="External"/><Relationship Id="rId74" Type="http://schemas.openxmlformats.org/officeDocument/2006/relationships/hyperlink" Target="mailto:HELENICERMS@HOTMAIL.COM" TargetMode="External"/><Relationship Id="rId128" Type="http://schemas.openxmlformats.org/officeDocument/2006/relationships/hyperlink" Target="mailto:isabel@sobloco.com.br" TargetMode="External"/><Relationship Id="rId149" Type="http://schemas.openxmlformats.org/officeDocument/2006/relationships/hyperlink" Target="mailto:ded@pormade.com.br" TargetMode="External"/><Relationship Id="rId5" Type="http://schemas.openxmlformats.org/officeDocument/2006/relationships/hyperlink" Target="mailto:afkoch@globo.com" TargetMode="External"/><Relationship Id="rId95" Type="http://schemas.openxmlformats.org/officeDocument/2006/relationships/hyperlink" Target="mailto:jorge@jsengenharia.com.br" TargetMode="External"/><Relationship Id="rId160" Type="http://schemas.openxmlformats.org/officeDocument/2006/relationships/hyperlink" Target="mailto:fabianogonzaga@quakertextil.com.br" TargetMode="External"/><Relationship Id="rId181" Type="http://schemas.openxmlformats.org/officeDocument/2006/relationships/hyperlink" Target="mailto:ATENDIMENTO@VNCONTABIL.COM.BR" TargetMode="External"/><Relationship Id="rId22" Type="http://schemas.openxmlformats.org/officeDocument/2006/relationships/hyperlink" Target="mailto:amanda.caroline@breton.com.br" TargetMode="External"/><Relationship Id="rId43" Type="http://schemas.openxmlformats.org/officeDocument/2006/relationships/hyperlink" Target="mailto:william.guidini@gmail.com" TargetMode="External"/><Relationship Id="rId64" Type="http://schemas.openxmlformats.org/officeDocument/2006/relationships/hyperlink" Target="mailto:contato@espacoreformar.com.br" TargetMode="External"/><Relationship Id="rId118" Type="http://schemas.openxmlformats.org/officeDocument/2006/relationships/hyperlink" Target="mailto:noemia@bykamy.com.br" TargetMode="External"/><Relationship Id="rId139" Type="http://schemas.openxmlformats.org/officeDocument/2006/relationships/hyperlink" Target="mailto:pagliotto@pedrasabao.com.br" TargetMode="External"/><Relationship Id="rId85" Type="http://schemas.openxmlformats.org/officeDocument/2006/relationships/hyperlink" Target="mailto:vendas@incasasp.com.br" TargetMode="External"/><Relationship Id="rId150" Type="http://schemas.openxmlformats.org/officeDocument/2006/relationships/hyperlink" Target="mailto:sr5.4@pormade.com.br" TargetMode="External"/><Relationship Id="rId171" Type="http://schemas.openxmlformats.org/officeDocument/2006/relationships/hyperlink" Target="mailto:edvaldo@poloar.com.br" TargetMode="External"/><Relationship Id="rId12" Type="http://schemas.openxmlformats.org/officeDocument/2006/relationships/hyperlink" Target="mailto:raphaela@artachos.com.br" TargetMode="External"/><Relationship Id="rId33" Type="http://schemas.openxmlformats.org/officeDocument/2006/relationships/hyperlink" Target="mailto:assistente@codexhome.com.br" TargetMode="External"/><Relationship Id="rId108" Type="http://schemas.openxmlformats.org/officeDocument/2006/relationships/hyperlink" Target="mailto:lcafici@gmail.com" TargetMode="External"/><Relationship Id="rId129" Type="http://schemas.openxmlformats.org/officeDocument/2006/relationships/hyperlink" Target="mailto:MILENAWM1@GMAIL.COM" TargetMode="External"/><Relationship Id="rId54" Type="http://schemas.openxmlformats.org/officeDocument/2006/relationships/hyperlink" Target="mailto:contasapagar@dpot.com.br" TargetMode="External"/><Relationship Id="rId75" Type="http://schemas.openxmlformats.org/officeDocument/2006/relationships/hyperlink" Target="mailto:contabilmello@yahoo.com.br" TargetMode="External"/><Relationship Id="rId96" Type="http://schemas.openxmlformats.org/officeDocument/2006/relationships/hyperlink" Target="mailto:jucovino@gmail.com" TargetMode="External"/><Relationship Id="rId140" Type="http://schemas.openxmlformats.org/officeDocument/2006/relationships/hyperlink" Target="http://www.pedrasabao.com.br/" TargetMode="External"/><Relationship Id="rId161" Type="http://schemas.openxmlformats.org/officeDocument/2006/relationships/hyperlink" Target="mailto:pedroso@quakertextil.com.br" TargetMode="External"/><Relationship Id="rId182" Type="http://schemas.openxmlformats.org/officeDocument/2006/relationships/hyperlink" Target="mailto:fernanda@wentz.design" TargetMode="External"/><Relationship Id="rId6" Type="http://schemas.openxmlformats.org/officeDocument/2006/relationships/hyperlink" Target="mailto:FINANCEIRO@EASB.COM.BR" TargetMode="External"/><Relationship Id="rId23" Type="http://schemas.openxmlformats.org/officeDocument/2006/relationships/hyperlink" Target="mailto:financeiro@breton.com.br" TargetMode="External"/><Relationship Id="rId119" Type="http://schemas.openxmlformats.org/officeDocument/2006/relationships/hyperlink" Target="mailto:FINANCEIRO@MAISONTECIDOS.COM.BR" TargetMode="External"/><Relationship Id="rId44" Type="http://schemas.openxmlformats.org/officeDocument/2006/relationships/hyperlink" Target="mailto:danicalitott@gmail.com" TargetMode="External"/><Relationship Id="rId60" Type="http://schemas.openxmlformats.org/officeDocument/2006/relationships/hyperlink" Target="mailto:CONTATO@BERALDIN.COM.BR" TargetMode="External"/><Relationship Id="rId65" Type="http://schemas.openxmlformats.org/officeDocument/2006/relationships/hyperlink" Target="mailto:raquel@estarmoveis.com.br" TargetMode="External"/><Relationship Id="rId81" Type="http://schemas.openxmlformats.org/officeDocument/2006/relationships/hyperlink" Target="mailto:GRANIDOMUS@GRANIDOMUS.COM.BR" TargetMode="External"/><Relationship Id="rId86" Type="http://schemas.openxmlformats.org/officeDocument/2006/relationships/hyperlink" Target="mailto:CINTIA@INDUSPARQUETADM.COM.BR" TargetMode="External"/><Relationship Id="rId130" Type="http://schemas.openxmlformats.org/officeDocument/2006/relationships/hyperlink" Target="mailto:vera@montblancmarmores.com.br" TargetMode="External"/><Relationship Id="rId135" Type="http://schemas.openxmlformats.org/officeDocument/2006/relationships/hyperlink" Target="mailto:sidineia@muma.com.br" TargetMode="External"/><Relationship Id="rId151" Type="http://schemas.openxmlformats.org/officeDocument/2006/relationships/hyperlink" Target="mailto:priscila.ribeiro@portobelloshop.com.br" TargetMode="External"/><Relationship Id="rId156" Type="http://schemas.openxmlformats.org/officeDocument/2006/relationships/hyperlink" Target="mailto:marcenaria.promoveis@gmail.com" TargetMode="External"/><Relationship Id="rId177" Type="http://schemas.openxmlformats.org/officeDocument/2006/relationships/hyperlink" Target="mailto:CAROL@TERABYTE.COM.BR" TargetMode="External"/><Relationship Id="rId172" Type="http://schemas.openxmlformats.org/officeDocument/2006/relationships/hyperlink" Target="mailto:damascena.deise@grupostr.com.br" TargetMode="External"/><Relationship Id="rId13" Type="http://schemas.openxmlformats.org/officeDocument/2006/relationships/hyperlink" Target="mailto:PERCONTABIL@UOL.COM.BR" TargetMode="External"/><Relationship Id="rId18" Type="http://schemas.openxmlformats.org/officeDocument/2006/relationships/hyperlink" Target="https://www.geradordecpf.org/" TargetMode="External"/><Relationship Id="rId39" Type="http://schemas.openxmlformats.org/officeDocument/2006/relationships/hyperlink" Target="mailto:financeiro@cristianabertolucci.com.br" TargetMode="External"/><Relationship Id="rId109" Type="http://schemas.openxmlformats.org/officeDocument/2006/relationships/hyperlink" Target="mailto:lcafici@gmail.com" TargetMode="External"/><Relationship Id="rId34" Type="http://schemas.openxmlformats.org/officeDocument/2006/relationships/hyperlink" Target="mailto:cleber.simoes@colormix.net.br" TargetMode="External"/><Relationship Id="rId50" Type="http://schemas.openxmlformats.org/officeDocument/2006/relationships/hyperlink" Target="mailto:CONTATO@DIVETROKLABIN.COM.BR" TargetMode="External"/><Relationship Id="rId55" Type="http://schemas.openxmlformats.org/officeDocument/2006/relationships/hyperlink" Target="mailto:cometa@contabilidadecometa.com.br" TargetMode="External"/><Relationship Id="rId76" Type="http://schemas.openxmlformats.org/officeDocument/2006/relationships/hyperlink" Target="mailto:financeiro@gapaz.com.br" TargetMode="External"/><Relationship Id="rId97" Type="http://schemas.openxmlformats.org/officeDocument/2006/relationships/hyperlink" Target="mailto:recoralli@hotmail.com" TargetMode="External"/><Relationship Id="rId104" Type="http://schemas.openxmlformats.org/officeDocument/2006/relationships/hyperlink" Target="mailto:jesse@labluz.com.br" TargetMode="External"/><Relationship Id="rId120" Type="http://schemas.openxmlformats.org/officeDocument/2006/relationships/hyperlink" Target="mailto:financeiro@maisontecidos.com.br" TargetMode="External"/><Relationship Id="rId125" Type="http://schemas.openxmlformats.org/officeDocument/2006/relationships/hyperlink" Target="mailto:ESCRITORIOCENTRAL@CONTABILIDADE-ECC.COM.BR" TargetMode="External"/><Relationship Id="rId141" Type="http://schemas.openxmlformats.org/officeDocument/2006/relationships/hyperlink" Target="mailto:PAGLIOTTO@PEDRASDESABAO.COM.BR" TargetMode="External"/><Relationship Id="rId146" Type="http://schemas.openxmlformats.org/officeDocument/2006/relationships/hyperlink" Target="mailto:CAMILADOSSE@YAHOO.COM.BR" TargetMode="External"/><Relationship Id="rId167" Type="http://schemas.openxmlformats.org/officeDocument/2006/relationships/hyperlink" Target="mailto:mariana@soleart.com.br" TargetMode="External"/><Relationship Id="rId7" Type="http://schemas.openxmlformats.org/officeDocument/2006/relationships/hyperlink" Target="mailto:FINANCEIRO@ALLFORMG.COM.BR" TargetMode="External"/><Relationship Id="rId71" Type="http://schemas.openxmlformats.org/officeDocument/2006/relationships/hyperlink" Target="mailto:CAROLINA.FIGUEIRA@FABLAW.COM.BR" TargetMode="External"/><Relationship Id="rId92" Type="http://schemas.openxmlformats.org/officeDocument/2006/relationships/hyperlink" Target="mailto:edujr7307@gmail.com" TargetMode="External"/><Relationship Id="rId162" Type="http://schemas.openxmlformats.org/officeDocument/2006/relationships/hyperlink" Target="mailto:CONTABIL@QUARTOSETC.COM.BR" TargetMode="External"/><Relationship Id="rId183" Type="http://schemas.openxmlformats.org/officeDocument/2006/relationships/hyperlink" Target="mailto:GILSON@CRIVITTA.COM.BR" TargetMode="External"/><Relationship Id="rId2" Type="http://schemas.openxmlformats.org/officeDocument/2006/relationships/hyperlink" Target="mailto:luisa@alamandahome.com.br" TargetMode="External"/><Relationship Id="rId29" Type="http://schemas.openxmlformats.org/officeDocument/2006/relationships/hyperlink" Target="mailto:capires@kmpg.com.br" TargetMode="External"/><Relationship Id="rId24" Type="http://schemas.openxmlformats.org/officeDocument/2006/relationships/hyperlink" Target="mailto:CONTATO@OMEGAC.COM.BR" TargetMode="External"/><Relationship Id="rId40" Type="http://schemas.openxmlformats.org/officeDocument/2006/relationships/hyperlink" Target="mailto:HELENA.BARBATO@ABGALHA.COM.BR" TargetMode="External"/><Relationship Id="rId45" Type="http://schemas.openxmlformats.org/officeDocument/2006/relationships/hyperlink" Target="mailto:CARLA@CONSENSOCONTABIL.COM.BR" TargetMode="External"/><Relationship Id="rId66" Type="http://schemas.openxmlformats.org/officeDocument/2006/relationships/hyperlink" Target="mailto:contasareceber@estarmoveis.com.br" TargetMode="External"/><Relationship Id="rId87" Type="http://schemas.openxmlformats.org/officeDocument/2006/relationships/hyperlink" Target="mailto:sergiane@indusparquetsp.com.br" TargetMode="External"/><Relationship Id="rId110" Type="http://schemas.openxmlformats.org/officeDocument/2006/relationships/hyperlink" Target="mailto:luciene@cblreciclagem.com.br" TargetMode="External"/><Relationship Id="rId115" Type="http://schemas.openxmlformats.org/officeDocument/2006/relationships/hyperlink" Target="mailto:OSMAIR.BERNARDINO@LUSTRECO.COM.BR" TargetMode="External"/><Relationship Id="rId131" Type="http://schemas.openxmlformats.org/officeDocument/2006/relationships/hyperlink" Target="mailto:CRISTIANELOPES@BONOMI.COM.BR" TargetMode="External"/><Relationship Id="rId136" Type="http://schemas.openxmlformats.org/officeDocument/2006/relationships/hyperlink" Target="http://www.obrafacilmais.com.br/" TargetMode="External"/><Relationship Id="rId157" Type="http://schemas.openxmlformats.org/officeDocument/2006/relationships/hyperlink" Target="mailto:CRISTIANELOPES@BONOMI.COM.BR" TargetMode="External"/><Relationship Id="rId178" Type="http://schemas.openxmlformats.org/officeDocument/2006/relationships/hyperlink" Target="mailto:tzboli@gmail.com" TargetMode="External"/><Relationship Id="rId61" Type="http://schemas.openxmlformats.org/officeDocument/2006/relationships/hyperlink" Target="mailto:BARTOLOMEUGENU@IG.COM.BR" TargetMode="External"/><Relationship Id="rId82" Type="http://schemas.openxmlformats.org/officeDocument/2006/relationships/hyperlink" Target="mailto:CONTEMPORANEALEGAL@GMAIL.COM" TargetMode="External"/><Relationship Id="rId152" Type="http://schemas.openxmlformats.org/officeDocument/2006/relationships/hyperlink" Target="mailto:alex.linhares@portobelloshop.com.br" TargetMode="External"/><Relationship Id="rId173" Type="http://schemas.openxmlformats.org/officeDocument/2006/relationships/hyperlink" Target="mailto:helio@garutti.com.br" TargetMode="External"/><Relationship Id="rId19" Type="http://schemas.openxmlformats.org/officeDocument/2006/relationships/hyperlink" Target="mailto:audrey.rocha@gabriel.bontempo.com.br" TargetMode="External"/><Relationship Id="rId14" Type="http://schemas.openxmlformats.org/officeDocument/2006/relationships/hyperlink" Target="mailto:ALINEF@ARASSESSORIA.SRV.BR" TargetMode="External"/><Relationship Id="rId30" Type="http://schemas.openxmlformats.org/officeDocument/2006/relationships/hyperlink" Target="mailto:LIGIA@CELINADIAS.COM.BR" TargetMode="External"/><Relationship Id="rId35" Type="http://schemas.openxmlformats.org/officeDocument/2006/relationships/hyperlink" Target="mailto:gabriel@colormixstore.com.br" TargetMode="External"/><Relationship Id="rId56" Type="http://schemas.openxmlformats.org/officeDocument/2006/relationships/hyperlink" Target="mailto:advenger@advenger.com.br" TargetMode="External"/><Relationship Id="rId77" Type="http://schemas.openxmlformats.org/officeDocument/2006/relationships/hyperlink" Target="mailto:contabilmello@yahoo.com.br" TargetMode="External"/><Relationship Id="rId100" Type="http://schemas.openxmlformats.org/officeDocument/2006/relationships/hyperlink" Target="mailto:kcunha195@gmail.com" TargetMode="External"/><Relationship Id="rId105" Type="http://schemas.openxmlformats.org/officeDocument/2006/relationships/hyperlink" Target="mailto:ENILDA@LIDERINTERIORES.COM.BR" TargetMode="External"/><Relationship Id="rId126" Type="http://schemas.openxmlformats.org/officeDocument/2006/relationships/hyperlink" Target="mailto:unicont@terra.com.br" TargetMode="External"/><Relationship Id="rId147" Type="http://schemas.openxmlformats.org/officeDocument/2006/relationships/hyperlink" Target="mailto:GISLENE@PEDRASMUNDIAL.COM.BR" TargetMode="External"/><Relationship Id="rId168" Type="http://schemas.openxmlformats.org/officeDocument/2006/relationships/hyperlink" Target="mailto:mariana@soleart.com.br" TargetMode="External"/><Relationship Id="rId8" Type="http://schemas.openxmlformats.org/officeDocument/2006/relationships/hyperlink" Target="mailto:LUIS@COLUMBIACONSULTORIA.COM.BR" TargetMode="External"/><Relationship Id="rId51" Type="http://schemas.openxmlformats.org/officeDocument/2006/relationships/hyperlink" Target="mailto:REPARTICOES@CONTABILIDADEHIRATA.COM.BR" TargetMode="External"/><Relationship Id="rId72" Type="http://schemas.openxmlformats.org/officeDocument/2006/relationships/hyperlink" Target="mailto:HELENICERMS@HOTMAIL.COM" TargetMode="External"/><Relationship Id="rId93" Type="http://schemas.openxmlformats.org/officeDocument/2006/relationships/hyperlink" Target="mailto:SUELI@JRJ.COM.BR" TargetMode="External"/><Relationship Id="rId98" Type="http://schemas.openxmlformats.org/officeDocument/2006/relationships/hyperlink" Target="mailto:jucovino@gmail.com" TargetMode="External"/><Relationship Id="rId121" Type="http://schemas.openxmlformats.org/officeDocument/2006/relationships/hyperlink" Target="mailto:victor.financeiro@maisrevestimentos.com.br" TargetMode="External"/><Relationship Id="rId142" Type="http://schemas.openxmlformats.org/officeDocument/2006/relationships/hyperlink" Target="mailto:pagliotto@pedrasabao.com.br" TargetMode="External"/><Relationship Id="rId163" Type="http://schemas.openxmlformats.org/officeDocument/2006/relationships/hyperlink" Target="mailto:comercial2@quartosetc.com.br" TargetMode="External"/><Relationship Id="rId3" Type="http://schemas.openxmlformats.org/officeDocument/2006/relationships/hyperlink" Target="mailto:luisa@alamanda.com.br" TargetMode="External"/><Relationship Id="rId25" Type="http://schemas.openxmlformats.org/officeDocument/2006/relationships/hyperlink" Target="mailto:financeiro2@casamansur.com.br" TargetMode="External"/><Relationship Id="rId46" Type="http://schemas.openxmlformats.org/officeDocument/2006/relationships/hyperlink" Target="mailto:financeiro@decorlight.com.br" TargetMode="External"/><Relationship Id="rId67" Type="http://schemas.openxmlformats.org/officeDocument/2006/relationships/hyperlink" Target="mailto:ESCPOLIVALENTE@ESCPOLIVALENTE.COM.BR" TargetMode="External"/><Relationship Id="rId116" Type="http://schemas.openxmlformats.org/officeDocument/2006/relationships/hyperlink" Target="mailto:FISCAL@MADE55.COM" TargetMode="External"/><Relationship Id="rId137" Type="http://schemas.openxmlformats.org/officeDocument/2006/relationships/hyperlink" Target="mailto:bruno@lojaobrafacil.com.br" TargetMode="External"/><Relationship Id="rId158" Type="http://schemas.openxmlformats.org/officeDocument/2006/relationships/hyperlink" Target="mailto:flavio@ftrlegal.com.br" TargetMode="External"/><Relationship Id="rId20" Type="http://schemas.openxmlformats.org/officeDocument/2006/relationships/hyperlink" Target="mailto:maria.silva@brentwood.com.br" TargetMode="External"/><Relationship Id="rId41" Type="http://schemas.openxmlformats.org/officeDocument/2006/relationships/hyperlink" Target="mailto:ufk.cristiane@gmail.com" TargetMode="External"/><Relationship Id="rId62" Type="http://schemas.openxmlformats.org/officeDocument/2006/relationships/hyperlink" Target="mailto:ADMINISTRATIVOSP@ORLEAN.COM" TargetMode="External"/><Relationship Id="rId83" Type="http://schemas.openxmlformats.org/officeDocument/2006/relationships/hyperlink" Target="mailto:ADMINISTRATIVO@GALERIAHATHI.COM" TargetMode="External"/><Relationship Id="rId88" Type="http://schemas.openxmlformats.org/officeDocument/2006/relationships/hyperlink" Target="mailto:roberto@invaluminio.com.br" TargetMode="External"/><Relationship Id="rId111" Type="http://schemas.openxmlformats.org/officeDocument/2006/relationships/hyperlink" Target="mailto:isabel@sobloco.com.br" TargetMode="External"/><Relationship Id="rId132" Type="http://schemas.openxmlformats.org/officeDocument/2006/relationships/hyperlink" Target="mailto:NIDE@MULTLOCK.COM.BR" TargetMode="External"/><Relationship Id="rId153" Type="http://schemas.openxmlformats.org/officeDocument/2006/relationships/hyperlink" Target="mailto:alex.linhares@portobelloshop.com.br" TargetMode="External"/><Relationship Id="rId174" Type="http://schemas.openxmlformats.org/officeDocument/2006/relationships/hyperlink" Target="mailto:gabriela@svetlana.com.br" TargetMode="External"/><Relationship Id="rId179" Type="http://schemas.openxmlformats.org/officeDocument/2006/relationships/hyperlink" Target="mailto:tzboli@gmail.com" TargetMode="External"/><Relationship Id="rId15" Type="http://schemas.openxmlformats.org/officeDocument/2006/relationships/hyperlink" Target="mailto:CONTABILIDADEMORAES@UOL.COM.BR" TargetMode="External"/><Relationship Id="rId36" Type="http://schemas.openxmlformats.org/officeDocument/2006/relationships/hyperlink" Target="mailto:FINANCEIRO@CONCEITOESQUADRIAS.COM.BR" TargetMode="External"/><Relationship Id="rId57" Type="http://schemas.openxmlformats.org/officeDocument/2006/relationships/hyperlink" Target="mailto:financeiro@donew.com.br" TargetMode="External"/><Relationship Id="rId106" Type="http://schemas.openxmlformats.org/officeDocument/2006/relationships/hyperlink" Target="mailto:contato@lilianpimenta.com.br" TargetMode="External"/><Relationship Id="rId127" Type="http://schemas.openxmlformats.org/officeDocument/2006/relationships/hyperlink" Target="mailto:belstrapetti@gmail.com" TargetMode="External"/><Relationship Id="rId10" Type="http://schemas.openxmlformats.org/officeDocument/2006/relationships/hyperlink" Target="mailto:andrea@antarestech.com.br" TargetMode="External"/><Relationship Id="rId31" Type="http://schemas.openxmlformats.org/officeDocument/2006/relationships/hyperlink" Target="mailto:proconsist@terra.com.br" TargetMode="External"/><Relationship Id="rId52" Type="http://schemas.openxmlformats.org/officeDocument/2006/relationships/hyperlink" Target="mailto:contasapagar@dpot.com.br" TargetMode="External"/><Relationship Id="rId73" Type="http://schemas.openxmlformats.org/officeDocument/2006/relationships/hyperlink" Target="mailto:financeiro3@franccino.com.br" TargetMode="External"/><Relationship Id="rId78" Type="http://schemas.openxmlformats.org/officeDocument/2006/relationships/hyperlink" Target="http://gapaz.com.br/" TargetMode="External"/><Relationship Id="rId94" Type="http://schemas.openxmlformats.org/officeDocument/2006/relationships/hyperlink" Target="mailto:financeiro@jrj.com.br" TargetMode="External"/><Relationship Id="rId99" Type="http://schemas.openxmlformats.org/officeDocument/2006/relationships/hyperlink" Target="mailto:tfkoch@gmail.com" TargetMode="External"/><Relationship Id="rId101" Type="http://schemas.openxmlformats.org/officeDocument/2006/relationships/hyperlink" Target="mailto:labluzsp@labluz.com.br" TargetMode="External"/><Relationship Id="rId122" Type="http://schemas.openxmlformats.org/officeDocument/2006/relationships/hyperlink" Target="mailto:SANTOANDRE@MAISREVESTIMENTOS.COM.BR" TargetMode="External"/><Relationship Id="rId143" Type="http://schemas.openxmlformats.org/officeDocument/2006/relationships/hyperlink" Target="mailto:gustavo@parquetsp.com.br" TargetMode="External"/><Relationship Id="rId148" Type="http://schemas.openxmlformats.org/officeDocument/2006/relationships/hyperlink" Target="mailto:renata.machado@pluripiso.com.br" TargetMode="External"/><Relationship Id="rId164" Type="http://schemas.openxmlformats.org/officeDocument/2006/relationships/hyperlink" Target="mailto:FINANCEIRO@RANIERIMARMORES.COM.BR" TargetMode="External"/><Relationship Id="rId169" Type="http://schemas.openxmlformats.org/officeDocument/2006/relationships/hyperlink" Target="mailto:COMERCIAL@SRSKYVIDROS.COM.BR" TargetMode="External"/><Relationship Id="rId4" Type="http://schemas.openxmlformats.org/officeDocument/2006/relationships/hyperlink" Target="mailto:afkoch@globo.com" TargetMode="External"/><Relationship Id="rId9" Type="http://schemas.openxmlformats.org/officeDocument/2006/relationships/hyperlink" Target="mailto:gracielecristina2010@hotmail.com" TargetMode="External"/><Relationship Id="rId180" Type="http://schemas.openxmlformats.org/officeDocument/2006/relationships/hyperlink" Target="mailto:avelarcontabil@uol.com.br" TargetMode="External"/><Relationship Id="rId26" Type="http://schemas.openxmlformats.org/officeDocument/2006/relationships/hyperlink" Target="mailto:ALEX@CASAVITTA.COM" TargetMode="External"/><Relationship Id="rId47" Type="http://schemas.openxmlformats.org/officeDocument/2006/relationships/hyperlink" Target="mailto:RODRIGO.THOMAZ@DESINGSUPPLIER.COM.BR" TargetMode="External"/><Relationship Id="rId68" Type="http://schemas.openxmlformats.org/officeDocument/2006/relationships/hyperlink" Target="mailto:isabel@sobloco.com.br" TargetMode="External"/><Relationship Id="rId89" Type="http://schemas.openxmlformats.org/officeDocument/2006/relationships/hyperlink" Target="mailto:junior@invaluminio.com.br" TargetMode="External"/><Relationship Id="rId112" Type="http://schemas.openxmlformats.org/officeDocument/2006/relationships/hyperlink" Target="mailto:lf@sobloco.com.br" TargetMode="External"/><Relationship Id="rId133" Type="http://schemas.openxmlformats.org/officeDocument/2006/relationships/hyperlink" Target="mailto:luciana@multlock.com.br" TargetMode="External"/><Relationship Id="rId154" Type="http://schemas.openxmlformats.org/officeDocument/2006/relationships/hyperlink" Target="mailto:JOAO@POSITANODESIGN.COM.BR" TargetMode="External"/><Relationship Id="rId175" Type="http://schemas.openxmlformats.org/officeDocument/2006/relationships/hyperlink" Target="mailto:NFE@TENSOFLEX.COM.BR" TargetMode="External"/><Relationship Id="rId16" Type="http://schemas.openxmlformats.org/officeDocument/2006/relationships/hyperlink" Target="mailto:valeria@belcolore.com.br" TargetMode="External"/><Relationship Id="rId37" Type="http://schemas.openxmlformats.org/officeDocument/2006/relationships/hyperlink" Target="mailto:CONTROLADORIA@CONTAAZUL.COM" TargetMode="External"/><Relationship Id="rId58" Type="http://schemas.openxmlformats.org/officeDocument/2006/relationships/hyperlink" Target="mailto:financeiro@donew.com.br" TargetMode="External"/><Relationship Id="rId79" Type="http://schemas.openxmlformats.org/officeDocument/2006/relationships/hyperlink" Target="mailto:eugeniosilvasantos35@gmail.com" TargetMode="External"/><Relationship Id="rId102" Type="http://schemas.openxmlformats.org/officeDocument/2006/relationships/hyperlink" Target="http://www.labluz.com.br/" TargetMode="External"/><Relationship Id="rId123" Type="http://schemas.openxmlformats.org/officeDocument/2006/relationships/hyperlink" Target="mailto:marcello@bertoni.com.br" TargetMode="External"/><Relationship Id="rId144" Type="http://schemas.openxmlformats.org/officeDocument/2006/relationships/hyperlink" Target="mailto:vendas4@parquetsp.com.br" TargetMode="External"/><Relationship Id="rId90" Type="http://schemas.openxmlformats.org/officeDocument/2006/relationships/hyperlink" Target="mailto:CONTABIL@JADERALMEIDA.COM" TargetMode="External"/><Relationship Id="rId165" Type="http://schemas.openxmlformats.org/officeDocument/2006/relationships/hyperlink" Target="mailto:ARNALDO@CONTABILIPIRANGA.COM.BR" TargetMode="External"/><Relationship Id="rId27" Type="http://schemas.openxmlformats.org/officeDocument/2006/relationships/hyperlink" Target="mailto:contato@casavitta.com" TargetMode="External"/><Relationship Id="rId48" Type="http://schemas.openxmlformats.org/officeDocument/2006/relationships/hyperlink" Target="mailto:SOCIETARIO@CONTABILMOYSES.COM.BR" TargetMode="External"/><Relationship Id="rId69" Type="http://schemas.openxmlformats.org/officeDocument/2006/relationships/hyperlink" Target="mailto:faustoboldrini@gmail.com" TargetMode="External"/><Relationship Id="rId113" Type="http://schemas.openxmlformats.org/officeDocument/2006/relationships/hyperlink" Target="mailto:fiscal@lumini.com.br" TargetMode="External"/><Relationship Id="rId134" Type="http://schemas.openxmlformats.org/officeDocument/2006/relationships/hyperlink" Target="mailto:FINANCEIRO@MUMA.COM.BR" TargetMode="External"/><Relationship Id="rId80" Type="http://schemas.openxmlformats.org/officeDocument/2006/relationships/hyperlink" Target="mailto:eugeniosilvasantos35@gmail.com" TargetMode="External"/><Relationship Id="rId155" Type="http://schemas.openxmlformats.org/officeDocument/2006/relationships/hyperlink" Target="mailto:marcenaria.promoveis@gmail.com" TargetMode="External"/><Relationship Id="rId176" Type="http://schemas.openxmlformats.org/officeDocument/2006/relationships/hyperlink" Target="mailto:financeiro@tensoflex.com.br" TargetMode="External"/><Relationship Id="rId17" Type="http://schemas.openxmlformats.org/officeDocument/2006/relationships/hyperlink" Target="mailto:beto@colegiobrasilcanada.com.br" TargetMode="External"/><Relationship Id="rId38" Type="http://schemas.openxmlformats.org/officeDocument/2006/relationships/hyperlink" Target="mailto:faturamento@contaazul.com" TargetMode="External"/><Relationship Id="rId59" Type="http://schemas.openxmlformats.org/officeDocument/2006/relationships/hyperlink" Target="mailto:saile.saile@uol.com.br" TargetMode="External"/><Relationship Id="rId103" Type="http://schemas.openxmlformats.org/officeDocument/2006/relationships/hyperlink" Target="mailto:labluzsp@labluz.com.br" TargetMode="External"/><Relationship Id="rId124" Type="http://schemas.openxmlformats.org/officeDocument/2006/relationships/hyperlink" Target="mailto:marcello@bertoni.com.br" TargetMode="External"/><Relationship Id="rId70" Type="http://schemas.openxmlformats.org/officeDocument/2006/relationships/hyperlink" Target="mailto:faustoboldrini@gmail.com" TargetMode="External"/><Relationship Id="rId91" Type="http://schemas.openxmlformats.org/officeDocument/2006/relationships/hyperlink" Target="mailto:edujr7307@gmail.com" TargetMode="External"/><Relationship Id="rId145" Type="http://schemas.openxmlformats.org/officeDocument/2006/relationships/hyperlink" Target="mailto:patchouly@patchouly.com.br" TargetMode="External"/><Relationship Id="rId166" Type="http://schemas.openxmlformats.org/officeDocument/2006/relationships/hyperlink" Target="mailto:COIFASEPROJETOSOFICIAL@GMAIL.COM" TargetMode="External"/><Relationship Id="rId1" Type="http://schemas.openxmlformats.org/officeDocument/2006/relationships/hyperlink" Target="mailto:VITOR.BATISTA@AGILLIZE.COM" TargetMode="External"/><Relationship Id="rId28" Type="http://schemas.openxmlformats.org/officeDocument/2006/relationships/hyperlink" Target="mailto:capires@kmpg.com.br" TargetMode="External"/><Relationship Id="rId49" Type="http://schemas.openxmlformats.org/officeDocument/2006/relationships/hyperlink" Target="mailto:cpd@dimlux.com.br" TargetMode="External"/><Relationship Id="rId114" Type="http://schemas.openxmlformats.org/officeDocument/2006/relationships/hyperlink" Target="mailto:maryanne@lumin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7"/>
  <sheetViews>
    <sheetView tabSelected="1" topLeftCell="P1" workbookViewId="0">
      <selection activeCell="J7" sqref="J7:M7"/>
    </sheetView>
  </sheetViews>
  <sheetFormatPr baseColWidth="10" defaultColWidth="8.83203125" defaultRowHeight="15" zeroHeight="1" x14ac:dyDescent="0.2"/>
  <cols>
    <col min="2" max="2" width="12.6640625" customWidth="1"/>
    <col min="3" max="3" width="55.5" bestFit="1" customWidth="1"/>
    <col min="4" max="4" width="89.5" bestFit="1" customWidth="1"/>
    <col min="5" max="5" width="13.83203125" bestFit="1" customWidth="1"/>
    <col min="6" max="6" width="18.33203125" hidden="1" customWidth="1"/>
    <col min="7" max="7" width="16.6640625" hidden="1" customWidth="1"/>
    <col min="8" max="8" width="100.6640625" bestFit="1" customWidth="1"/>
    <col min="9" max="9" width="22.5" bestFit="1" customWidth="1"/>
    <col min="10" max="10" width="11.6640625" bestFit="1" customWidth="1"/>
    <col min="11" max="11" width="17.33203125" bestFit="1" customWidth="1"/>
    <col min="12" max="12" width="19.5" bestFit="1" customWidth="1"/>
    <col min="13" max="13" width="18.83203125" bestFit="1" customWidth="1"/>
    <col min="14" max="14" width="15.33203125" bestFit="1" customWidth="1"/>
    <col min="15" max="15" width="18" bestFit="1" customWidth="1"/>
    <col min="16" max="16" width="22.33203125" bestFit="1" customWidth="1"/>
    <col min="17" max="17" width="28.33203125" bestFit="1" customWidth="1"/>
    <col min="18" max="18" width="28.33203125" customWidth="1"/>
    <col min="19" max="19" width="14.83203125" bestFit="1" customWidth="1"/>
    <col min="20" max="20" width="52.5" customWidth="1"/>
    <col min="21" max="21" width="39.1640625" bestFit="1" customWidth="1"/>
    <col min="22" max="22" width="20.6640625" bestFit="1" customWidth="1"/>
    <col min="23" max="23" width="33.33203125" bestFit="1" customWidth="1"/>
    <col min="24" max="24" width="26.33203125" bestFit="1" customWidth="1"/>
  </cols>
  <sheetData>
    <row r="1" spans="1:24" x14ac:dyDescent="0.2">
      <c r="A1">
        <v>1</v>
      </c>
      <c r="B1" s="1" t="s">
        <v>1</v>
      </c>
      <c r="C1" s="1" t="s">
        <v>2</v>
      </c>
      <c r="D1" s="1" t="s">
        <v>3</v>
      </c>
      <c r="E1" s="1" t="s">
        <v>4319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0</v>
      </c>
      <c r="P1" s="1" t="s">
        <v>12</v>
      </c>
      <c r="Q1" s="1" t="s">
        <v>13</v>
      </c>
      <c r="R1" s="1"/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s="2" customFormat="1" x14ac:dyDescent="0.2">
      <c r="A2" s="2">
        <v>2</v>
      </c>
      <c r="B2"/>
      <c r="C2" t="s">
        <v>21</v>
      </c>
      <c r="D2" t="s">
        <v>23</v>
      </c>
      <c r="E2" t="s">
        <v>22</v>
      </c>
      <c r="F2" t="s">
        <v>24</v>
      </c>
      <c r="G2" t="s">
        <v>25</v>
      </c>
      <c r="H2" t="str">
        <f>D2&amp;" | "&amp;$E$1&amp;E2&amp;" | Observações: "&amp;T2</f>
        <v xml:space="preserve">FAMILIA NAJM | Recorrência:1/4 | Observações: </v>
      </c>
      <c r="I2" t="s">
        <v>26</v>
      </c>
      <c r="J2" s="4">
        <v>10568.2</v>
      </c>
      <c r="K2" s="4">
        <v>10568.2</v>
      </c>
      <c r="L2" t="s">
        <v>27</v>
      </c>
      <c r="M2" s="4">
        <v>10568.2</v>
      </c>
      <c r="N2" s="3">
        <v>0</v>
      </c>
      <c r="O2" t="s">
        <v>20</v>
      </c>
      <c r="P2" t="s">
        <v>28</v>
      </c>
      <c r="Q2" t="s">
        <v>29</v>
      </c>
      <c r="R2" t="str">
        <f>IF(Q2=S2,"Sim","nao")</f>
        <v>Sim</v>
      </c>
      <c r="S2" t="s">
        <v>29</v>
      </c>
      <c r="T2" t="s">
        <v>30</v>
      </c>
      <c r="U2" t="s">
        <v>31</v>
      </c>
      <c r="V2" s="3">
        <v>10568.2</v>
      </c>
      <c r="W2" t="s">
        <v>32</v>
      </c>
      <c r="X2" s="3">
        <v>10568.2</v>
      </c>
    </row>
    <row r="3" spans="1:24" s="2" customFormat="1" x14ac:dyDescent="0.2">
      <c r="A3">
        <v>3</v>
      </c>
      <c r="B3"/>
      <c r="C3" t="s">
        <v>21</v>
      </c>
      <c r="D3" t="s">
        <v>23</v>
      </c>
      <c r="E3" t="s">
        <v>34</v>
      </c>
      <c r="F3" t="s">
        <v>24</v>
      </c>
      <c r="G3" t="s">
        <v>25</v>
      </c>
      <c r="H3" t="str">
        <f t="shared" ref="H3:H66" si="0">D3&amp;" | "&amp;$E$1&amp;E3&amp;" | Observações: "&amp;T3</f>
        <v xml:space="preserve">FAMILIA NAJM | Recorrência:2/4 | Observações: </v>
      </c>
      <c r="I3" t="s">
        <v>26</v>
      </c>
      <c r="J3" s="4">
        <v>10568.2</v>
      </c>
      <c r="K3" s="4">
        <v>21136.400000000001</v>
      </c>
      <c r="L3" t="s">
        <v>27</v>
      </c>
      <c r="M3" s="4">
        <v>10568.2</v>
      </c>
      <c r="N3" s="3">
        <v>0</v>
      </c>
      <c r="O3" t="s">
        <v>33</v>
      </c>
      <c r="P3" t="s">
        <v>35</v>
      </c>
      <c r="Q3" t="s">
        <v>36</v>
      </c>
      <c r="R3" t="str">
        <f t="shared" ref="R3:R66" si="1">IF(Q3=S3,"Sim","nao")</f>
        <v>Sim</v>
      </c>
      <c r="S3" t="s">
        <v>36</v>
      </c>
      <c r="T3" t="s">
        <v>30</v>
      </c>
      <c r="U3" t="s">
        <v>31</v>
      </c>
      <c r="V3" s="3">
        <v>10568.2</v>
      </c>
      <c r="W3" t="s">
        <v>32</v>
      </c>
      <c r="X3" s="3">
        <v>10568.2</v>
      </c>
    </row>
    <row r="4" spans="1:24" s="2" customFormat="1" x14ac:dyDescent="0.2">
      <c r="A4" s="2">
        <v>4</v>
      </c>
      <c r="B4"/>
      <c r="C4"/>
      <c r="D4" t="s">
        <v>39</v>
      </c>
      <c r="E4" t="s">
        <v>38</v>
      </c>
      <c r="F4" t="s">
        <v>24</v>
      </c>
      <c r="G4" t="s">
        <v>25</v>
      </c>
      <c r="H4" t="str">
        <f t="shared" si="0"/>
        <v xml:space="preserve">FAUSTO VARGAS BOLDRINI _MARIEL ROMANI  | Recorrência:1/3 | Observações: </v>
      </c>
      <c r="I4" t="s">
        <v>26</v>
      </c>
      <c r="J4" s="4">
        <v>2400</v>
      </c>
      <c r="K4" s="4">
        <v>23536.400000000001</v>
      </c>
      <c r="L4" t="s">
        <v>27</v>
      </c>
      <c r="M4" s="4">
        <v>2400</v>
      </c>
      <c r="N4" s="3">
        <v>0</v>
      </c>
      <c r="O4" t="s">
        <v>37</v>
      </c>
      <c r="P4" t="s">
        <v>37</v>
      </c>
      <c r="Q4" t="s">
        <v>37</v>
      </c>
      <c r="R4" t="str">
        <f t="shared" si="1"/>
        <v>Sim</v>
      </c>
      <c r="S4" t="s">
        <v>37</v>
      </c>
      <c r="T4" t="s">
        <v>30</v>
      </c>
      <c r="U4" t="s">
        <v>40</v>
      </c>
      <c r="V4" s="3">
        <v>2400</v>
      </c>
    </row>
    <row r="5" spans="1:24" s="2" customFormat="1" x14ac:dyDescent="0.2">
      <c r="A5">
        <v>5</v>
      </c>
      <c r="B5"/>
      <c r="C5" t="s">
        <v>21</v>
      </c>
      <c r="D5" t="s">
        <v>23</v>
      </c>
      <c r="E5" t="s">
        <v>41</v>
      </c>
      <c r="F5" t="s">
        <v>24</v>
      </c>
      <c r="G5" t="s">
        <v>25</v>
      </c>
      <c r="H5" t="str">
        <f t="shared" si="0"/>
        <v xml:space="preserve">FAMILIA NAJM | Recorrência:3/4 | Observações: </v>
      </c>
      <c r="I5" t="s">
        <v>26</v>
      </c>
      <c r="J5" s="4">
        <v>10568.2</v>
      </c>
      <c r="K5" s="4">
        <v>34104.6</v>
      </c>
      <c r="L5" t="s">
        <v>27</v>
      </c>
      <c r="M5" s="4">
        <v>10568.2</v>
      </c>
      <c r="N5" s="3">
        <v>0</v>
      </c>
      <c r="O5" t="s">
        <v>37</v>
      </c>
      <c r="P5" t="s">
        <v>42</v>
      </c>
      <c r="Q5" t="s">
        <v>43</v>
      </c>
      <c r="R5" t="str">
        <f t="shared" si="1"/>
        <v>Sim</v>
      </c>
      <c r="S5" t="s">
        <v>43</v>
      </c>
      <c r="T5" t="s">
        <v>30</v>
      </c>
      <c r="U5" t="s">
        <v>31</v>
      </c>
      <c r="V5" s="3">
        <v>10568.2</v>
      </c>
      <c r="W5" t="s">
        <v>32</v>
      </c>
      <c r="X5" s="3">
        <v>10568.2</v>
      </c>
    </row>
    <row r="6" spans="1:24" s="2" customFormat="1" x14ac:dyDescent="0.2">
      <c r="A6" s="2">
        <v>6</v>
      </c>
      <c r="B6" t="s">
        <v>45</v>
      </c>
      <c r="C6" t="s">
        <v>46</v>
      </c>
      <c r="D6" t="s">
        <v>47</v>
      </c>
      <c r="E6" t="s">
        <v>30</v>
      </c>
      <c r="F6" t="s">
        <v>24</v>
      </c>
      <c r="G6" t="s">
        <v>25</v>
      </c>
      <c r="H6" t="str">
        <f t="shared" si="0"/>
        <v xml:space="preserve">SILVESTRE VIDROS | Recorrência: | Observações: </v>
      </c>
      <c r="I6" t="s">
        <v>26</v>
      </c>
      <c r="J6" s="4">
        <v>436.63</v>
      </c>
      <c r="K6" s="4">
        <v>34541.230000000003</v>
      </c>
      <c r="L6" t="s">
        <v>27</v>
      </c>
      <c r="M6" s="4">
        <v>436.63</v>
      </c>
      <c r="N6" s="3">
        <v>0</v>
      </c>
      <c r="O6" t="s">
        <v>44</v>
      </c>
      <c r="P6" t="s">
        <v>48</v>
      </c>
      <c r="Q6" t="s">
        <v>44</v>
      </c>
      <c r="R6" t="str">
        <f t="shared" si="1"/>
        <v>Sim</v>
      </c>
      <c r="S6" t="s">
        <v>44</v>
      </c>
      <c r="T6" t="s">
        <v>30</v>
      </c>
      <c r="U6" t="s">
        <v>49</v>
      </c>
      <c r="V6" s="3">
        <v>436.63</v>
      </c>
      <c r="W6" t="s">
        <v>49</v>
      </c>
      <c r="X6" s="3">
        <v>436.63</v>
      </c>
    </row>
    <row r="7" spans="1:24" s="2" customFormat="1" x14ac:dyDescent="0.2">
      <c r="A7">
        <v>7</v>
      </c>
      <c r="B7"/>
      <c r="C7"/>
      <c r="D7" t="s">
        <v>51</v>
      </c>
      <c r="E7" t="s">
        <v>30</v>
      </c>
      <c r="F7" t="s">
        <v>24</v>
      </c>
      <c r="G7" t="s">
        <v>25</v>
      </c>
      <c r="H7" t="str">
        <f t="shared" si="0"/>
        <v>Saldo Inicial CONTA CORRENTE | Recorrência: | Observações: Saldo Inicial</v>
      </c>
      <c r="I7" t="s">
        <v>26</v>
      </c>
      <c r="J7" s="6">
        <v>0</v>
      </c>
      <c r="K7" s="4">
        <v>34541.230000000003</v>
      </c>
      <c r="L7" t="s">
        <v>27</v>
      </c>
      <c r="M7" s="6">
        <v>0</v>
      </c>
      <c r="N7" s="3">
        <v>0</v>
      </c>
      <c r="O7" t="s">
        <v>50</v>
      </c>
      <c r="P7" t="s">
        <v>50</v>
      </c>
      <c r="Q7" t="s">
        <v>50</v>
      </c>
      <c r="R7" t="str">
        <f t="shared" si="1"/>
        <v>Sim</v>
      </c>
      <c r="S7" t="s">
        <v>50</v>
      </c>
      <c r="T7" t="s">
        <v>52</v>
      </c>
      <c r="U7" t="s">
        <v>52</v>
      </c>
      <c r="V7" s="3">
        <v>0</v>
      </c>
    </row>
    <row r="8" spans="1:24" s="2" customFormat="1" x14ac:dyDescent="0.2">
      <c r="A8" s="2">
        <v>8</v>
      </c>
      <c r="B8"/>
      <c r="C8" t="s">
        <v>53</v>
      </c>
      <c r="D8" t="s">
        <v>54</v>
      </c>
      <c r="E8" t="s">
        <v>30</v>
      </c>
      <c r="F8" t="s">
        <v>24</v>
      </c>
      <c r="G8" t="s">
        <v>25</v>
      </c>
      <c r="H8" t="str">
        <f t="shared" si="0"/>
        <v xml:space="preserve">KNOT HOME | Recorrência: | Observações: </v>
      </c>
      <c r="I8" t="s">
        <v>26</v>
      </c>
      <c r="J8" s="4">
        <v>418</v>
      </c>
      <c r="K8" s="4">
        <v>34959.230000000003</v>
      </c>
      <c r="L8" t="s">
        <v>27</v>
      </c>
      <c r="M8" s="4">
        <v>418</v>
      </c>
      <c r="N8" s="3">
        <v>0</v>
      </c>
      <c r="O8" t="s">
        <v>50</v>
      </c>
      <c r="P8" t="s">
        <v>55</v>
      </c>
      <c r="Q8" t="s">
        <v>50</v>
      </c>
      <c r="R8" t="str">
        <f t="shared" si="1"/>
        <v>Sim</v>
      </c>
      <c r="S8" t="s">
        <v>50</v>
      </c>
      <c r="T8" t="s">
        <v>30</v>
      </c>
      <c r="U8" t="s">
        <v>49</v>
      </c>
      <c r="V8" s="3">
        <v>418</v>
      </c>
      <c r="W8" t="s">
        <v>49</v>
      </c>
      <c r="X8" s="3">
        <v>418</v>
      </c>
    </row>
    <row r="9" spans="1:24" s="2" customFormat="1" x14ac:dyDescent="0.2">
      <c r="A9">
        <v>9</v>
      </c>
      <c r="B9"/>
      <c r="C9" t="s">
        <v>57</v>
      </c>
      <c r="D9" t="s">
        <v>59</v>
      </c>
      <c r="E9" t="s">
        <v>58</v>
      </c>
      <c r="F9" t="s">
        <v>24</v>
      </c>
      <c r="G9" t="s">
        <v>25</v>
      </c>
      <c r="H9" t="str">
        <f t="shared" si="0"/>
        <v>ESPAÇO REFORMAR ( DMP REFORMAS) | Recorrência:1/6 | Observações: PROJETO PATRICIA MEIRELLES</v>
      </c>
      <c r="I9" t="s">
        <v>26</v>
      </c>
      <c r="J9" s="4">
        <v>5192.49</v>
      </c>
      <c r="K9" s="4">
        <v>40151.72</v>
      </c>
      <c r="L9" t="s">
        <v>27</v>
      </c>
      <c r="M9" s="4">
        <v>5192.49</v>
      </c>
      <c r="N9" s="3">
        <v>0</v>
      </c>
      <c r="O9" t="s">
        <v>56</v>
      </c>
      <c r="P9" t="s">
        <v>60</v>
      </c>
      <c r="Q9" t="s">
        <v>56</v>
      </c>
      <c r="R9" t="str">
        <f t="shared" si="1"/>
        <v>Sim</v>
      </c>
      <c r="S9" t="s">
        <v>56</v>
      </c>
      <c r="T9" t="s">
        <v>61</v>
      </c>
      <c r="U9" t="s">
        <v>49</v>
      </c>
      <c r="V9" s="3">
        <v>5192.49</v>
      </c>
      <c r="W9" t="s">
        <v>49</v>
      </c>
      <c r="X9" s="3">
        <v>5192.49</v>
      </c>
    </row>
    <row r="10" spans="1:24" s="2" customFormat="1" x14ac:dyDescent="0.2">
      <c r="A10" s="2">
        <v>10</v>
      </c>
      <c r="B10"/>
      <c r="C10"/>
      <c r="D10" t="s">
        <v>62</v>
      </c>
      <c r="E10" t="s">
        <v>30</v>
      </c>
      <c r="F10" t="s">
        <v>63</v>
      </c>
      <c r="G10" t="s">
        <v>25</v>
      </c>
      <c r="H10" t="str">
        <f t="shared" si="0"/>
        <v xml:space="preserve">NET SERV COMUNICAÇÃO | Recorrência: | Observações: </v>
      </c>
      <c r="I10" t="s">
        <v>26</v>
      </c>
      <c r="J10" s="5">
        <v>-106.58</v>
      </c>
      <c r="K10" s="4">
        <v>40045.14</v>
      </c>
      <c r="L10" t="s">
        <v>27</v>
      </c>
      <c r="M10" s="5">
        <v>-106.58</v>
      </c>
      <c r="N10" s="3">
        <v>0</v>
      </c>
      <c r="O10" t="s">
        <v>56</v>
      </c>
      <c r="P10" t="s">
        <v>50</v>
      </c>
      <c r="Q10" t="s">
        <v>56</v>
      </c>
      <c r="R10" t="str">
        <f t="shared" si="1"/>
        <v>Sim</v>
      </c>
      <c r="S10" t="s">
        <v>56</v>
      </c>
      <c r="T10" t="s">
        <v>30</v>
      </c>
      <c r="U10" t="s">
        <v>64</v>
      </c>
      <c r="V10" s="3">
        <v>-106.58</v>
      </c>
    </row>
    <row r="11" spans="1:24" s="2" customFormat="1" x14ac:dyDescent="0.2">
      <c r="A11">
        <v>11</v>
      </c>
      <c r="B11"/>
      <c r="C11"/>
      <c r="D11" t="s">
        <v>62</v>
      </c>
      <c r="E11" t="s">
        <v>30</v>
      </c>
      <c r="F11" t="s">
        <v>63</v>
      </c>
      <c r="G11" t="s">
        <v>25</v>
      </c>
      <c r="H11" t="str">
        <f t="shared" si="0"/>
        <v xml:space="preserve">NET SERV COMUNICAÇÃO | Recorrência: | Observações: </v>
      </c>
      <c r="I11" t="s">
        <v>26</v>
      </c>
      <c r="J11" s="5">
        <v>-113.52</v>
      </c>
      <c r="K11" s="4">
        <v>39931.620000000003</v>
      </c>
      <c r="L11" t="s">
        <v>27</v>
      </c>
      <c r="M11" s="5">
        <v>-113.52</v>
      </c>
      <c r="N11" s="3">
        <v>0</v>
      </c>
      <c r="O11" t="s">
        <v>56</v>
      </c>
      <c r="P11" t="s">
        <v>65</v>
      </c>
      <c r="Q11" t="s">
        <v>56</v>
      </c>
      <c r="R11" t="str">
        <f t="shared" si="1"/>
        <v>Sim</v>
      </c>
      <c r="S11" t="s">
        <v>56</v>
      </c>
      <c r="T11" t="s">
        <v>30</v>
      </c>
      <c r="U11" t="s">
        <v>64</v>
      </c>
      <c r="V11" s="3">
        <v>-113.52</v>
      </c>
    </row>
    <row r="12" spans="1:24" s="2" customFormat="1" x14ac:dyDescent="0.2">
      <c r="A12" s="2">
        <v>12</v>
      </c>
      <c r="B12"/>
      <c r="C12"/>
      <c r="D12" t="s">
        <v>68</v>
      </c>
      <c r="E12" t="s">
        <v>67</v>
      </c>
      <c r="F12" t="s">
        <v>24</v>
      </c>
      <c r="G12" t="s">
        <v>25</v>
      </c>
      <c r="H12" t="str">
        <f t="shared" si="0"/>
        <v>ANA CAROLINA FURQUIM | Recorrência:1/2 | Observações: CASA DE UBATUBA: Total 3.000,00</v>
      </c>
      <c r="I12" t="s">
        <v>26</v>
      </c>
      <c r="J12" s="4">
        <v>1750</v>
      </c>
      <c r="K12" s="4">
        <v>41681.620000000003</v>
      </c>
      <c r="L12" t="s">
        <v>27</v>
      </c>
      <c r="M12" s="4">
        <v>1750</v>
      </c>
      <c r="N12" s="3">
        <v>0</v>
      </c>
      <c r="O12" t="s">
        <v>66</v>
      </c>
      <c r="P12" t="s">
        <v>69</v>
      </c>
      <c r="Q12" t="s">
        <v>66</v>
      </c>
      <c r="R12" t="str">
        <f t="shared" si="1"/>
        <v>Sim</v>
      </c>
      <c r="S12" t="s">
        <v>66</v>
      </c>
      <c r="T12" t="s">
        <v>70</v>
      </c>
      <c r="U12" t="s">
        <v>40</v>
      </c>
      <c r="V12" s="3">
        <v>1750</v>
      </c>
      <c r="W12" t="s">
        <v>32</v>
      </c>
      <c r="X12" s="3">
        <v>1750</v>
      </c>
    </row>
    <row r="13" spans="1:24" s="2" customFormat="1" x14ac:dyDescent="0.2">
      <c r="A13">
        <v>13</v>
      </c>
      <c r="B13" t="s">
        <v>71</v>
      </c>
      <c r="C13" t="s">
        <v>72</v>
      </c>
      <c r="D13" t="s">
        <v>74</v>
      </c>
      <c r="E13" t="s">
        <v>73</v>
      </c>
      <c r="F13" t="s">
        <v>24</v>
      </c>
      <c r="G13" t="s">
        <v>25</v>
      </c>
      <c r="H13" t="str">
        <f t="shared" si="0"/>
        <v xml:space="preserve">VIA MADEIRA | Recorrência:1/5 | Observações: </v>
      </c>
      <c r="I13" t="s">
        <v>26</v>
      </c>
      <c r="J13" s="4">
        <v>2400</v>
      </c>
      <c r="K13" s="4">
        <v>44081.62</v>
      </c>
      <c r="L13" t="s">
        <v>27</v>
      </c>
      <c r="M13" s="4">
        <v>2400</v>
      </c>
      <c r="N13" s="3">
        <v>0</v>
      </c>
      <c r="O13" t="s">
        <v>66</v>
      </c>
      <c r="P13" t="s">
        <v>75</v>
      </c>
      <c r="Q13" t="s">
        <v>66</v>
      </c>
      <c r="R13" t="str">
        <f t="shared" si="1"/>
        <v>Sim</v>
      </c>
      <c r="S13" t="s">
        <v>66</v>
      </c>
      <c r="T13" t="s">
        <v>30</v>
      </c>
      <c r="U13" t="s">
        <v>49</v>
      </c>
      <c r="V13" s="3">
        <v>2400</v>
      </c>
      <c r="W13" t="s">
        <v>49</v>
      </c>
      <c r="X13" s="3">
        <v>2400</v>
      </c>
    </row>
    <row r="14" spans="1:24" s="2" customFormat="1" x14ac:dyDescent="0.2">
      <c r="A14" s="2">
        <v>14</v>
      </c>
      <c r="B14" t="s">
        <v>71</v>
      </c>
      <c r="C14" t="s">
        <v>72</v>
      </c>
      <c r="D14" t="s">
        <v>77</v>
      </c>
      <c r="E14" t="s">
        <v>30</v>
      </c>
      <c r="F14" t="s">
        <v>24</v>
      </c>
      <c r="G14" t="s">
        <v>25</v>
      </c>
      <c r="H14" t="str">
        <f t="shared" si="0"/>
        <v>LABLUZ | Recorrência: | Observações: PROJETO GAPAZ &gt; Orç 14114463</v>
      </c>
      <c r="I14" t="s">
        <v>26</v>
      </c>
      <c r="J14" s="4">
        <v>1014</v>
      </c>
      <c r="K14" s="4">
        <v>45095.62</v>
      </c>
      <c r="L14" t="s">
        <v>27</v>
      </c>
      <c r="M14" s="4">
        <v>1014</v>
      </c>
      <c r="N14" s="3">
        <v>0</v>
      </c>
      <c r="O14" t="s">
        <v>76</v>
      </c>
      <c r="P14" t="s">
        <v>50</v>
      </c>
      <c r="Q14" t="s">
        <v>76</v>
      </c>
      <c r="R14" t="str">
        <f t="shared" si="1"/>
        <v>Sim</v>
      </c>
      <c r="S14" t="s">
        <v>76</v>
      </c>
      <c r="T14" t="s">
        <v>78</v>
      </c>
      <c r="U14" t="s">
        <v>49</v>
      </c>
      <c r="V14" s="3">
        <v>1014</v>
      </c>
      <c r="W14" t="s">
        <v>49</v>
      </c>
      <c r="X14" s="3">
        <v>1014</v>
      </c>
    </row>
    <row r="15" spans="1:24" s="2" customFormat="1" x14ac:dyDescent="0.2">
      <c r="A15">
        <v>15</v>
      </c>
      <c r="B15" t="s">
        <v>45</v>
      </c>
      <c r="C15" t="s">
        <v>46</v>
      </c>
      <c r="D15" t="s">
        <v>77</v>
      </c>
      <c r="E15" t="s">
        <v>30</v>
      </c>
      <c r="F15" t="s">
        <v>24</v>
      </c>
      <c r="G15" t="s">
        <v>25</v>
      </c>
      <c r="H15" t="str">
        <f t="shared" si="0"/>
        <v>LABLUZ | Recorrência: | Observações: PROJETO ALDEMIRA _ORÇ 119472_14114264</v>
      </c>
      <c r="I15" t="s">
        <v>26</v>
      </c>
      <c r="J15" s="4">
        <v>1288.26</v>
      </c>
      <c r="K15" s="4">
        <v>46383.88</v>
      </c>
      <c r="L15" t="s">
        <v>27</v>
      </c>
      <c r="M15" s="4">
        <v>1288.26</v>
      </c>
      <c r="N15" s="3">
        <v>0</v>
      </c>
      <c r="O15" t="s">
        <v>76</v>
      </c>
      <c r="P15" t="s">
        <v>50</v>
      </c>
      <c r="Q15" t="s">
        <v>76</v>
      </c>
      <c r="R15" t="str">
        <f t="shared" si="1"/>
        <v>Sim</v>
      </c>
      <c r="S15" t="s">
        <v>76</v>
      </c>
      <c r="T15" t="s">
        <v>79</v>
      </c>
      <c r="U15" t="s">
        <v>49</v>
      </c>
      <c r="V15" s="3">
        <v>1288.26</v>
      </c>
      <c r="W15" t="s">
        <v>49</v>
      </c>
      <c r="X15" s="3">
        <v>1288.26</v>
      </c>
    </row>
    <row r="16" spans="1:24" s="2" customFormat="1" x14ac:dyDescent="0.2">
      <c r="A16" s="2">
        <v>16</v>
      </c>
      <c r="B16" t="s">
        <v>71</v>
      </c>
      <c r="C16" t="s">
        <v>72</v>
      </c>
      <c r="D16" t="s">
        <v>81</v>
      </c>
      <c r="E16" t="s">
        <v>30</v>
      </c>
      <c r="F16" t="s">
        <v>24</v>
      </c>
      <c r="G16" t="s">
        <v>25</v>
      </c>
      <c r="H16" t="str">
        <f t="shared" si="0"/>
        <v>STACCATO | Recorrência: | Observações: PROJETO GAPAZ  GABR210260</v>
      </c>
      <c r="I16" t="s">
        <v>26</v>
      </c>
      <c r="J16" s="4">
        <v>562.47</v>
      </c>
      <c r="K16" s="4">
        <v>46946.35</v>
      </c>
      <c r="L16" t="s">
        <v>27</v>
      </c>
      <c r="M16" s="4">
        <v>562.47</v>
      </c>
      <c r="N16" s="3">
        <v>0</v>
      </c>
      <c r="O16" t="s">
        <v>80</v>
      </c>
      <c r="P16" t="s">
        <v>56</v>
      </c>
      <c r="Q16" t="s">
        <v>80</v>
      </c>
      <c r="R16" t="str">
        <f t="shared" si="1"/>
        <v>Sim</v>
      </c>
      <c r="S16" t="s">
        <v>80</v>
      </c>
      <c r="T16" t="s">
        <v>82</v>
      </c>
      <c r="U16" t="s">
        <v>49</v>
      </c>
      <c r="V16" s="3">
        <v>562.47</v>
      </c>
      <c r="W16" t="s">
        <v>49</v>
      </c>
      <c r="X16" s="3">
        <v>562.47</v>
      </c>
    </row>
    <row r="17" spans="1:24" s="2" customFormat="1" x14ac:dyDescent="0.2">
      <c r="A17">
        <v>17</v>
      </c>
      <c r="B17" t="s">
        <v>84</v>
      </c>
      <c r="C17" t="s">
        <v>85</v>
      </c>
      <c r="D17" t="s">
        <v>85</v>
      </c>
      <c r="E17" t="s">
        <v>38</v>
      </c>
      <c r="F17" t="s">
        <v>24</v>
      </c>
      <c r="G17" t="s">
        <v>25</v>
      </c>
      <c r="H17" t="str">
        <f t="shared" si="0"/>
        <v xml:space="preserve">JULIANA COVINO E THIAGO | Recorrência:1/3 | Observações: </v>
      </c>
      <c r="I17" t="s">
        <v>26</v>
      </c>
      <c r="J17" s="4">
        <v>5400</v>
      </c>
      <c r="K17" s="4">
        <v>52346.35</v>
      </c>
      <c r="L17" t="s">
        <v>27</v>
      </c>
      <c r="M17" s="4">
        <v>5400</v>
      </c>
      <c r="N17" s="3">
        <v>0</v>
      </c>
      <c r="O17" t="s">
        <v>83</v>
      </c>
      <c r="P17" t="s">
        <v>86</v>
      </c>
      <c r="Q17" t="s">
        <v>87</v>
      </c>
      <c r="R17" t="str">
        <f t="shared" si="1"/>
        <v>Sim</v>
      </c>
      <c r="S17" t="s">
        <v>87</v>
      </c>
      <c r="T17" t="s">
        <v>30</v>
      </c>
      <c r="U17" t="s">
        <v>40</v>
      </c>
      <c r="V17" s="3">
        <v>5400</v>
      </c>
    </row>
    <row r="18" spans="1:24" s="2" customFormat="1" x14ac:dyDescent="0.2">
      <c r="A18" s="2">
        <v>18</v>
      </c>
      <c r="B18"/>
      <c r="C18"/>
      <c r="D18" t="s">
        <v>89</v>
      </c>
      <c r="E18" t="s">
        <v>22</v>
      </c>
      <c r="F18" t="s">
        <v>24</v>
      </c>
      <c r="G18" t="s">
        <v>25</v>
      </c>
      <c r="H18" t="str">
        <f t="shared" si="0"/>
        <v xml:space="preserve">ANA PAULA CALFA | Recorrência:1/4 | Observações: </v>
      </c>
      <c r="I18" t="s">
        <v>26</v>
      </c>
      <c r="J18" s="4">
        <v>8750</v>
      </c>
      <c r="K18" s="4">
        <v>61096.35</v>
      </c>
      <c r="L18" t="s">
        <v>27</v>
      </c>
      <c r="M18" s="4">
        <v>8750</v>
      </c>
      <c r="N18" s="3">
        <v>0</v>
      </c>
      <c r="O18" t="s">
        <v>88</v>
      </c>
      <c r="P18" t="s">
        <v>88</v>
      </c>
      <c r="Q18" t="s">
        <v>90</v>
      </c>
      <c r="R18" t="str">
        <f t="shared" si="1"/>
        <v>Sim</v>
      </c>
      <c r="S18" t="s">
        <v>90</v>
      </c>
      <c r="T18" t="s">
        <v>30</v>
      </c>
      <c r="U18" t="s">
        <v>40</v>
      </c>
      <c r="V18" s="3">
        <v>8750</v>
      </c>
    </row>
    <row r="19" spans="1:24" s="2" customFormat="1" x14ac:dyDescent="0.2">
      <c r="A19">
        <v>19</v>
      </c>
      <c r="B19"/>
      <c r="C19"/>
      <c r="D19" t="s">
        <v>91</v>
      </c>
      <c r="E19" t="s">
        <v>30</v>
      </c>
      <c r="F19" t="s">
        <v>63</v>
      </c>
      <c r="G19" t="s">
        <v>25</v>
      </c>
      <c r="H19" t="str">
        <f t="shared" si="0"/>
        <v xml:space="preserve">SODEXO | Recorrência: | Observações: </v>
      </c>
      <c r="I19" t="s">
        <v>26</v>
      </c>
      <c r="J19" s="5">
        <v>-513</v>
      </c>
      <c r="K19" s="4">
        <v>60583.35</v>
      </c>
      <c r="L19" t="s">
        <v>27</v>
      </c>
      <c r="M19" s="5">
        <v>-513</v>
      </c>
      <c r="N19" s="3">
        <v>0</v>
      </c>
      <c r="O19" t="s">
        <v>88</v>
      </c>
      <c r="P19" t="s">
        <v>88</v>
      </c>
      <c r="Q19" t="s">
        <v>92</v>
      </c>
      <c r="R19" t="str">
        <f t="shared" si="1"/>
        <v>Sim</v>
      </c>
      <c r="S19" t="s">
        <v>92</v>
      </c>
      <c r="T19" t="s">
        <v>30</v>
      </c>
      <c r="U19" t="s">
        <v>93</v>
      </c>
      <c r="V19" s="3">
        <v>-513</v>
      </c>
    </row>
    <row r="20" spans="1:24" s="2" customFormat="1" x14ac:dyDescent="0.2">
      <c r="A20" s="2">
        <v>20</v>
      </c>
      <c r="B20"/>
      <c r="C20"/>
      <c r="D20" t="s">
        <v>96</v>
      </c>
      <c r="E20" t="s">
        <v>95</v>
      </c>
      <c r="F20" t="s">
        <v>24</v>
      </c>
      <c r="G20" t="s">
        <v>25</v>
      </c>
      <c r="H20" t="str">
        <f t="shared" si="0"/>
        <v>CAROLINA FURQUIM | Recorrência:2/2 | Observações: CASA DE UBATUBA: Total 3.000,00</v>
      </c>
      <c r="I20" t="s">
        <v>26</v>
      </c>
      <c r="J20" s="4">
        <v>1750</v>
      </c>
      <c r="K20" s="4">
        <v>62333.35</v>
      </c>
      <c r="L20" t="s">
        <v>27</v>
      </c>
      <c r="M20" s="4">
        <v>1750</v>
      </c>
      <c r="N20" s="3">
        <v>0</v>
      </c>
      <c r="O20" t="s">
        <v>94</v>
      </c>
      <c r="P20" t="s">
        <v>97</v>
      </c>
      <c r="Q20" t="s">
        <v>98</v>
      </c>
      <c r="R20" t="str">
        <f t="shared" si="1"/>
        <v>Sim</v>
      </c>
      <c r="S20" t="s">
        <v>98</v>
      </c>
      <c r="T20" t="s">
        <v>70</v>
      </c>
      <c r="U20" t="s">
        <v>40</v>
      </c>
      <c r="V20" s="3">
        <v>1750</v>
      </c>
      <c r="W20" t="s">
        <v>32</v>
      </c>
      <c r="X20" s="3">
        <v>1750</v>
      </c>
    </row>
    <row r="21" spans="1:24" s="2" customFormat="1" x14ac:dyDescent="0.2">
      <c r="A21">
        <v>21</v>
      </c>
      <c r="B21" t="s">
        <v>45</v>
      </c>
      <c r="C21" t="s">
        <v>46</v>
      </c>
      <c r="D21" t="s">
        <v>100</v>
      </c>
      <c r="E21" t="s">
        <v>30</v>
      </c>
      <c r="F21" t="s">
        <v>24</v>
      </c>
      <c r="G21" t="s">
        <v>25</v>
      </c>
      <c r="H21" t="str">
        <f t="shared" si="0"/>
        <v xml:space="preserve">SOL&amp;ART | Recorrência: | Observações: </v>
      </c>
      <c r="I21" t="s">
        <v>26</v>
      </c>
      <c r="J21" s="4">
        <v>1208.2</v>
      </c>
      <c r="K21" s="4">
        <v>63541.55</v>
      </c>
      <c r="L21" t="s">
        <v>27</v>
      </c>
      <c r="M21" s="4">
        <v>1208.2</v>
      </c>
      <c r="N21" s="3">
        <v>0</v>
      </c>
      <c r="O21" t="s">
        <v>99</v>
      </c>
      <c r="P21" t="s">
        <v>88</v>
      </c>
      <c r="Q21" t="s">
        <v>99</v>
      </c>
      <c r="R21" t="str">
        <f t="shared" si="1"/>
        <v>Sim</v>
      </c>
      <c r="S21" t="s">
        <v>99</v>
      </c>
      <c r="T21" t="s">
        <v>30</v>
      </c>
      <c r="U21" t="s">
        <v>49</v>
      </c>
      <c r="V21" s="3">
        <v>1208.2</v>
      </c>
      <c r="W21" t="s">
        <v>49</v>
      </c>
      <c r="X21" s="3">
        <v>1208.2</v>
      </c>
    </row>
    <row r="22" spans="1:24" s="2" customFormat="1" x14ac:dyDescent="0.2">
      <c r="A22" s="2">
        <v>22</v>
      </c>
      <c r="B22"/>
      <c r="C22" t="s">
        <v>101</v>
      </c>
      <c r="D22" t="s">
        <v>102</v>
      </c>
      <c r="E22" t="s">
        <v>30</v>
      </c>
      <c r="F22" t="s">
        <v>24</v>
      </c>
      <c r="G22" t="s">
        <v>25</v>
      </c>
      <c r="H22" t="str">
        <f t="shared" si="0"/>
        <v>PLURIPISO | Recorrência: | Observações: 3% não inclui frete e mão de obra</v>
      </c>
      <c r="I22" t="s">
        <v>26</v>
      </c>
      <c r="J22" s="4">
        <v>114.39</v>
      </c>
      <c r="K22" s="4">
        <v>63655.94</v>
      </c>
      <c r="L22" t="s">
        <v>27</v>
      </c>
      <c r="M22" s="4">
        <v>114.39</v>
      </c>
      <c r="N22" s="3">
        <v>0</v>
      </c>
      <c r="O22" t="s">
        <v>99</v>
      </c>
      <c r="P22" t="s">
        <v>94</v>
      </c>
      <c r="Q22" t="s">
        <v>99</v>
      </c>
      <c r="R22" t="str">
        <f t="shared" si="1"/>
        <v>Sim</v>
      </c>
      <c r="S22" t="s">
        <v>99</v>
      </c>
      <c r="T22" t="s">
        <v>103</v>
      </c>
      <c r="U22" t="s">
        <v>49</v>
      </c>
      <c r="V22" s="3">
        <v>114.39</v>
      </c>
      <c r="W22" t="s">
        <v>49</v>
      </c>
      <c r="X22" s="3">
        <v>114.39</v>
      </c>
    </row>
    <row r="23" spans="1:24" s="2" customFormat="1" x14ac:dyDescent="0.2">
      <c r="A23">
        <v>23</v>
      </c>
      <c r="B23" t="s">
        <v>45</v>
      </c>
      <c r="C23" t="s">
        <v>46</v>
      </c>
      <c r="D23" t="s">
        <v>104</v>
      </c>
      <c r="E23" t="s">
        <v>30</v>
      </c>
      <c r="F23" t="s">
        <v>24</v>
      </c>
      <c r="G23" t="s">
        <v>25</v>
      </c>
      <c r="H23" t="str">
        <f t="shared" si="0"/>
        <v xml:space="preserve">HIGIHOUSE | Recorrência: | Observações: </v>
      </c>
      <c r="I23" t="s">
        <v>26</v>
      </c>
      <c r="J23" s="4">
        <v>235.6</v>
      </c>
      <c r="K23" s="4">
        <v>63891.54</v>
      </c>
      <c r="L23" t="s">
        <v>27</v>
      </c>
      <c r="M23" s="4">
        <v>235.6</v>
      </c>
      <c r="N23" s="3">
        <v>0</v>
      </c>
      <c r="O23" t="s">
        <v>99</v>
      </c>
      <c r="P23" t="s">
        <v>88</v>
      </c>
      <c r="Q23" t="s">
        <v>99</v>
      </c>
      <c r="R23" t="str">
        <f t="shared" si="1"/>
        <v>Sim</v>
      </c>
      <c r="S23" t="s">
        <v>99</v>
      </c>
      <c r="T23" t="s">
        <v>30</v>
      </c>
      <c r="U23" t="s">
        <v>49</v>
      </c>
      <c r="V23" s="3">
        <v>235.6</v>
      </c>
      <c r="W23" t="s">
        <v>49</v>
      </c>
      <c r="X23" s="3">
        <v>235.6</v>
      </c>
    </row>
    <row r="24" spans="1:24" s="2" customFormat="1" x14ac:dyDescent="0.2">
      <c r="A24" s="2">
        <v>24</v>
      </c>
      <c r="B24" t="s">
        <v>106</v>
      </c>
      <c r="C24" t="s">
        <v>107</v>
      </c>
      <c r="D24" t="s">
        <v>39</v>
      </c>
      <c r="E24" t="s">
        <v>38</v>
      </c>
      <c r="F24" t="s">
        <v>24</v>
      </c>
      <c r="G24" t="s">
        <v>25</v>
      </c>
      <c r="H24" t="str">
        <f t="shared" si="0"/>
        <v xml:space="preserve">FAUSTO VARGAS BOLDRINI _MARIEL ROMANI  | Recorrência:1/3 | Observações: </v>
      </c>
      <c r="I24" t="s">
        <v>26</v>
      </c>
      <c r="J24" s="4">
        <v>2400</v>
      </c>
      <c r="K24" s="4">
        <v>66291.539999999994</v>
      </c>
      <c r="L24" t="s">
        <v>27</v>
      </c>
      <c r="M24" s="4">
        <v>2400</v>
      </c>
      <c r="N24" s="3">
        <v>0</v>
      </c>
      <c r="O24" t="s">
        <v>105</v>
      </c>
      <c r="P24" t="s">
        <v>37</v>
      </c>
      <c r="Q24" t="s">
        <v>105</v>
      </c>
      <c r="R24" t="str">
        <f t="shared" si="1"/>
        <v>Sim</v>
      </c>
      <c r="S24" t="s">
        <v>105</v>
      </c>
      <c r="T24" t="s">
        <v>30</v>
      </c>
      <c r="U24" t="s">
        <v>40</v>
      </c>
      <c r="V24" s="3">
        <v>2400</v>
      </c>
    </row>
    <row r="25" spans="1:24" s="2" customFormat="1" x14ac:dyDescent="0.2">
      <c r="A25">
        <v>25</v>
      </c>
      <c r="B25" t="s">
        <v>45</v>
      </c>
      <c r="C25" t="s">
        <v>46</v>
      </c>
      <c r="D25" t="s">
        <v>47</v>
      </c>
      <c r="E25" t="s">
        <v>30</v>
      </c>
      <c r="F25" t="s">
        <v>24</v>
      </c>
      <c r="G25" t="s">
        <v>25</v>
      </c>
      <c r="H25" t="str">
        <f t="shared" si="0"/>
        <v>SILVESTRE VIDROS | Recorrência: | Observações:  2 de 2 pedido 42119</v>
      </c>
      <c r="I25" t="s">
        <v>26</v>
      </c>
      <c r="J25" s="4">
        <v>604.23</v>
      </c>
      <c r="K25" s="4">
        <v>66895.77</v>
      </c>
      <c r="L25" t="s">
        <v>27</v>
      </c>
      <c r="M25" s="4">
        <v>604.23</v>
      </c>
      <c r="N25" s="3">
        <v>0</v>
      </c>
      <c r="O25" t="s">
        <v>108</v>
      </c>
      <c r="P25" t="s">
        <v>48</v>
      </c>
      <c r="Q25" t="s">
        <v>108</v>
      </c>
      <c r="R25" t="str">
        <f t="shared" si="1"/>
        <v>Sim</v>
      </c>
      <c r="S25" t="s">
        <v>108</v>
      </c>
      <c r="T25" t="s">
        <v>109</v>
      </c>
      <c r="U25" t="s">
        <v>49</v>
      </c>
      <c r="V25" s="3">
        <v>604.23</v>
      </c>
      <c r="W25" t="s">
        <v>49</v>
      </c>
      <c r="X25" s="3">
        <v>604.23</v>
      </c>
    </row>
    <row r="26" spans="1:24" s="2" customFormat="1" x14ac:dyDescent="0.2">
      <c r="A26" s="2">
        <v>26</v>
      </c>
      <c r="B26"/>
      <c r="C26" t="s">
        <v>101</v>
      </c>
      <c r="D26" t="s">
        <v>81</v>
      </c>
      <c r="E26" t="s">
        <v>30</v>
      </c>
      <c r="F26" t="s">
        <v>24</v>
      </c>
      <c r="G26" t="s">
        <v>25</v>
      </c>
      <c r="H26" t="str">
        <f t="shared" si="0"/>
        <v xml:space="preserve">STACCATO | Recorrência: | Observações: </v>
      </c>
      <c r="I26" t="s">
        <v>26</v>
      </c>
      <c r="J26" s="4">
        <v>70.42</v>
      </c>
      <c r="K26" s="4">
        <v>66966.19</v>
      </c>
      <c r="L26" t="s">
        <v>27</v>
      </c>
      <c r="M26" s="4">
        <v>70.42</v>
      </c>
      <c r="N26" s="3">
        <v>0</v>
      </c>
      <c r="O26" t="s">
        <v>110</v>
      </c>
      <c r="P26" t="s">
        <v>111</v>
      </c>
      <c r="Q26" t="s">
        <v>110</v>
      </c>
      <c r="R26" t="str">
        <f t="shared" si="1"/>
        <v>Sim</v>
      </c>
      <c r="S26" t="s">
        <v>110</v>
      </c>
      <c r="T26" t="s">
        <v>30</v>
      </c>
      <c r="U26" t="s">
        <v>49</v>
      </c>
      <c r="V26" s="3">
        <v>70.42</v>
      </c>
      <c r="W26" t="s">
        <v>49</v>
      </c>
      <c r="X26" s="3">
        <v>70.42</v>
      </c>
    </row>
    <row r="27" spans="1:24" s="2" customFormat="1" x14ac:dyDescent="0.2">
      <c r="A27">
        <v>27</v>
      </c>
      <c r="B27" t="s">
        <v>45</v>
      </c>
      <c r="C27" t="s">
        <v>46</v>
      </c>
      <c r="D27" t="s">
        <v>112</v>
      </c>
      <c r="E27" t="s">
        <v>30</v>
      </c>
      <c r="F27" t="s">
        <v>24</v>
      </c>
      <c r="G27" t="s">
        <v>25</v>
      </c>
      <c r="H27" t="str">
        <f t="shared" si="0"/>
        <v>GENIO DO MARMORE | Recorrência: | Observações: Intermediado Jennifer da Potenza</v>
      </c>
      <c r="I27" t="s">
        <v>26</v>
      </c>
      <c r="J27" s="4">
        <v>210</v>
      </c>
      <c r="K27" s="4">
        <v>67176.19</v>
      </c>
      <c r="L27" t="s">
        <v>27</v>
      </c>
      <c r="M27" s="4">
        <v>210</v>
      </c>
      <c r="N27" s="3">
        <v>0</v>
      </c>
      <c r="O27" t="s">
        <v>110</v>
      </c>
      <c r="P27" t="s">
        <v>113</v>
      </c>
      <c r="Q27" t="s">
        <v>110</v>
      </c>
      <c r="R27" t="str">
        <f t="shared" si="1"/>
        <v>Sim</v>
      </c>
      <c r="S27" t="s">
        <v>110</v>
      </c>
      <c r="T27" t="s">
        <v>114</v>
      </c>
      <c r="U27" t="s">
        <v>49</v>
      </c>
      <c r="V27" s="3">
        <v>210</v>
      </c>
      <c r="W27" t="s">
        <v>49</v>
      </c>
      <c r="X27" s="3">
        <v>210</v>
      </c>
    </row>
    <row r="28" spans="1:24" s="2" customFormat="1" x14ac:dyDescent="0.2">
      <c r="A28" s="2">
        <v>28</v>
      </c>
      <c r="B28" t="s">
        <v>71</v>
      </c>
      <c r="C28" t="s">
        <v>72</v>
      </c>
      <c r="D28" t="s">
        <v>112</v>
      </c>
      <c r="E28" t="s">
        <v>30</v>
      </c>
      <c r="F28" t="s">
        <v>24</v>
      </c>
      <c r="G28" t="s">
        <v>25</v>
      </c>
      <c r="H28" t="str">
        <f t="shared" si="0"/>
        <v>GENIO DO MARMORE | Recorrência: | Observações: GAPAZ_ORÇ 25588</v>
      </c>
      <c r="I28" t="s">
        <v>26</v>
      </c>
      <c r="J28" s="4">
        <v>210</v>
      </c>
      <c r="K28" s="4">
        <v>67386.19</v>
      </c>
      <c r="L28" t="s">
        <v>27</v>
      </c>
      <c r="M28" s="4">
        <v>210</v>
      </c>
      <c r="N28" s="3">
        <v>0</v>
      </c>
      <c r="O28" t="s">
        <v>115</v>
      </c>
      <c r="P28" t="s">
        <v>69</v>
      </c>
      <c r="Q28" t="s">
        <v>116</v>
      </c>
      <c r="R28" t="str">
        <f t="shared" si="1"/>
        <v>Sim</v>
      </c>
      <c r="S28" t="s">
        <v>116</v>
      </c>
      <c r="T28" t="s">
        <v>117</v>
      </c>
      <c r="U28" t="s">
        <v>49</v>
      </c>
      <c r="V28" s="3">
        <v>210</v>
      </c>
      <c r="W28" t="s">
        <v>49</v>
      </c>
      <c r="X28" s="3">
        <v>210</v>
      </c>
    </row>
    <row r="29" spans="1:24" s="2" customFormat="1" x14ac:dyDescent="0.2">
      <c r="A29">
        <v>29</v>
      </c>
      <c r="B29" t="s">
        <v>45</v>
      </c>
      <c r="C29" t="s">
        <v>46</v>
      </c>
      <c r="D29" t="s">
        <v>118</v>
      </c>
      <c r="E29" t="s">
        <v>30</v>
      </c>
      <c r="F29" t="s">
        <v>24</v>
      </c>
      <c r="G29" t="s">
        <v>25</v>
      </c>
      <c r="H29" t="str">
        <f t="shared" si="0"/>
        <v>JRJ TECIDOS_ROTERGAN TECIDOS  | Recorrência: | Observações: Pedido 67459</v>
      </c>
      <c r="I29" t="s">
        <v>26</v>
      </c>
      <c r="J29" s="4">
        <v>150</v>
      </c>
      <c r="K29" s="4">
        <v>67536.19</v>
      </c>
      <c r="L29" t="s">
        <v>27</v>
      </c>
      <c r="M29" s="4">
        <v>150</v>
      </c>
      <c r="N29" s="3">
        <v>0</v>
      </c>
      <c r="O29" t="s">
        <v>116</v>
      </c>
      <c r="P29" t="s">
        <v>119</v>
      </c>
      <c r="Q29" t="s">
        <v>116</v>
      </c>
      <c r="R29" t="str">
        <f t="shared" si="1"/>
        <v>Sim</v>
      </c>
      <c r="S29" t="s">
        <v>116</v>
      </c>
      <c r="T29" t="s">
        <v>120</v>
      </c>
      <c r="U29" t="s">
        <v>49</v>
      </c>
      <c r="V29" s="3">
        <v>150</v>
      </c>
      <c r="W29" t="s">
        <v>49</v>
      </c>
      <c r="X29" s="3">
        <v>150</v>
      </c>
    </row>
    <row r="30" spans="1:24" s="2" customFormat="1" x14ac:dyDescent="0.2">
      <c r="A30" s="2">
        <v>30</v>
      </c>
      <c r="B30"/>
      <c r="C30" t="s">
        <v>40</v>
      </c>
      <c r="D30" t="s">
        <v>121</v>
      </c>
      <c r="E30" t="s">
        <v>67</v>
      </c>
      <c r="F30" t="s">
        <v>24</v>
      </c>
      <c r="G30" t="s">
        <v>25</v>
      </c>
      <c r="H30" t="str">
        <f t="shared" si="0"/>
        <v xml:space="preserve">RENATA CORALLI | Recorrência:1/2 | Observações: </v>
      </c>
      <c r="I30" t="s">
        <v>26</v>
      </c>
      <c r="J30" s="4">
        <v>800</v>
      </c>
      <c r="K30" s="4">
        <v>68336.19</v>
      </c>
      <c r="L30" t="s">
        <v>27</v>
      </c>
      <c r="M30" s="4">
        <v>800</v>
      </c>
      <c r="N30" s="3">
        <v>0</v>
      </c>
      <c r="O30" t="s">
        <v>116</v>
      </c>
      <c r="P30" t="s">
        <v>94</v>
      </c>
      <c r="Q30" t="s">
        <v>116</v>
      </c>
      <c r="R30" t="str">
        <f t="shared" si="1"/>
        <v>Sim</v>
      </c>
      <c r="S30" t="s">
        <v>116</v>
      </c>
      <c r="T30" t="s">
        <v>30</v>
      </c>
      <c r="U30" t="s">
        <v>40</v>
      </c>
      <c r="V30" s="3">
        <v>800</v>
      </c>
      <c r="W30" t="s">
        <v>32</v>
      </c>
      <c r="X30" s="3">
        <v>800</v>
      </c>
    </row>
    <row r="31" spans="1:24" s="2" customFormat="1" x14ac:dyDescent="0.2">
      <c r="A31">
        <v>31</v>
      </c>
      <c r="B31"/>
      <c r="C31"/>
      <c r="D31" t="s">
        <v>122</v>
      </c>
      <c r="E31" t="s">
        <v>30</v>
      </c>
      <c r="F31" t="s">
        <v>63</v>
      </c>
      <c r="G31" t="s">
        <v>25</v>
      </c>
      <c r="H31" t="str">
        <f t="shared" si="0"/>
        <v xml:space="preserve">LUZ - ENEL | Recorrência: | Observações: </v>
      </c>
      <c r="I31" t="s">
        <v>26</v>
      </c>
      <c r="J31" s="5">
        <v>-207.43</v>
      </c>
      <c r="K31" s="4">
        <v>68128.759999999995</v>
      </c>
      <c r="L31" t="s">
        <v>27</v>
      </c>
      <c r="M31" s="5">
        <v>-207.43</v>
      </c>
      <c r="N31" s="3">
        <v>0</v>
      </c>
      <c r="O31" t="s">
        <v>97</v>
      </c>
      <c r="P31" t="s">
        <v>123</v>
      </c>
      <c r="Q31" t="s">
        <v>124</v>
      </c>
      <c r="R31" t="str">
        <f t="shared" si="1"/>
        <v>Sim</v>
      </c>
      <c r="S31" t="s">
        <v>124</v>
      </c>
      <c r="T31" t="s">
        <v>30</v>
      </c>
      <c r="U31" t="s">
        <v>125</v>
      </c>
      <c r="V31" s="3">
        <v>-207.43</v>
      </c>
    </row>
    <row r="32" spans="1:24" s="2" customFormat="1" x14ac:dyDescent="0.2">
      <c r="A32" s="2">
        <v>32</v>
      </c>
      <c r="B32" t="s">
        <v>45</v>
      </c>
      <c r="C32" t="s">
        <v>46</v>
      </c>
      <c r="D32" t="s">
        <v>126</v>
      </c>
      <c r="E32" t="s">
        <v>30</v>
      </c>
      <c r="F32" t="s">
        <v>24</v>
      </c>
      <c r="G32" t="s">
        <v>25</v>
      </c>
      <c r="H32" t="str">
        <f t="shared" si="0"/>
        <v>OBRA FÁCIL  | Recorrência: | Observações: Créditado por: Mark Up Participações _REFERENTE PONTOS MARÇO 2021</v>
      </c>
      <c r="I32" t="s">
        <v>26</v>
      </c>
      <c r="J32" s="4">
        <v>1459.08</v>
      </c>
      <c r="K32" s="4">
        <v>69587.839999999997</v>
      </c>
      <c r="L32" t="s">
        <v>27</v>
      </c>
      <c r="M32" s="4">
        <v>1459.08</v>
      </c>
      <c r="N32" s="3">
        <v>0</v>
      </c>
      <c r="O32" t="s">
        <v>97</v>
      </c>
      <c r="P32" t="s">
        <v>110</v>
      </c>
      <c r="Q32" t="s">
        <v>97</v>
      </c>
      <c r="R32" t="str">
        <f t="shared" si="1"/>
        <v>Sim</v>
      </c>
      <c r="S32" t="s">
        <v>97</v>
      </c>
      <c r="T32" t="s">
        <v>127</v>
      </c>
      <c r="U32" t="s">
        <v>49</v>
      </c>
      <c r="V32" s="3">
        <v>1459.08</v>
      </c>
      <c r="W32" t="s">
        <v>128</v>
      </c>
      <c r="X32" s="3">
        <v>1459.08</v>
      </c>
    </row>
    <row r="33" spans="1:24" s="2" customFormat="1" x14ac:dyDescent="0.2">
      <c r="A33">
        <v>33</v>
      </c>
      <c r="B33"/>
      <c r="C33" t="s">
        <v>129</v>
      </c>
      <c r="D33" t="s">
        <v>129</v>
      </c>
      <c r="E33" t="s">
        <v>38</v>
      </c>
      <c r="F33" t="s">
        <v>24</v>
      </c>
      <c r="G33" t="s">
        <v>25</v>
      </c>
      <c r="H33" t="str">
        <f t="shared" si="0"/>
        <v xml:space="preserve">CRISTIANE UFLAKER | Recorrência:1/3 | Observações: 1º Pagamento em dinheiro </v>
      </c>
      <c r="I33" t="s">
        <v>26</v>
      </c>
      <c r="J33" s="4">
        <v>6800</v>
      </c>
      <c r="K33" s="4">
        <v>76387.839999999997</v>
      </c>
      <c r="L33" t="s">
        <v>27</v>
      </c>
      <c r="M33" s="4">
        <v>6800</v>
      </c>
      <c r="N33" s="3">
        <v>0</v>
      </c>
      <c r="O33" t="s">
        <v>97</v>
      </c>
      <c r="P33" t="s">
        <v>116</v>
      </c>
      <c r="Q33" t="s">
        <v>97</v>
      </c>
      <c r="R33" t="str">
        <f t="shared" si="1"/>
        <v>Sim</v>
      </c>
      <c r="S33" t="s">
        <v>97</v>
      </c>
      <c r="T33" t="s">
        <v>130</v>
      </c>
      <c r="U33" t="s">
        <v>31</v>
      </c>
      <c r="V33" s="3">
        <v>6800</v>
      </c>
      <c r="W33" t="s">
        <v>32</v>
      </c>
      <c r="X33" s="3">
        <v>6800</v>
      </c>
    </row>
    <row r="34" spans="1:24" s="2" customFormat="1" x14ac:dyDescent="0.2">
      <c r="A34" s="2">
        <v>34</v>
      </c>
      <c r="B34"/>
      <c r="C34" t="s">
        <v>57</v>
      </c>
      <c r="D34" t="s">
        <v>59</v>
      </c>
      <c r="E34" t="s">
        <v>131</v>
      </c>
      <c r="F34" t="s">
        <v>24</v>
      </c>
      <c r="G34" t="s">
        <v>25</v>
      </c>
      <c r="H34" t="str">
        <f t="shared" si="0"/>
        <v xml:space="preserve">ESPAÇO REFORMAR ( DMP REFORMAS) | Recorrência:2/6 | Observações: </v>
      </c>
      <c r="I34" t="s">
        <v>26</v>
      </c>
      <c r="J34" s="4">
        <v>2596.2399999999998</v>
      </c>
      <c r="K34" s="4">
        <v>78984.08</v>
      </c>
      <c r="L34" t="s">
        <v>27</v>
      </c>
      <c r="M34" s="4">
        <v>2596.2399999999998</v>
      </c>
      <c r="N34" s="3">
        <v>0</v>
      </c>
      <c r="O34" t="s">
        <v>98</v>
      </c>
      <c r="P34" t="s">
        <v>132</v>
      </c>
      <c r="Q34" t="s">
        <v>116</v>
      </c>
      <c r="R34" t="str">
        <f t="shared" si="1"/>
        <v>Sim</v>
      </c>
      <c r="S34" t="s">
        <v>116</v>
      </c>
      <c r="T34" t="s">
        <v>30</v>
      </c>
      <c r="U34" t="s">
        <v>49</v>
      </c>
      <c r="V34" s="3">
        <v>2596.2399999999998</v>
      </c>
      <c r="W34" t="s">
        <v>49</v>
      </c>
      <c r="X34" s="3">
        <v>2596.2399999999998</v>
      </c>
    </row>
    <row r="35" spans="1:24" s="2" customFormat="1" x14ac:dyDescent="0.2">
      <c r="A35">
        <v>35</v>
      </c>
      <c r="B35" t="s">
        <v>71</v>
      </c>
      <c r="C35" t="s">
        <v>72</v>
      </c>
      <c r="D35" t="s">
        <v>134</v>
      </c>
      <c r="E35" t="s">
        <v>133</v>
      </c>
      <c r="F35" t="s">
        <v>24</v>
      </c>
      <c r="G35" t="s">
        <v>25</v>
      </c>
      <c r="H35" t="str">
        <f t="shared" si="0"/>
        <v xml:space="preserve">VIA MADEIRA (HAEHLIN) | Recorrência:2/5 | Observações: </v>
      </c>
      <c r="I35" t="s">
        <v>26</v>
      </c>
      <c r="J35" s="4">
        <v>2400</v>
      </c>
      <c r="K35" s="4">
        <v>81384.08</v>
      </c>
      <c r="L35" t="s">
        <v>27</v>
      </c>
      <c r="M35" s="4">
        <v>2400</v>
      </c>
      <c r="N35" s="3">
        <v>0</v>
      </c>
      <c r="O35" t="s">
        <v>98</v>
      </c>
      <c r="P35" t="s">
        <v>135</v>
      </c>
      <c r="Q35" t="s">
        <v>98</v>
      </c>
      <c r="R35" t="str">
        <f t="shared" si="1"/>
        <v>Sim</v>
      </c>
      <c r="S35" t="s">
        <v>98</v>
      </c>
      <c r="T35" t="s">
        <v>30</v>
      </c>
      <c r="U35" t="s">
        <v>49</v>
      </c>
      <c r="V35" s="3">
        <v>2400</v>
      </c>
      <c r="W35" t="s">
        <v>49</v>
      </c>
      <c r="X35" s="3">
        <v>2400</v>
      </c>
    </row>
    <row r="36" spans="1:24" s="2" customFormat="1" x14ac:dyDescent="0.2">
      <c r="A36" s="2">
        <v>36</v>
      </c>
      <c r="B36" t="s">
        <v>45</v>
      </c>
      <c r="C36" t="s">
        <v>46</v>
      </c>
      <c r="D36" t="s">
        <v>47</v>
      </c>
      <c r="E36" t="s">
        <v>67</v>
      </c>
      <c r="F36" t="s">
        <v>24</v>
      </c>
      <c r="G36" t="s">
        <v>25</v>
      </c>
      <c r="H36" t="str">
        <f t="shared" si="0"/>
        <v>SILVESTRE VIDROS | Recorrência:1/2 | Observações: Pedido 424119</v>
      </c>
      <c r="I36" t="s">
        <v>26</v>
      </c>
      <c r="J36" s="4">
        <v>81.96</v>
      </c>
      <c r="K36" s="4">
        <v>81466.039999999994</v>
      </c>
      <c r="L36" t="s">
        <v>27</v>
      </c>
      <c r="M36" s="4">
        <v>81.96</v>
      </c>
      <c r="N36" s="3">
        <v>0</v>
      </c>
      <c r="O36" t="s">
        <v>86</v>
      </c>
      <c r="P36" t="s">
        <v>136</v>
      </c>
      <c r="Q36" t="s">
        <v>86</v>
      </c>
      <c r="R36" t="str">
        <f t="shared" si="1"/>
        <v>Sim</v>
      </c>
      <c r="S36" t="s">
        <v>86</v>
      </c>
      <c r="T36" t="s">
        <v>137</v>
      </c>
      <c r="U36" t="s">
        <v>49</v>
      </c>
      <c r="V36" s="3">
        <v>81.96</v>
      </c>
      <c r="W36" t="s">
        <v>49</v>
      </c>
      <c r="X36" s="3">
        <v>81.96</v>
      </c>
    </row>
    <row r="37" spans="1:24" s="2" customFormat="1" x14ac:dyDescent="0.2">
      <c r="A37">
        <v>37</v>
      </c>
      <c r="B37" t="s">
        <v>45</v>
      </c>
      <c r="C37" t="s">
        <v>46</v>
      </c>
      <c r="D37" t="s">
        <v>47</v>
      </c>
      <c r="E37" t="s">
        <v>30</v>
      </c>
      <c r="F37" t="s">
        <v>24</v>
      </c>
      <c r="G37" t="s">
        <v>25</v>
      </c>
      <c r="H37" t="str">
        <f t="shared" si="0"/>
        <v>SILVESTRE VIDROS | Recorrência: | Observações: 2 de 2 Pedido 42279</v>
      </c>
      <c r="I37" t="s">
        <v>26</v>
      </c>
      <c r="J37" s="4">
        <v>118.98</v>
      </c>
      <c r="K37" s="4">
        <v>81585.02</v>
      </c>
      <c r="L37" t="s">
        <v>27</v>
      </c>
      <c r="M37" s="4">
        <v>118.98</v>
      </c>
      <c r="N37" s="3">
        <v>0</v>
      </c>
      <c r="O37" t="s">
        <v>86</v>
      </c>
      <c r="P37" t="s">
        <v>138</v>
      </c>
      <c r="Q37" t="s">
        <v>86</v>
      </c>
      <c r="R37" t="str">
        <f t="shared" si="1"/>
        <v>Sim</v>
      </c>
      <c r="S37" t="s">
        <v>86</v>
      </c>
      <c r="T37" t="s">
        <v>139</v>
      </c>
      <c r="U37" t="s">
        <v>49</v>
      </c>
      <c r="V37" s="3">
        <v>118.98</v>
      </c>
      <c r="W37" t="s">
        <v>49</v>
      </c>
      <c r="X37" s="3">
        <v>118.98</v>
      </c>
    </row>
    <row r="38" spans="1:24" s="2" customFormat="1" x14ac:dyDescent="0.2">
      <c r="A38" s="2">
        <v>38</v>
      </c>
      <c r="B38"/>
      <c r="C38" t="s">
        <v>101</v>
      </c>
      <c r="D38" t="s">
        <v>141</v>
      </c>
      <c r="E38" t="s">
        <v>30</v>
      </c>
      <c r="F38" t="s">
        <v>24</v>
      </c>
      <c r="G38" t="s">
        <v>25</v>
      </c>
      <c r="H38" t="str">
        <f t="shared" si="0"/>
        <v>CONSTRUFLAMA (TECNOFLAMA) | Recorrência: | Observações: Ref:pedidos 31037 e 15298</v>
      </c>
      <c r="I38" t="s">
        <v>26</v>
      </c>
      <c r="J38" s="4">
        <v>1215.81</v>
      </c>
      <c r="K38" s="4">
        <v>82800.83</v>
      </c>
      <c r="L38" t="s">
        <v>27</v>
      </c>
      <c r="M38" s="4">
        <v>1215.81</v>
      </c>
      <c r="N38" s="3">
        <v>0</v>
      </c>
      <c r="O38" t="s">
        <v>140</v>
      </c>
      <c r="P38" t="s">
        <v>142</v>
      </c>
      <c r="Q38" t="s">
        <v>92</v>
      </c>
      <c r="R38" t="str">
        <f t="shared" si="1"/>
        <v>Sim</v>
      </c>
      <c r="S38" t="s">
        <v>92</v>
      </c>
      <c r="T38" t="s">
        <v>143</v>
      </c>
      <c r="U38" t="s">
        <v>49</v>
      </c>
      <c r="V38" s="3">
        <v>1215.81</v>
      </c>
      <c r="W38" t="s">
        <v>49</v>
      </c>
      <c r="X38" s="3">
        <v>1215.81</v>
      </c>
    </row>
    <row r="39" spans="1:24" s="2" customFormat="1" x14ac:dyDescent="0.2">
      <c r="A39">
        <v>39</v>
      </c>
      <c r="B39"/>
      <c r="C39"/>
      <c r="D39" t="s">
        <v>101</v>
      </c>
      <c r="E39" t="s">
        <v>30</v>
      </c>
      <c r="F39" t="s">
        <v>24</v>
      </c>
      <c r="G39" t="s">
        <v>25</v>
      </c>
      <c r="H39" t="str">
        <f t="shared" si="0"/>
        <v xml:space="preserve">PAULA RISO E DANIEL | Recorrência: | Observações: </v>
      </c>
      <c r="I39" t="s">
        <v>26</v>
      </c>
      <c r="J39" s="4">
        <v>31752</v>
      </c>
      <c r="K39" s="4">
        <v>114552.83</v>
      </c>
      <c r="L39" t="s">
        <v>27</v>
      </c>
      <c r="M39" s="4">
        <v>31752</v>
      </c>
      <c r="N39" s="3">
        <v>0</v>
      </c>
      <c r="O39" t="s">
        <v>124</v>
      </c>
      <c r="P39" t="s">
        <v>144</v>
      </c>
      <c r="Q39" t="s">
        <v>145</v>
      </c>
      <c r="R39" t="str">
        <f t="shared" si="1"/>
        <v>Sim</v>
      </c>
      <c r="S39" t="s">
        <v>145</v>
      </c>
      <c r="T39" t="s">
        <v>30</v>
      </c>
      <c r="U39" t="s">
        <v>146</v>
      </c>
      <c r="V39" s="3">
        <v>31752</v>
      </c>
    </row>
    <row r="40" spans="1:24" s="2" customFormat="1" x14ac:dyDescent="0.2">
      <c r="A40" s="2">
        <v>40</v>
      </c>
      <c r="B40" t="s">
        <v>45</v>
      </c>
      <c r="C40" t="s">
        <v>46</v>
      </c>
      <c r="D40" t="s">
        <v>112</v>
      </c>
      <c r="E40" t="s">
        <v>30</v>
      </c>
      <c r="F40" t="s">
        <v>24</v>
      </c>
      <c r="G40" t="s">
        <v>25</v>
      </c>
      <c r="H40" t="str">
        <f t="shared" si="0"/>
        <v xml:space="preserve">GENIO DO MARMORE | Recorrência: | Observações: </v>
      </c>
      <c r="I40" t="s">
        <v>26</v>
      </c>
      <c r="J40" s="4">
        <v>150</v>
      </c>
      <c r="K40" s="4">
        <v>114702.83</v>
      </c>
      <c r="L40" t="s">
        <v>27</v>
      </c>
      <c r="M40" s="4">
        <v>150</v>
      </c>
      <c r="N40" s="3">
        <v>0</v>
      </c>
      <c r="O40" t="s">
        <v>87</v>
      </c>
      <c r="P40" t="s">
        <v>87</v>
      </c>
      <c r="Q40" t="s">
        <v>87</v>
      </c>
      <c r="R40" t="str">
        <f t="shared" si="1"/>
        <v>Sim</v>
      </c>
      <c r="S40" t="s">
        <v>87</v>
      </c>
      <c r="T40" t="s">
        <v>30</v>
      </c>
      <c r="U40" t="s">
        <v>49</v>
      </c>
      <c r="V40" s="3">
        <v>150</v>
      </c>
      <c r="W40" t="s">
        <v>49</v>
      </c>
      <c r="X40" s="3">
        <v>150</v>
      </c>
    </row>
    <row r="41" spans="1:24" s="2" customFormat="1" x14ac:dyDescent="0.2">
      <c r="A41">
        <v>41</v>
      </c>
      <c r="B41" t="s">
        <v>84</v>
      </c>
      <c r="C41" t="s">
        <v>85</v>
      </c>
      <c r="D41" t="s">
        <v>149</v>
      </c>
      <c r="E41" t="s">
        <v>148</v>
      </c>
      <c r="F41" t="s">
        <v>24</v>
      </c>
      <c r="G41" t="s">
        <v>25</v>
      </c>
      <c r="H41" t="str">
        <f t="shared" si="0"/>
        <v xml:space="preserve">JULIANA COVINO e THIAGO LUIZ RAPUANO | Recorrência:3/3 | Observações: </v>
      </c>
      <c r="I41" t="s">
        <v>26</v>
      </c>
      <c r="J41" s="4">
        <v>5400</v>
      </c>
      <c r="K41" s="4">
        <v>120102.83</v>
      </c>
      <c r="L41" t="s">
        <v>27</v>
      </c>
      <c r="M41" s="4">
        <v>5400</v>
      </c>
      <c r="N41" s="3">
        <v>0</v>
      </c>
      <c r="O41" t="s">
        <v>147</v>
      </c>
      <c r="P41" t="s">
        <v>150</v>
      </c>
      <c r="Q41" t="s">
        <v>147</v>
      </c>
      <c r="R41" t="str">
        <f t="shared" si="1"/>
        <v>Sim</v>
      </c>
      <c r="S41" t="s">
        <v>147</v>
      </c>
      <c r="T41" t="s">
        <v>30</v>
      </c>
      <c r="U41" t="s">
        <v>40</v>
      </c>
      <c r="V41" s="3">
        <v>5400</v>
      </c>
    </row>
    <row r="42" spans="1:24" s="2" customFormat="1" x14ac:dyDescent="0.2">
      <c r="A42" s="2">
        <v>42</v>
      </c>
      <c r="B42"/>
      <c r="C42"/>
      <c r="D42" t="s">
        <v>151</v>
      </c>
      <c r="E42" t="s">
        <v>30</v>
      </c>
      <c r="F42" t="s">
        <v>63</v>
      </c>
      <c r="G42" t="s">
        <v>25</v>
      </c>
      <c r="H42" t="str">
        <f t="shared" si="0"/>
        <v xml:space="preserve">SODEXO - Eliane  | Recorrência: | Observações: </v>
      </c>
      <c r="I42" t="s">
        <v>26</v>
      </c>
      <c r="J42" s="5">
        <v>-567</v>
      </c>
      <c r="K42" s="4">
        <v>119535.83</v>
      </c>
      <c r="L42" t="s">
        <v>27</v>
      </c>
      <c r="M42" s="5">
        <v>-567</v>
      </c>
      <c r="N42" s="3">
        <v>0</v>
      </c>
      <c r="O42" t="s">
        <v>147</v>
      </c>
      <c r="P42" t="s">
        <v>92</v>
      </c>
      <c r="Q42" t="s">
        <v>152</v>
      </c>
      <c r="R42" t="str">
        <f t="shared" si="1"/>
        <v>Sim</v>
      </c>
      <c r="S42" t="s">
        <v>152</v>
      </c>
      <c r="T42" t="s">
        <v>30</v>
      </c>
      <c r="U42" t="s">
        <v>93</v>
      </c>
      <c r="V42" s="3">
        <v>-567</v>
      </c>
    </row>
    <row r="43" spans="1:24" s="2" customFormat="1" x14ac:dyDescent="0.2">
      <c r="A43">
        <v>43</v>
      </c>
      <c r="B43"/>
      <c r="C43" t="s">
        <v>153</v>
      </c>
      <c r="D43" t="s">
        <v>154</v>
      </c>
      <c r="E43" t="s">
        <v>30</v>
      </c>
      <c r="F43" t="s">
        <v>63</v>
      </c>
      <c r="G43" t="s">
        <v>25</v>
      </c>
      <c r="H43" t="str">
        <f t="shared" si="0"/>
        <v xml:space="preserve">DOUTORES DA LIMPEZA | Recorrência: | Observações: PAGAMENTO PARCIAL DEVIDO CANCELAMENTO </v>
      </c>
      <c r="I43" t="s">
        <v>26</v>
      </c>
      <c r="J43" s="5">
        <v>-228</v>
      </c>
      <c r="K43" s="4">
        <v>119307.83</v>
      </c>
      <c r="L43" t="s">
        <v>27</v>
      </c>
      <c r="M43" s="5">
        <v>-228</v>
      </c>
      <c r="N43" s="3">
        <v>0</v>
      </c>
      <c r="O43" t="s">
        <v>147</v>
      </c>
      <c r="P43" t="s">
        <v>147</v>
      </c>
      <c r="Q43" t="s">
        <v>155</v>
      </c>
      <c r="R43" t="str">
        <f t="shared" si="1"/>
        <v>Sim</v>
      </c>
      <c r="S43" t="s">
        <v>155</v>
      </c>
      <c r="T43" t="s">
        <v>156</v>
      </c>
      <c r="U43" t="s">
        <v>157</v>
      </c>
      <c r="V43" s="3">
        <v>-228</v>
      </c>
      <c r="W43" t="s">
        <v>158</v>
      </c>
      <c r="X43" s="3">
        <v>-228</v>
      </c>
    </row>
    <row r="44" spans="1:24" s="2" customFormat="1" x14ac:dyDescent="0.2">
      <c r="A44" s="2">
        <v>44</v>
      </c>
      <c r="B44"/>
      <c r="C44" t="s">
        <v>153</v>
      </c>
      <c r="D44" t="s">
        <v>159</v>
      </c>
      <c r="E44" t="s">
        <v>30</v>
      </c>
      <c r="F44" t="s">
        <v>63</v>
      </c>
      <c r="G44" t="s">
        <v>25</v>
      </c>
      <c r="H44" t="str">
        <f t="shared" si="0"/>
        <v xml:space="preserve">DIARISTA JULIANA  | Recorrência: | Observações: Referente 01 diária </v>
      </c>
      <c r="I44" t="s">
        <v>26</v>
      </c>
      <c r="J44" s="5">
        <v>-80</v>
      </c>
      <c r="K44" s="4">
        <v>119227.83</v>
      </c>
      <c r="L44" t="s">
        <v>27</v>
      </c>
      <c r="M44" s="5">
        <v>-80</v>
      </c>
      <c r="N44" s="3">
        <v>0</v>
      </c>
      <c r="O44" t="s">
        <v>155</v>
      </c>
      <c r="P44" t="s">
        <v>124</v>
      </c>
      <c r="Q44" t="s">
        <v>155</v>
      </c>
      <c r="R44" t="str">
        <f t="shared" si="1"/>
        <v>Sim</v>
      </c>
      <c r="S44" t="s">
        <v>155</v>
      </c>
      <c r="T44" t="s">
        <v>160</v>
      </c>
      <c r="U44" t="s">
        <v>158</v>
      </c>
      <c r="V44" s="3">
        <v>-80</v>
      </c>
    </row>
    <row r="45" spans="1:24" s="2" customFormat="1" x14ac:dyDescent="0.2">
      <c r="A45">
        <v>45</v>
      </c>
      <c r="B45"/>
      <c r="C45"/>
      <c r="D45" t="s">
        <v>89</v>
      </c>
      <c r="E45" t="s">
        <v>34</v>
      </c>
      <c r="F45" t="s">
        <v>24</v>
      </c>
      <c r="G45" t="s">
        <v>25</v>
      </c>
      <c r="H45" t="str">
        <f t="shared" si="0"/>
        <v xml:space="preserve">ANA PAULA CALFA | Recorrência:2/4 | Observações: </v>
      </c>
      <c r="I45" t="s">
        <v>26</v>
      </c>
      <c r="J45" s="4">
        <v>8750</v>
      </c>
      <c r="K45" s="4">
        <v>127977.83</v>
      </c>
      <c r="L45" t="s">
        <v>27</v>
      </c>
      <c r="M45" s="4">
        <v>8750</v>
      </c>
      <c r="N45" s="3">
        <v>0</v>
      </c>
      <c r="O45" t="s">
        <v>161</v>
      </c>
      <c r="P45" t="s">
        <v>155</v>
      </c>
      <c r="Q45" t="s">
        <v>161</v>
      </c>
      <c r="R45" t="str">
        <f t="shared" si="1"/>
        <v>Sim</v>
      </c>
      <c r="S45" t="s">
        <v>161</v>
      </c>
      <c r="T45" t="s">
        <v>30</v>
      </c>
      <c r="U45" t="s">
        <v>40</v>
      </c>
      <c r="V45" s="3">
        <v>8750</v>
      </c>
    </row>
    <row r="46" spans="1:24" s="2" customFormat="1" x14ac:dyDescent="0.2">
      <c r="A46" s="2">
        <v>46</v>
      </c>
      <c r="B46"/>
      <c r="C46" t="s">
        <v>121</v>
      </c>
      <c r="D46" t="s">
        <v>121</v>
      </c>
      <c r="E46" t="s">
        <v>95</v>
      </c>
      <c r="F46" t="s">
        <v>24</v>
      </c>
      <c r="G46" t="s">
        <v>25</v>
      </c>
      <c r="H46" t="str">
        <f t="shared" si="0"/>
        <v>RENATA CORALLI | Recorrência:2/2 | Observações: Referente Maio</v>
      </c>
      <c r="I46" t="s">
        <v>26</v>
      </c>
      <c r="J46" s="4">
        <v>800</v>
      </c>
      <c r="K46" s="4">
        <v>128777.83</v>
      </c>
      <c r="L46" t="s">
        <v>27</v>
      </c>
      <c r="M46" s="4">
        <v>800</v>
      </c>
      <c r="N46" s="3">
        <v>0</v>
      </c>
      <c r="O46" t="s">
        <v>162</v>
      </c>
      <c r="P46" t="s">
        <v>163</v>
      </c>
      <c r="Q46" t="s">
        <v>164</v>
      </c>
      <c r="R46" t="str">
        <f t="shared" si="1"/>
        <v>Sim</v>
      </c>
      <c r="S46" t="s">
        <v>164</v>
      </c>
      <c r="T46" t="s">
        <v>165</v>
      </c>
      <c r="U46" t="s">
        <v>40</v>
      </c>
      <c r="V46" s="3">
        <v>800</v>
      </c>
      <c r="W46" t="s">
        <v>166</v>
      </c>
      <c r="X46" s="3">
        <v>800</v>
      </c>
    </row>
    <row r="47" spans="1:24" s="2" customFormat="1" x14ac:dyDescent="0.2">
      <c r="A47">
        <v>47</v>
      </c>
      <c r="B47"/>
      <c r="C47" t="s">
        <v>168</v>
      </c>
      <c r="D47" t="s">
        <v>169</v>
      </c>
      <c r="E47" t="s">
        <v>30</v>
      </c>
      <c r="F47" t="s">
        <v>24</v>
      </c>
      <c r="G47" t="s">
        <v>25</v>
      </c>
      <c r="H47" t="str">
        <f t="shared" si="0"/>
        <v>GRUPO ULTRA CLEAN | Recorrência: | Observações: Serviço de impermeabilização</v>
      </c>
      <c r="I47" t="s">
        <v>26</v>
      </c>
      <c r="J47" s="4">
        <v>448.53</v>
      </c>
      <c r="K47" s="4">
        <v>129226.36</v>
      </c>
      <c r="L47" t="s">
        <v>27</v>
      </c>
      <c r="M47" s="4">
        <v>448.53</v>
      </c>
      <c r="N47" s="3">
        <v>0</v>
      </c>
      <c r="O47" t="s">
        <v>167</v>
      </c>
      <c r="P47" t="s">
        <v>140</v>
      </c>
      <c r="Q47" t="s">
        <v>167</v>
      </c>
      <c r="R47" t="str">
        <f t="shared" si="1"/>
        <v>Sim</v>
      </c>
      <c r="S47" t="s">
        <v>167</v>
      </c>
      <c r="T47" t="s">
        <v>170</v>
      </c>
      <c r="U47" t="s">
        <v>49</v>
      </c>
      <c r="V47" s="3">
        <v>448.53</v>
      </c>
      <c r="W47" t="s">
        <v>49</v>
      </c>
      <c r="X47" s="3">
        <v>448.53</v>
      </c>
    </row>
    <row r="48" spans="1:24" s="2" customFormat="1" x14ac:dyDescent="0.2">
      <c r="A48" s="2">
        <v>48</v>
      </c>
      <c r="B48" t="s">
        <v>106</v>
      </c>
      <c r="C48" t="s">
        <v>107</v>
      </c>
      <c r="D48" t="s">
        <v>39</v>
      </c>
      <c r="E48" t="s">
        <v>38</v>
      </c>
      <c r="F48" t="s">
        <v>24</v>
      </c>
      <c r="G48" t="s">
        <v>25</v>
      </c>
      <c r="H48" t="str">
        <f t="shared" si="0"/>
        <v xml:space="preserve">FAUSTO VARGAS BOLDRINI _MARIEL ROMANI  | Recorrência:1/3 | Observações: </v>
      </c>
      <c r="I48" t="s">
        <v>26</v>
      </c>
      <c r="J48" s="4">
        <v>2400</v>
      </c>
      <c r="K48" s="4">
        <v>131626.35999999999</v>
      </c>
      <c r="L48" t="s">
        <v>27</v>
      </c>
      <c r="M48" s="4">
        <v>2400</v>
      </c>
      <c r="N48" s="3">
        <v>0</v>
      </c>
      <c r="O48" t="s">
        <v>171</v>
      </c>
      <c r="P48" t="s">
        <v>37</v>
      </c>
      <c r="Q48" t="s">
        <v>172</v>
      </c>
      <c r="R48" t="str">
        <f t="shared" si="1"/>
        <v>Sim</v>
      </c>
      <c r="S48" t="s">
        <v>172</v>
      </c>
      <c r="T48" t="s">
        <v>30</v>
      </c>
      <c r="U48" t="s">
        <v>40</v>
      </c>
      <c r="V48" s="3">
        <v>2400</v>
      </c>
    </row>
    <row r="49" spans="1:24" s="2" customFormat="1" x14ac:dyDescent="0.2">
      <c r="A49">
        <v>49</v>
      </c>
      <c r="B49"/>
      <c r="C49" t="s">
        <v>174</v>
      </c>
      <c r="D49" t="s">
        <v>175</v>
      </c>
      <c r="E49" t="s">
        <v>30</v>
      </c>
      <c r="F49" t="s">
        <v>24</v>
      </c>
      <c r="G49" t="s">
        <v>25</v>
      </c>
      <c r="H49" t="str">
        <f t="shared" si="0"/>
        <v>PORTOBELLO (PBTECH E SERV) | Recorrência: | Observações: NF 00131 total incluindo Gapaz e Paula Riso e Patricia</v>
      </c>
      <c r="I49" t="s">
        <v>26</v>
      </c>
      <c r="J49" s="4">
        <v>4186.66</v>
      </c>
      <c r="K49" s="4">
        <v>135813.01999999999</v>
      </c>
      <c r="L49" t="s">
        <v>27</v>
      </c>
      <c r="M49" s="4">
        <v>4186.66</v>
      </c>
      <c r="N49" s="3">
        <v>0</v>
      </c>
      <c r="O49" t="s">
        <v>173</v>
      </c>
      <c r="P49" t="s">
        <v>90</v>
      </c>
      <c r="Q49" t="s">
        <v>173</v>
      </c>
      <c r="R49" t="str">
        <f t="shared" si="1"/>
        <v>Sim</v>
      </c>
      <c r="S49" t="s">
        <v>173</v>
      </c>
      <c r="T49" t="s">
        <v>176</v>
      </c>
      <c r="U49" t="s">
        <v>49</v>
      </c>
      <c r="V49" s="3">
        <v>4186.66</v>
      </c>
      <c r="W49" t="s">
        <v>49</v>
      </c>
      <c r="X49" s="3">
        <v>4186.66</v>
      </c>
    </row>
    <row r="50" spans="1:24" s="2" customFormat="1" x14ac:dyDescent="0.2">
      <c r="A50" s="2">
        <v>50</v>
      </c>
      <c r="B50"/>
      <c r="C50" t="s">
        <v>101</v>
      </c>
      <c r="D50" t="s">
        <v>177</v>
      </c>
      <c r="E50" t="s">
        <v>30</v>
      </c>
      <c r="F50" t="s">
        <v>24</v>
      </c>
      <c r="G50" t="s">
        <v>25</v>
      </c>
      <c r="H50" t="str">
        <f t="shared" si="0"/>
        <v xml:space="preserve">PASINATO ( STUDIO ARQU BR) | Recorrência: | Observações: 10%RT_Pago em até 10 dias após confirmação da entrega do material </v>
      </c>
      <c r="I50" t="s">
        <v>26</v>
      </c>
      <c r="J50" s="4">
        <v>599.33000000000004</v>
      </c>
      <c r="K50" s="4">
        <v>136412.35</v>
      </c>
      <c r="L50" t="s">
        <v>27</v>
      </c>
      <c r="M50" s="4">
        <v>599.33000000000004</v>
      </c>
      <c r="N50" s="3">
        <v>0</v>
      </c>
      <c r="O50" t="s">
        <v>173</v>
      </c>
      <c r="P50" t="s">
        <v>44</v>
      </c>
      <c r="Q50" t="s">
        <v>178</v>
      </c>
      <c r="R50" t="str">
        <f t="shared" si="1"/>
        <v>Sim</v>
      </c>
      <c r="S50" t="s">
        <v>178</v>
      </c>
      <c r="T50" t="s">
        <v>179</v>
      </c>
      <c r="U50" t="s">
        <v>49</v>
      </c>
      <c r="V50" s="3">
        <v>599.33000000000004</v>
      </c>
      <c r="W50" t="s">
        <v>49</v>
      </c>
      <c r="X50" s="3">
        <v>599.33000000000004</v>
      </c>
    </row>
    <row r="51" spans="1:24" s="2" customFormat="1" x14ac:dyDescent="0.2">
      <c r="A51">
        <v>51</v>
      </c>
      <c r="B51"/>
      <c r="C51" t="s">
        <v>180</v>
      </c>
      <c r="D51" t="s">
        <v>181</v>
      </c>
      <c r="E51" t="s">
        <v>38</v>
      </c>
      <c r="F51" t="s">
        <v>24</v>
      </c>
      <c r="G51" t="s">
        <v>25</v>
      </c>
      <c r="H51" t="str">
        <f t="shared" si="0"/>
        <v xml:space="preserve">DANIELA CALITO e WILLIAM GUIDINI  | Recorrência:1/3 | Observações: </v>
      </c>
      <c r="I51" t="s">
        <v>26</v>
      </c>
      <c r="J51" s="4">
        <v>8440</v>
      </c>
      <c r="K51" s="4">
        <v>144852.35</v>
      </c>
      <c r="L51" t="s">
        <v>27</v>
      </c>
      <c r="M51" s="4">
        <v>8440</v>
      </c>
      <c r="N51" s="3">
        <v>0</v>
      </c>
      <c r="O51" t="s">
        <v>173</v>
      </c>
      <c r="P51" t="s">
        <v>155</v>
      </c>
      <c r="Q51" t="s">
        <v>173</v>
      </c>
      <c r="R51" t="str">
        <f t="shared" si="1"/>
        <v>Sim</v>
      </c>
      <c r="S51" t="s">
        <v>173</v>
      </c>
      <c r="T51" t="s">
        <v>30</v>
      </c>
      <c r="U51" t="s">
        <v>182</v>
      </c>
      <c r="V51" s="3">
        <v>8440</v>
      </c>
      <c r="W51" t="s">
        <v>32</v>
      </c>
      <c r="X51" s="3">
        <v>8440</v>
      </c>
    </row>
    <row r="52" spans="1:24" s="2" customFormat="1" x14ac:dyDescent="0.2">
      <c r="A52" s="2">
        <v>52</v>
      </c>
      <c r="B52"/>
      <c r="C52" t="s">
        <v>153</v>
      </c>
      <c r="D52" t="s">
        <v>54</v>
      </c>
      <c r="E52" t="s">
        <v>30</v>
      </c>
      <c r="F52" t="s">
        <v>24</v>
      </c>
      <c r="G52" t="s">
        <v>25</v>
      </c>
      <c r="H52" t="str">
        <f t="shared" si="0"/>
        <v xml:space="preserve">KNOT HOME | Recorrência: | Observações: </v>
      </c>
      <c r="I52" t="s">
        <v>26</v>
      </c>
      <c r="J52" s="4">
        <v>560</v>
      </c>
      <c r="K52" s="4">
        <v>145412.35</v>
      </c>
      <c r="L52" t="s">
        <v>27</v>
      </c>
      <c r="M52" s="4">
        <v>560</v>
      </c>
      <c r="N52" s="3">
        <v>0</v>
      </c>
      <c r="O52" t="s">
        <v>173</v>
      </c>
      <c r="P52" t="s">
        <v>167</v>
      </c>
      <c r="Q52" t="s">
        <v>173</v>
      </c>
      <c r="R52" t="str">
        <f t="shared" si="1"/>
        <v>Sim</v>
      </c>
      <c r="S52" t="s">
        <v>173</v>
      </c>
      <c r="T52" t="s">
        <v>30</v>
      </c>
      <c r="U52" t="s">
        <v>49</v>
      </c>
      <c r="V52" s="3">
        <v>560</v>
      </c>
      <c r="W52" t="s">
        <v>49</v>
      </c>
      <c r="X52" s="3">
        <v>560</v>
      </c>
    </row>
    <row r="53" spans="1:24" s="2" customFormat="1" x14ac:dyDescent="0.2">
      <c r="A53">
        <v>53</v>
      </c>
      <c r="B53"/>
      <c r="C53"/>
      <c r="D53" t="s">
        <v>183</v>
      </c>
      <c r="E53" t="s">
        <v>30</v>
      </c>
      <c r="F53" t="s">
        <v>24</v>
      </c>
      <c r="G53" t="s">
        <v>25</v>
      </c>
      <c r="H53" t="str">
        <f t="shared" si="0"/>
        <v xml:space="preserve">JS CONSTR AD | Recorrência: | Observações: </v>
      </c>
      <c r="I53" t="s">
        <v>26</v>
      </c>
      <c r="J53" s="4">
        <v>6750</v>
      </c>
      <c r="K53" s="4">
        <v>152162.35</v>
      </c>
      <c r="L53" t="s">
        <v>27</v>
      </c>
      <c r="M53" s="4">
        <v>6750</v>
      </c>
      <c r="N53" s="3">
        <v>0</v>
      </c>
      <c r="O53" t="s">
        <v>173</v>
      </c>
      <c r="P53" t="s">
        <v>167</v>
      </c>
      <c r="Q53" t="s">
        <v>173</v>
      </c>
      <c r="R53" t="str">
        <f t="shared" si="1"/>
        <v>Sim</v>
      </c>
      <c r="S53" t="s">
        <v>173</v>
      </c>
      <c r="T53" t="s">
        <v>30</v>
      </c>
      <c r="U53" t="s">
        <v>49</v>
      </c>
      <c r="V53" s="3">
        <v>6750</v>
      </c>
      <c r="W53" t="s">
        <v>49</v>
      </c>
      <c r="X53" s="3">
        <v>6750</v>
      </c>
    </row>
    <row r="54" spans="1:24" s="2" customFormat="1" x14ac:dyDescent="0.2">
      <c r="A54" s="2">
        <v>54</v>
      </c>
      <c r="B54" t="s">
        <v>45</v>
      </c>
      <c r="C54" t="s">
        <v>46</v>
      </c>
      <c r="D54" t="s">
        <v>185</v>
      </c>
      <c r="E54" t="s">
        <v>95</v>
      </c>
      <c r="F54" t="s">
        <v>24</v>
      </c>
      <c r="G54" t="s">
        <v>25</v>
      </c>
      <c r="H54" t="str">
        <f t="shared" si="0"/>
        <v>SILVESTRE VIDROS  | Recorrência:2/2 | Observações: Pedido 42119_05 dias apos a instalação</v>
      </c>
      <c r="I54" t="s">
        <v>26</v>
      </c>
      <c r="J54" s="4">
        <v>81.96</v>
      </c>
      <c r="K54" s="4">
        <v>152244.31</v>
      </c>
      <c r="L54" t="s">
        <v>27</v>
      </c>
      <c r="M54" s="4">
        <v>81.96</v>
      </c>
      <c r="N54" s="3">
        <v>0</v>
      </c>
      <c r="O54" t="s">
        <v>184</v>
      </c>
      <c r="P54" t="s">
        <v>186</v>
      </c>
      <c r="Q54" t="s">
        <v>187</v>
      </c>
      <c r="R54" t="str">
        <f t="shared" si="1"/>
        <v>Sim</v>
      </c>
      <c r="S54" t="s">
        <v>187</v>
      </c>
      <c r="T54" t="s">
        <v>188</v>
      </c>
      <c r="U54" t="s">
        <v>49</v>
      </c>
      <c r="V54" s="3">
        <v>81.96</v>
      </c>
      <c r="W54" t="s">
        <v>49</v>
      </c>
      <c r="X54" s="3">
        <v>81.96</v>
      </c>
    </row>
    <row r="55" spans="1:24" s="2" customFormat="1" x14ac:dyDescent="0.2">
      <c r="A55">
        <v>55</v>
      </c>
      <c r="B55"/>
      <c r="C55" t="s">
        <v>153</v>
      </c>
      <c r="D55" t="s">
        <v>122</v>
      </c>
      <c r="E55" t="s">
        <v>30</v>
      </c>
      <c r="F55" t="s">
        <v>63</v>
      </c>
      <c r="G55" t="s">
        <v>25</v>
      </c>
      <c r="H55" t="str">
        <f t="shared" si="0"/>
        <v xml:space="preserve">LUZ - ENEL | Recorrência: | Observações: </v>
      </c>
      <c r="I55" t="s">
        <v>26</v>
      </c>
      <c r="J55" s="5">
        <v>-204.56</v>
      </c>
      <c r="K55" s="4">
        <v>152039.75</v>
      </c>
      <c r="L55" t="s">
        <v>27</v>
      </c>
      <c r="M55" s="5">
        <v>-204.56</v>
      </c>
      <c r="N55" s="3">
        <v>0</v>
      </c>
      <c r="O55" t="s">
        <v>189</v>
      </c>
      <c r="P55" t="s">
        <v>105</v>
      </c>
      <c r="Q55" t="s">
        <v>189</v>
      </c>
      <c r="R55" t="str">
        <f t="shared" si="1"/>
        <v>Sim</v>
      </c>
      <c r="S55" t="s">
        <v>189</v>
      </c>
      <c r="T55" t="s">
        <v>30</v>
      </c>
      <c r="U55" t="s">
        <v>125</v>
      </c>
      <c r="V55" s="3">
        <v>-204.56</v>
      </c>
      <c r="W55" t="s">
        <v>190</v>
      </c>
      <c r="X55" s="3">
        <v>-204.56</v>
      </c>
    </row>
    <row r="56" spans="1:24" s="2" customFormat="1" x14ac:dyDescent="0.2">
      <c r="A56" s="2">
        <v>56</v>
      </c>
      <c r="B56"/>
      <c r="C56" t="s">
        <v>192</v>
      </c>
      <c r="D56" t="s">
        <v>193</v>
      </c>
      <c r="E56" t="s">
        <v>30</v>
      </c>
      <c r="F56" t="s">
        <v>24</v>
      </c>
      <c r="G56" t="s">
        <v>25</v>
      </c>
      <c r="H56" t="str">
        <f t="shared" si="0"/>
        <v xml:space="preserve">OPEN CASA | Recorrência: | Observações: </v>
      </c>
      <c r="I56" t="s">
        <v>26</v>
      </c>
      <c r="J56" s="4">
        <v>1384.68</v>
      </c>
      <c r="K56" s="4">
        <v>153424.43</v>
      </c>
      <c r="L56" t="s">
        <v>27</v>
      </c>
      <c r="M56" s="4">
        <v>1384.68</v>
      </c>
      <c r="N56" s="3">
        <v>0</v>
      </c>
      <c r="O56" t="s">
        <v>191</v>
      </c>
      <c r="P56" t="s">
        <v>173</v>
      </c>
      <c r="Q56" t="s">
        <v>191</v>
      </c>
      <c r="R56" t="str">
        <f t="shared" si="1"/>
        <v>Sim</v>
      </c>
      <c r="S56" t="s">
        <v>191</v>
      </c>
      <c r="T56" t="s">
        <v>30</v>
      </c>
      <c r="U56" t="s">
        <v>49</v>
      </c>
      <c r="V56" s="3">
        <v>1384.68</v>
      </c>
      <c r="W56" t="s">
        <v>49</v>
      </c>
      <c r="X56" s="3">
        <v>1384.68</v>
      </c>
    </row>
    <row r="57" spans="1:24" s="2" customFormat="1" x14ac:dyDescent="0.2">
      <c r="A57">
        <v>57</v>
      </c>
      <c r="B57"/>
      <c r="C57" t="s">
        <v>129</v>
      </c>
      <c r="D57" t="s">
        <v>196</v>
      </c>
      <c r="E57" t="s">
        <v>195</v>
      </c>
      <c r="F57" t="s">
        <v>24</v>
      </c>
      <c r="G57" t="s">
        <v>25</v>
      </c>
      <c r="H57" t="str">
        <f t="shared" si="0"/>
        <v>CRISTIANE UFLAKKER | Recorrência:2/3 | Observações: Cash 2º Pagamento em dinheiro 6800 pagou com diferença 150 reais_dividido nas 2 ultimas parcelas 75 reais de cada</v>
      </c>
      <c r="I57" t="s">
        <v>26</v>
      </c>
      <c r="J57" s="4">
        <v>7000</v>
      </c>
      <c r="K57" s="4">
        <v>160424.43</v>
      </c>
      <c r="L57" t="s">
        <v>27</v>
      </c>
      <c r="M57" s="4">
        <v>7000</v>
      </c>
      <c r="N57" s="3">
        <v>0</v>
      </c>
      <c r="O57" t="s">
        <v>194</v>
      </c>
      <c r="P57" t="s">
        <v>164</v>
      </c>
      <c r="Q57" t="s">
        <v>194</v>
      </c>
      <c r="R57" t="str">
        <f t="shared" si="1"/>
        <v>Sim</v>
      </c>
      <c r="S57" t="s">
        <v>194</v>
      </c>
      <c r="T57" t="s">
        <v>197</v>
      </c>
      <c r="U57" t="s">
        <v>31</v>
      </c>
      <c r="V57" s="3">
        <v>7000</v>
      </c>
      <c r="W57" t="s">
        <v>166</v>
      </c>
      <c r="X57" s="3">
        <v>7000</v>
      </c>
    </row>
    <row r="58" spans="1:24" s="2" customFormat="1" x14ac:dyDescent="0.2">
      <c r="A58" s="2">
        <v>58</v>
      </c>
      <c r="B58" t="s">
        <v>71</v>
      </c>
      <c r="C58" t="s">
        <v>72</v>
      </c>
      <c r="D58" t="s">
        <v>134</v>
      </c>
      <c r="E58" t="s">
        <v>199</v>
      </c>
      <c r="F58" t="s">
        <v>24</v>
      </c>
      <c r="G58" t="s">
        <v>25</v>
      </c>
      <c r="H58" t="str">
        <f t="shared" si="0"/>
        <v xml:space="preserve">VIA MADEIRA (HAEHLIN) | Recorrência:3/5 | Observações: </v>
      </c>
      <c r="I58" t="s">
        <v>26</v>
      </c>
      <c r="J58" s="4">
        <v>2400</v>
      </c>
      <c r="K58" s="4">
        <v>162824.43</v>
      </c>
      <c r="L58" t="s">
        <v>27</v>
      </c>
      <c r="M58" s="4">
        <v>2400</v>
      </c>
      <c r="N58" s="3">
        <v>0</v>
      </c>
      <c r="O58" t="s">
        <v>198</v>
      </c>
      <c r="P58" t="s">
        <v>171</v>
      </c>
      <c r="Q58" t="s">
        <v>198</v>
      </c>
      <c r="R58" t="str">
        <f t="shared" si="1"/>
        <v>Sim</v>
      </c>
      <c r="S58" t="s">
        <v>198</v>
      </c>
      <c r="T58" t="s">
        <v>30</v>
      </c>
      <c r="U58" t="s">
        <v>49</v>
      </c>
      <c r="V58" s="3">
        <v>2400</v>
      </c>
      <c r="W58" t="s">
        <v>49</v>
      </c>
      <c r="X58" s="3">
        <v>2400</v>
      </c>
    </row>
    <row r="59" spans="1:24" s="2" customFormat="1" x14ac:dyDescent="0.2">
      <c r="A59">
        <v>59</v>
      </c>
      <c r="B59" t="s">
        <v>71</v>
      </c>
      <c r="C59" t="s">
        <v>72</v>
      </c>
      <c r="D59" t="s">
        <v>201</v>
      </c>
      <c r="E59" t="s">
        <v>30</v>
      </c>
      <c r="F59" t="s">
        <v>24</v>
      </c>
      <c r="G59" t="s">
        <v>25</v>
      </c>
      <c r="H59" t="str">
        <f t="shared" si="0"/>
        <v>PORMADE (DRZ PORTAS ECOLOGICAS) | Recorrência: | Observações: Pedido_106111-1</v>
      </c>
      <c r="I59" t="s">
        <v>26</v>
      </c>
      <c r="J59" s="4">
        <v>313.2</v>
      </c>
      <c r="K59" s="4">
        <v>163137.63</v>
      </c>
      <c r="L59" t="s">
        <v>27</v>
      </c>
      <c r="M59" s="4">
        <v>313.2</v>
      </c>
      <c r="N59" s="3">
        <v>0</v>
      </c>
      <c r="O59" t="s">
        <v>200</v>
      </c>
      <c r="P59" t="s">
        <v>92</v>
      </c>
      <c r="Q59" t="s">
        <v>173</v>
      </c>
      <c r="R59" t="str">
        <f t="shared" si="1"/>
        <v>Sim</v>
      </c>
      <c r="S59" t="s">
        <v>173</v>
      </c>
      <c r="T59" t="s">
        <v>202</v>
      </c>
      <c r="U59" t="s">
        <v>49</v>
      </c>
      <c r="V59" s="3">
        <v>313.2</v>
      </c>
      <c r="W59" t="s">
        <v>203</v>
      </c>
      <c r="X59" s="3">
        <v>313.2</v>
      </c>
    </row>
    <row r="60" spans="1:24" s="2" customFormat="1" x14ac:dyDescent="0.2">
      <c r="A60" s="2">
        <v>60</v>
      </c>
      <c r="B60"/>
      <c r="C60" t="s">
        <v>204</v>
      </c>
      <c r="D60" t="s">
        <v>175</v>
      </c>
      <c r="E60" t="s">
        <v>30</v>
      </c>
      <c r="F60" t="s">
        <v>24</v>
      </c>
      <c r="G60" t="s">
        <v>25</v>
      </c>
      <c r="H60" t="str">
        <f t="shared" si="0"/>
        <v>PORTOBELLO (PBTECH E SERV) | Recorrência: | Observações: NF 132 reserva técnica Orç_0324458</v>
      </c>
      <c r="I60" t="s">
        <v>26</v>
      </c>
      <c r="J60" s="4">
        <v>627.92999999999995</v>
      </c>
      <c r="K60" s="4">
        <v>163765.56</v>
      </c>
      <c r="L60" t="s">
        <v>27</v>
      </c>
      <c r="M60" s="4">
        <v>627.92999999999995</v>
      </c>
      <c r="N60" s="3">
        <v>0</v>
      </c>
      <c r="O60" t="s">
        <v>200</v>
      </c>
      <c r="P60" t="s">
        <v>113</v>
      </c>
      <c r="Q60" t="s">
        <v>200</v>
      </c>
      <c r="R60" t="str">
        <f t="shared" si="1"/>
        <v>Sim</v>
      </c>
      <c r="S60" t="s">
        <v>200</v>
      </c>
      <c r="T60" t="s">
        <v>205</v>
      </c>
      <c r="U60" t="s">
        <v>49</v>
      </c>
      <c r="V60" s="3">
        <v>627.92999999999995</v>
      </c>
      <c r="W60" t="s">
        <v>49</v>
      </c>
      <c r="X60" s="3">
        <v>627.92999999999995</v>
      </c>
    </row>
    <row r="61" spans="1:24" s="2" customFormat="1" x14ac:dyDescent="0.2">
      <c r="A61">
        <v>61</v>
      </c>
      <c r="B61"/>
      <c r="C61" t="s">
        <v>206</v>
      </c>
      <c r="D61" t="s">
        <v>207</v>
      </c>
      <c r="E61" t="s">
        <v>30</v>
      </c>
      <c r="F61" t="s">
        <v>24</v>
      </c>
      <c r="G61" t="s">
        <v>25</v>
      </c>
      <c r="H61" t="str">
        <f t="shared" si="0"/>
        <v>OBRA FÁCIL (MARK UP PART) | Recorrência: | Observações: PONTOS 18/05/</v>
      </c>
      <c r="I61" t="s">
        <v>26</v>
      </c>
      <c r="J61" s="4">
        <v>281.23</v>
      </c>
      <c r="K61" s="4">
        <v>164046.79</v>
      </c>
      <c r="L61" t="s">
        <v>27</v>
      </c>
      <c r="M61" s="4">
        <v>281.23</v>
      </c>
      <c r="N61" s="3">
        <v>0</v>
      </c>
      <c r="O61" t="s">
        <v>200</v>
      </c>
      <c r="P61" t="s">
        <v>144</v>
      </c>
      <c r="Q61" t="s">
        <v>200</v>
      </c>
      <c r="R61" t="str">
        <f t="shared" si="1"/>
        <v>Sim</v>
      </c>
      <c r="S61" t="s">
        <v>200</v>
      </c>
      <c r="T61" t="s">
        <v>208</v>
      </c>
      <c r="U61" t="s">
        <v>49</v>
      </c>
      <c r="V61" s="3">
        <v>281.23</v>
      </c>
      <c r="W61" t="s">
        <v>49</v>
      </c>
      <c r="X61" s="3">
        <v>281.23</v>
      </c>
    </row>
    <row r="62" spans="1:24" s="2" customFormat="1" x14ac:dyDescent="0.2">
      <c r="A62" s="2">
        <v>62</v>
      </c>
      <c r="B62"/>
      <c r="C62" t="s">
        <v>57</v>
      </c>
      <c r="D62" t="s">
        <v>59</v>
      </c>
      <c r="E62" t="s">
        <v>210</v>
      </c>
      <c r="F62" t="s">
        <v>24</v>
      </c>
      <c r="G62" t="s">
        <v>25</v>
      </c>
      <c r="H62" t="str">
        <f t="shared" si="0"/>
        <v>ESPAÇO REFORMAR ( DMP REFORMAS) | Recorrência:3/6 | Observações: PROJETO PATRICIA MEIRELLES</v>
      </c>
      <c r="I62" t="s">
        <v>26</v>
      </c>
      <c r="J62" s="4">
        <v>2596.2399999999998</v>
      </c>
      <c r="K62" s="4">
        <v>166643.03</v>
      </c>
      <c r="L62" t="s">
        <v>27</v>
      </c>
      <c r="M62" s="4">
        <v>2596.2399999999998</v>
      </c>
      <c r="N62" s="3">
        <v>0</v>
      </c>
      <c r="O62" t="s">
        <v>209</v>
      </c>
      <c r="P62" t="s">
        <v>86</v>
      </c>
      <c r="Q62" t="s">
        <v>164</v>
      </c>
      <c r="R62" t="str">
        <f t="shared" si="1"/>
        <v>Sim</v>
      </c>
      <c r="S62" t="s">
        <v>164</v>
      </c>
      <c r="T62" t="s">
        <v>61</v>
      </c>
      <c r="U62" t="s">
        <v>49</v>
      </c>
      <c r="V62" s="3">
        <v>2596.2399999999998</v>
      </c>
      <c r="W62" t="s">
        <v>49</v>
      </c>
      <c r="X62" s="3">
        <v>2596.2399999999998</v>
      </c>
    </row>
    <row r="63" spans="1:24" s="2" customFormat="1" x14ac:dyDescent="0.2">
      <c r="A63">
        <v>63</v>
      </c>
      <c r="B63"/>
      <c r="C63" t="s">
        <v>101</v>
      </c>
      <c r="D63" t="s">
        <v>211</v>
      </c>
      <c r="E63" t="s">
        <v>30</v>
      </c>
      <c r="F63" t="s">
        <v>24</v>
      </c>
      <c r="G63" t="s">
        <v>25</v>
      </c>
      <c r="H63" t="str">
        <f t="shared" si="0"/>
        <v>PARQUET SP (PASS WOR C) | Recorrência: | Observações: RT &gt; A partir 2º pagtp creditado</v>
      </c>
      <c r="I63" t="s">
        <v>26</v>
      </c>
      <c r="J63" s="4">
        <v>3940.19</v>
      </c>
      <c r="K63" s="4">
        <v>170583.22</v>
      </c>
      <c r="L63" t="s">
        <v>27</v>
      </c>
      <c r="M63" s="4">
        <v>3940.19</v>
      </c>
      <c r="N63" s="3">
        <v>0</v>
      </c>
      <c r="O63" t="s">
        <v>187</v>
      </c>
      <c r="P63" t="s">
        <v>212</v>
      </c>
      <c r="Q63" t="s">
        <v>187</v>
      </c>
      <c r="R63" t="str">
        <f t="shared" si="1"/>
        <v>Sim</v>
      </c>
      <c r="S63" t="s">
        <v>187</v>
      </c>
      <c r="T63" t="s">
        <v>213</v>
      </c>
      <c r="U63" t="s">
        <v>49</v>
      </c>
      <c r="V63" s="3">
        <v>3940.19</v>
      </c>
      <c r="W63" t="s">
        <v>49</v>
      </c>
      <c r="X63" s="3">
        <v>3940.19</v>
      </c>
    </row>
    <row r="64" spans="1:24" s="2" customFormat="1" x14ac:dyDescent="0.2">
      <c r="A64" s="2">
        <v>64</v>
      </c>
      <c r="B64"/>
      <c r="C64" t="s">
        <v>214</v>
      </c>
      <c r="D64" t="s">
        <v>215</v>
      </c>
      <c r="E64" t="s">
        <v>30</v>
      </c>
      <c r="F64" t="s">
        <v>24</v>
      </c>
      <c r="G64" t="s">
        <v>25</v>
      </c>
      <c r="H64" t="str">
        <f t="shared" si="0"/>
        <v xml:space="preserve">DPOT (FEMA) | Recorrência: | Observações: </v>
      </c>
      <c r="I64" t="s">
        <v>26</v>
      </c>
      <c r="J64" s="4">
        <v>230</v>
      </c>
      <c r="K64" s="4">
        <v>170813.22</v>
      </c>
      <c r="L64" t="s">
        <v>27</v>
      </c>
      <c r="M64" s="4">
        <v>230</v>
      </c>
      <c r="N64" s="3">
        <v>0</v>
      </c>
      <c r="O64" t="s">
        <v>187</v>
      </c>
      <c r="P64" t="s">
        <v>191</v>
      </c>
      <c r="Q64" t="s">
        <v>216</v>
      </c>
      <c r="R64" t="str">
        <f t="shared" si="1"/>
        <v>Sim</v>
      </c>
      <c r="S64" t="s">
        <v>216</v>
      </c>
      <c r="T64" t="s">
        <v>30</v>
      </c>
      <c r="U64" t="s">
        <v>49</v>
      </c>
      <c r="V64" s="3">
        <v>230</v>
      </c>
      <c r="W64" t="s">
        <v>49</v>
      </c>
      <c r="X64" s="3">
        <v>230</v>
      </c>
    </row>
    <row r="65" spans="1:24" s="2" customFormat="1" x14ac:dyDescent="0.2">
      <c r="A65">
        <v>65</v>
      </c>
      <c r="B65"/>
      <c r="C65" t="s">
        <v>153</v>
      </c>
      <c r="D65" t="s">
        <v>159</v>
      </c>
      <c r="E65" t="s">
        <v>30</v>
      </c>
      <c r="F65" t="s">
        <v>63</v>
      </c>
      <c r="G65" t="s">
        <v>25</v>
      </c>
      <c r="H65" t="str">
        <f t="shared" si="0"/>
        <v xml:space="preserve">DIARISTA JULIANA  | Recorrência: | Observações: Referente 04 diárias: 05/05 a 26/05 </v>
      </c>
      <c r="I65" t="s">
        <v>26</v>
      </c>
      <c r="J65" s="5">
        <v>-320</v>
      </c>
      <c r="K65" s="4">
        <v>170493.22</v>
      </c>
      <c r="L65" t="s">
        <v>27</v>
      </c>
      <c r="M65" s="5">
        <v>-320</v>
      </c>
      <c r="N65" s="3">
        <v>0</v>
      </c>
      <c r="O65" t="s">
        <v>217</v>
      </c>
      <c r="P65" t="s">
        <v>155</v>
      </c>
      <c r="Q65" t="s">
        <v>150</v>
      </c>
      <c r="R65" t="str">
        <f t="shared" si="1"/>
        <v>Sim</v>
      </c>
      <c r="S65" t="s">
        <v>150</v>
      </c>
      <c r="T65" t="s">
        <v>218</v>
      </c>
      <c r="U65" t="s">
        <v>158</v>
      </c>
      <c r="V65" s="3">
        <v>-320</v>
      </c>
      <c r="W65" t="s">
        <v>219</v>
      </c>
      <c r="X65" s="3">
        <v>-320</v>
      </c>
    </row>
    <row r="66" spans="1:24" s="2" customFormat="1" x14ac:dyDescent="0.2">
      <c r="A66" s="2">
        <v>66</v>
      </c>
      <c r="B66"/>
      <c r="C66" t="s">
        <v>153</v>
      </c>
      <c r="D66" t="s">
        <v>220</v>
      </c>
      <c r="E66" t="s">
        <v>30</v>
      </c>
      <c r="F66" t="s">
        <v>63</v>
      </c>
      <c r="G66" t="s">
        <v>25</v>
      </c>
      <c r="H66" t="str">
        <f t="shared" si="0"/>
        <v>V10 VISUAL IMPRESSÃO DIGITAL  | Recorrência: | Observações: Ref.Painel  Pago dia 31/05</v>
      </c>
      <c r="I66" t="s">
        <v>26</v>
      </c>
      <c r="J66" s="5">
        <v>-336</v>
      </c>
      <c r="K66" s="4">
        <v>170157.22</v>
      </c>
      <c r="L66" t="s">
        <v>27</v>
      </c>
      <c r="M66" s="5">
        <v>-336</v>
      </c>
      <c r="N66" s="3">
        <v>0</v>
      </c>
      <c r="O66" t="s">
        <v>217</v>
      </c>
      <c r="P66" t="s">
        <v>164</v>
      </c>
      <c r="Q66" t="s">
        <v>221</v>
      </c>
      <c r="R66" t="str">
        <f t="shared" si="1"/>
        <v>Sim</v>
      </c>
      <c r="S66" t="s">
        <v>221</v>
      </c>
      <c r="T66" t="s">
        <v>222</v>
      </c>
      <c r="U66" t="s">
        <v>158</v>
      </c>
      <c r="V66" s="3">
        <v>-336</v>
      </c>
      <c r="W66" t="s">
        <v>158</v>
      </c>
      <c r="X66" s="3">
        <v>-336</v>
      </c>
    </row>
    <row r="67" spans="1:24" s="2" customFormat="1" x14ac:dyDescent="0.2">
      <c r="A67">
        <v>67</v>
      </c>
      <c r="B67"/>
      <c r="C67" t="s">
        <v>153</v>
      </c>
      <c r="D67" t="s">
        <v>151</v>
      </c>
      <c r="E67" t="s">
        <v>30</v>
      </c>
      <c r="F67" t="s">
        <v>63</v>
      </c>
      <c r="G67" t="s">
        <v>25</v>
      </c>
      <c r="H67" t="str">
        <f t="shared" ref="H67:H130" si="2">D67&amp;" | "&amp;$E$1&amp;E67&amp;" | Observações: "&amp;T67</f>
        <v xml:space="preserve">SODEXO - Eliane  | Recorrência: | Observações: </v>
      </c>
      <c r="I67" t="s">
        <v>26</v>
      </c>
      <c r="J67" s="5">
        <v>-594</v>
      </c>
      <c r="K67" s="4">
        <v>169563.22</v>
      </c>
      <c r="L67" t="s">
        <v>27</v>
      </c>
      <c r="M67" s="5">
        <v>-594</v>
      </c>
      <c r="N67" s="3">
        <v>0</v>
      </c>
      <c r="O67" t="s">
        <v>223</v>
      </c>
      <c r="P67" t="s">
        <v>209</v>
      </c>
      <c r="Q67" t="s">
        <v>224</v>
      </c>
      <c r="R67" t="str">
        <f t="shared" ref="R67:R130" si="3">IF(Q67=S67,"Sim","nao")</f>
        <v>Sim</v>
      </c>
      <c r="S67" t="s">
        <v>224</v>
      </c>
      <c r="T67" t="s">
        <v>30</v>
      </c>
      <c r="U67" t="s">
        <v>93</v>
      </c>
      <c r="V67" s="3">
        <v>-594</v>
      </c>
    </row>
    <row r="68" spans="1:24" s="2" customFormat="1" x14ac:dyDescent="0.2">
      <c r="A68" s="2">
        <v>68</v>
      </c>
      <c r="B68" t="s">
        <v>106</v>
      </c>
      <c r="C68" t="s">
        <v>107</v>
      </c>
      <c r="D68" t="s">
        <v>226</v>
      </c>
      <c r="E68" t="s">
        <v>30</v>
      </c>
      <c r="F68" t="s">
        <v>24</v>
      </c>
      <c r="G68" t="s">
        <v>25</v>
      </c>
      <c r="H68" t="str">
        <f t="shared" si="2"/>
        <v>ESPAÇO REFORMAR (DMP REFORMAS ) | Recorrência: | Observações: 01 DE 5 PARCELAS RT 4857</v>
      </c>
      <c r="I68" t="s">
        <v>26</v>
      </c>
      <c r="J68" s="4">
        <v>633.02</v>
      </c>
      <c r="K68" s="4">
        <v>170196.24</v>
      </c>
      <c r="L68" t="s">
        <v>27</v>
      </c>
      <c r="M68" s="4">
        <v>633.02</v>
      </c>
      <c r="N68" s="3">
        <v>0</v>
      </c>
      <c r="O68" t="s">
        <v>225</v>
      </c>
      <c r="P68" t="s">
        <v>217</v>
      </c>
      <c r="Q68" t="s">
        <v>227</v>
      </c>
      <c r="R68" t="str">
        <f t="shared" si="3"/>
        <v>Sim</v>
      </c>
      <c r="S68" t="s">
        <v>227</v>
      </c>
      <c r="T68" t="s">
        <v>228</v>
      </c>
      <c r="U68" t="s">
        <v>49</v>
      </c>
      <c r="V68" s="3">
        <v>633.02</v>
      </c>
      <c r="W68" t="s">
        <v>49</v>
      </c>
      <c r="X68" s="3">
        <v>633.02</v>
      </c>
    </row>
    <row r="69" spans="1:24" s="2" customFormat="1" x14ac:dyDescent="0.2">
      <c r="A69">
        <v>69</v>
      </c>
      <c r="B69"/>
      <c r="C69" t="s">
        <v>153</v>
      </c>
      <c r="D69" t="s">
        <v>230</v>
      </c>
      <c r="E69" t="s">
        <v>30</v>
      </c>
      <c r="F69" t="s">
        <v>63</v>
      </c>
      <c r="G69" t="s">
        <v>25</v>
      </c>
      <c r="H69" t="str">
        <f t="shared" si="2"/>
        <v>KALUNGA | Recorrência: | Observações: CARTUCHO AMARELO</v>
      </c>
      <c r="I69" t="s">
        <v>26</v>
      </c>
      <c r="J69" s="5">
        <v>-212.67</v>
      </c>
      <c r="K69" s="4">
        <v>169983.57</v>
      </c>
      <c r="L69" t="s">
        <v>27</v>
      </c>
      <c r="M69" s="5">
        <v>-212.67</v>
      </c>
      <c r="N69" s="3">
        <v>0</v>
      </c>
      <c r="O69" t="s">
        <v>229</v>
      </c>
      <c r="P69" t="s">
        <v>229</v>
      </c>
      <c r="Q69" t="s">
        <v>229</v>
      </c>
      <c r="R69" t="str">
        <f t="shared" si="3"/>
        <v>Sim</v>
      </c>
      <c r="S69" t="s">
        <v>229</v>
      </c>
      <c r="T69" t="s">
        <v>231</v>
      </c>
      <c r="U69" t="s">
        <v>158</v>
      </c>
      <c r="V69" s="3">
        <v>-212.67</v>
      </c>
      <c r="W69" t="s">
        <v>158</v>
      </c>
      <c r="X69" s="3">
        <v>-212.67</v>
      </c>
    </row>
    <row r="70" spans="1:24" s="2" customFormat="1" x14ac:dyDescent="0.2">
      <c r="A70" s="2">
        <v>70</v>
      </c>
      <c r="B70"/>
      <c r="C70" t="s">
        <v>232</v>
      </c>
      <c r="D70" t="s">
        <v>232</v>
      </c>
      <c r="E70" t="s">
        <v>30</v>
      </c>
      <c r="F70" t="s">
        <v>24</v>
      </c>
      <c r="G70" t="s">
        <v>25</v>
      </c>
      <c r="H70" t="str">
        <f t="shared" si="2"/>
        <v xml:space="preserve">MARILIA ZINGARI ROCHOLLI GRANJEIRO | Recorrência: | Observações: </v>
      </c>
      <c r="I70" t="s">
        <v>26</v>
      </c>
      <c r="J70" s="4">
        <v>600</v>
      </c>
      <c r="K70" s="4">
        <v>170583.57</v>
      </c>
      <c r="L70" t="s">
        <v>27</v>
      </c>
      <c r="M70" s="4">
        <v>600</v>
      </c>
      <c r="N70" s="3">
        <v>0</v>
      </c>
      <c r="O70" t="s">
        <v>229</v>
      </c>
      <c r="P70" t="s">
        <v>198</v>
      </c>
      <c r="Q70" t="s">
        <v>229</v>
      </c>
      <c r="R70" t="str">
        <f t="shared" si="3"/>
        <v>Sim</v>
      </c>
      <c r="S70" t="s">
        <v>229</v>
      </c>
      <c r="T70" t="s">
        <v>30</v>
      </c>
      <c r="U70" t="s">
        <v>233</v>
      </c>
      <c r="V70" s="3">
        <v>600</v>
      </c>
      <c r="W70" t="s">
        <v>233</v>
      </c>
      <c r="X70" s="3">
        <v>600</v>
      </c>
    </row>
    <row r="71" spans="1:24" s="2" customFormat="1" x14ac:dyDescent="0.2">
      <c r="A71">
        <v>71</v>
      </c>
      <c r="B71"/>
      <c r="C71" t="s">
        <v>235</v>
      </c>
      <c r="D71" t="s">
        <v>236</v>
      </c>
      <c r="E71" t="s">
        <v>30</v>
      </c>
      <c r="F71" t="s">
        <v>24</v>
      </c>
      <c r="G71" t="s">
        <v>25</v>
      </c>
      <c r="H71" t="str">
        <f t="shared" si="2"/>
        <v xml:space="preserve">CATIA E CARLOS PIRES  | Recorrência: | Observações: </v>
      </c>
      <c r="I71" t="s">
        <v>26</v>
      </c>
      <c r="J71" s="4">
        <v>45160</v>
      </c>
      <c r="K71" s="4">
        <v>215743.57</v>
      </c>
      <c r="L71" t="s">
        <v>27</v>
      </c>
      <c r="M71" s="4">
        <v>45160</v>
      </c>
      <c r="N71" s="3">
        <v>0</v>
      </c>
      <c r="O71" t="s">
        <v>234</v>
      </c>
      <c r="P71" t="s">
        <v>229</v>
      </c>
      <c r="Q71" t="s">
        <v>234</v>
      </c>
      <c r="R71" t="str">
        <f t="shared" si="3"/>
        <v>Sim</v>
      </c>
      <c r="S71" t="s">
        <v>234</v>
      </c>
      <c r="T71" t="s">
        <v>30</v>
      </c>
      <c r="U71" t="s">
        <v>182</v>
      </c>
      <c r="V71" s="3">
        <v>45160</v>
      </c>
      <c r="W71" t="s">
        <v>32</v>
      </c>
      <c r="X71" s="3">
        <v>45160</v>
      </c>
    </row>
    <row r="72" spans="1:24" s="2" customFormat="1" x14ac:dyDescent="0.2">
      <c r="A72" s="2">
        <v>72</v>
      </c>
      <c r="B72" t="s">
        <v>71</v>
      </c>
      <c r="C72" t="s">
        <v>72</v>
      </c>
      <c r="D72" t="s">
        <v>237</v>
      </c>
      <c r="E72" t="s">
        <v>30</v>
      </c>
      <c r="F72" t="s">
        <v>24</v>
      </c>
      <c r="G72" t="s">
        <v>25</v>
      </c>
      <c r="H72" t="str">
        <f t="shared" si="2"/>
        <v xml:space="preserve">POLO AR CONDICIONADO (ROVITEC) | Recorrência: | Observações: </v>
      </c>
      <c r="I72" t="s">
        <v>26</v>
      </c>
      <c r="J72" s="4">
        <v>850</v>
      </c>
      <c r="K72" s="4">
        <v>216593.57</v>
      </c>
      <c r="L72" t="s">
        <v>27</v>
      </c>
      <c r="M72" s="4">
        <v>850</v>
      </c>
      <c r="N72" s="3">
        <v>0</v>
      </c>
      <c r="O72" t="s">
        <v>234</v>
      </c>
      <c r="P72" t="s">
        <v>43</v>
      </c>
      <c r="Q72" t="s">
        <v>234</v>
      </c>
      <c r="R72" t="str">
        <f t="shared" si="3"/>
        <v>Sim</v>
      </c>
      <c r="S72" t="s">
        <v>234</v>
      </c>
      <c r="T72" t="s">
        <v>30</v>
      </c>
      <c r="U72" t="s">
        <v>49</v>
      </c>
      <c r="V72" s="3">
        <v>850</v>
      </c>
      <c r="W72" t="s">
        <v>49</v>
      </c>
      <c r="X72" s="3">
        <v>850</v>
      </c>
    </row>
    <row r="73" spans="1:24" s="2" customFormat="1" x14ac:dyDescent="0.2">
      <c r="A73">
        <v>73</v>
      </c>
      <c r="B73" t="s">
        <v>84</v>
      </c>
      <c r="C73" t="s">
        <v>85</v>
      </c>
      <c r="D73" t="s">
        <v>85</v>
      </c>
      <c r="E73" t="s">
        <v>195</v>
      </c>
      <c r="F73" t="s">
        <v>24</v>
      </c>
      <c r="G73" t="s">
        <v>25</v>
      </c>
      <c r="H73" t="str">
        <f t="shared" si="2"/>
        <v xml:space="preserve">JULIANA COVINO E THIAGO | Recorrência:2/3 | Observações: </v>
      </c>
      <c r="I73" t="s">
        <v>26</v>
      </c>
      <c r="J73" s="4">
        <v>5400</v>
      </c>
      <c r="K73" s="4">
        <v>221993.57</v>
      </c>
      <c r="L73" t="s">
        <v>27</v>
      </c>
      <c r="M73" s="4">
        <v>5400</v>
      </c>
      <c r="N73" s="3">
        <v>0</v>
      </c>
      <c r="O73" t="s">
        <v>238</v>
      </c>
      <c r="P73" t="s">
        <v>155</v>
      </c>
      <c r="Q73" t="s">
        <v>238</v>
      </c>
      <c r="R73" t="str">
        <f t="shared" si="3"/>
        <v>Sim</v>
      </c>
      <c r="S73" t="s">
        <v>238</v>
      </c>
      <c r="T73" t="s">
        <v>30</v>
      </c>
      <c r="U73" t="s">
        <v>40</v>
      </c>
      <c r="V73" s="3">
        <v>5400</v>
      </c>
    </row>
    <row r="74" spans="1:24" s="2" customFormat="1" x14ac:dyDescent="0.2">
      <c r="A74" s="2">
        <v>74</v>
      </c>
      <c r="B74" t="s">
        <v>106</v>
      </c>
      <c r="C74" t="s">
        <v>107</v>
      </c>
      <c r="D74" t="s">
        <v>77</v>
      </c>
      <c r="E74" t="s">
        <v>30</v>
      </c>
      <c r="F74" t="s">
        <v>24</v>
      </c>
      <c r="G74" t="s">
        <v>25</v>
      </c>
      <c r="H74" t="str">
        <f t="shared" si="2"/>
        <v>LABLUZ | Recorrência: | Observações: Orç 121002_Pedido:14115555 e 14115628</v>
      </c>
      <c r="I74" t="s">
        <v>26</v>
      </c>
      <c r="J74" s="4">
        <v>222.05</v>
      </c>
      <c r="K74" s="4">
        <v>222215.62</v>
      </c>
      <c r="L74" t="s">
        <v>27</v>
      </c>
      <c r="M74" s="4">
        <v>222.05</v>
      </c>
      <c r="N74" s="3">
        <v>0</v>
      </c>
      <c r="O74" t="s">
        <v>239</v>
      </c>
      <c r="P74" t="s">
        <v>191</v>
      </c>
      <c r="Q74" t="s">
        <v>239</v>
      </c>
      <c r="R74" t="str">
        <f t="shared" si="3"/>
        <v>Sim</v>
      </c>
      <c r="S74" t="s">
        <v>239</v>
      </c>
      <c r="T74" t="s">
        <v>240</v>
      </c>
      <c r="U74" t="s">
        <v>49</v>
      </c>
      <c r="V74" s="3">
        <v>222.05</v>
      </c>
      <c r="W74" t="s">
        <v>49</v>
      </c>
      <c r="X74" s="3">
        <v>222.05</v>
      </c>
    </row>
    <row r="75" spans="1:24" s="2" customFormat="1" x14ac:dyDescent="0.2">
      <c r="A75">
        <v>75</v>
      </c>
      <c r="B75" t="s">
        <v>84</v>
      </c>
      <c r="C75" t="s">
        <v>85</v>
      </c>
      <c r="D75" t="s">
        <v>241</v>
      </c>
      <c r="E75" t="s">
        <v>30</v>
      </c>
      <c r="F75" t="s">
        <v>24</v>
      </c>
      <c r="G75" t="s">
        <v>25</v>
      </c>
      <c r="H75" t="str">
        <f t="shared" si="2"/>
        <v>DECORLIGHT ILUMINACAO LTDA | Recorrência: | Observações: PEDIDO 1695</v>
      </c>
      <c r="I75" t="s">
        <v>26</v>
      </c>
      <c r="J75" s="4">
        <v>1112</v>
      </c>
      <c r="K75" s="4">
        <v>223327.62</v>
      </c>
      <c r="L75" t="s">
        <v>27</v>
      </c>
      <c r="M75" s="4">
        <v>1112</v>
      </c>
      <c r="N75" s="3">
        <v>0</v>
      </c>
      <c r="O75" t="s">
        <v>239</v>
      </c>
      <c r="P75" t="s">
        <v>242</v>
      </c>
      <c r="Q75" t="s">
        <v>243</v>
      </c>
      <c r="R75" t="str">
        <f t="shared" si="3"/>
        <v>Sim</v>
      </c>
      <c r="S75" t="s">
        <v>243</v>
      </c>
      <c r="T75" t="s">
        <v>244</v>
      </c>
      <c r="U75" t="s">
        <v>49</v>
      </c>
      <c r="V75" s="3">
        <v>1112</v>
      </c>
      <c r="W75" t="s">
        <v>49</v>
      </c>
      <c r="X75" s="3">
        <v>1112</v>
      </c>
    </row>
    <row r="76" spans="1:24" s="2" customFormat="1" x14ac:dyDescent="0.2">
      <c r="A76" s="2">
        <v>76</v>
      </c>
      <c r="B76" t="s">
        <v>106</v>
      </c>
      <c r="C76" t="s">
        <v>107</v>
      </c>
      <c r="D76" t="s">
        <v>175</v>
      </c>
      <c r="E76" t="s">
        <v>30</v>
      </c>
      <c r="F76" t="s">
        <v>24</v>
      </c>
      <c r="G76" t="s">
        <v>25</v>
      </c>
      <c r="H76" t="str">
        <f t="shared" si="2"/>
        <v xml:space="preserve">PORTOBELLO (PBTECH E SERV) | Recorrência: | Observações: </v>
      </c>
      <c r="I76" t="s">
        <v>26</v>
      </c>
      <c r="J76" s="4">
        <v>612.77</v>
      </c>
      <c r="K76" s="4">
        <v>223940.39</v>
      </c>
      <c r="L76" t="s">
        <v>27</v>
      </c>
      <c r="M76" s="4">
        <v>612.77</v>
      </c>
      <c r="N76" s="3">
        <v>0</v>
      </c>
      <c r="O76" t="s">
        <v>221</v>
      </c>
      <c r="P76" t="s">
        <v>171</v>
      </c>
      <c r="Q76" t="s">
        <v>224</v>
      </c>
      <c r="R76" t="str">
        <f t="shared" si="3"/>
        <v>Sim</v>
      </c>
      <c r="S76" t="s">
        <v>224</v>
      </c>
      <c r="T76" t="s">
        <v>30</v>
      </c>
      <c r="U76" t="s">
        <v>49</v>
      </c>
      <c r="V76" s="3">
        <v>612.77</v>
      </c>
      <c r="W76" t="s">
        <v>49</v>
      </c>
      <c r="X76" s="3">
        <v>612.77</v>
      </c>
    </row>
    <row r="77" spans="1:24" s="2" customFormat="1" x14ac:dyDescent="0.2">
      <c r="A77">
        <v>77</v>
      </c>
      <c r="B77"/>
      <c r="C77" t="s">
        <v>180</v>
      </c>
      <c r="D77" t="s">
        <v>180</v>
      </c>
      <c r="E77" t="s">
        <v>195</v>
      </c>
      <c r="F77" t="s">
        <v>24</v>
      </c>
      <c r="G77" t="s">
        <v>25</v>
      </c>
      <c r="H77" t="str">
        <f t="shared" si="2"/>
        <v xml:space="preserve">DANIELA CALITO | Recorrência:2/3 | Observações: </v>
      </c>
      <c r="I77" t="s">
        <v>26</v>
      </c>
      <c r="J77" s="4">
        <v>8440</v>
      </c>
      <c r="K77" s="4">
        <v>232380.39</v>
      </c>
      <c r="L77" t="s">
        <v>27</v>
      </c>
      <c r="M77" s="4">
        <v>8440</v>
      </c>
      <c r="N77" s="3">
        <v>0</v>
      </c>
      <c r="O77" t="s">
        <v>245</v>
      </c>
      <c r="P77" t="s">
        <v>246</v>
      </c>
      <c r="Q77" t="s">
        <v>245</v>
      </c>
      <c r="R77" t="str">
        <f t="shared" si="3"/>
        <v>Sim</v>
      </c>
      <c r="S77" t="s">
        <v>245</v>
      </c>
      <c r="T77" t="s">
        <v>30</v>
      </c>
      <c r="U77" t="s">
        <v>182</v>
      </c>
      <c r="V77" s="3">
        <v>8440</v>
      </c>
      <c r="W77" t="s">
        <v>32</v>
      </c>
      <c r="X77" s="3">
        <v>8440</v>
      </c>
    </row>
    <row r="78" spans="1:24" s="2" customFormat="1" x14ac:dyDescent="0.2">
      <c r="A78" s="2">
        <v>78</v>
      </c>
      <c r="B78"/>
      <c r="C78" t="s">
        <v>57</v>
      </c>
      <c r="D78" t="s">
        <v>59</v>
      </c>
      <c r="E78" t="s">
        <v>247</v>
      </c>
      <c r="F78" t="s">
        <v>24</v>
      </c>
      <c r="G78" t="s">
        <v>25</v>
      </c>
      <c r="H78" t="str">
        <f t="shared" si="2"/>
        <v>ESPAÇO REFORMAR ( DMP REFORMAS) | Recorrência:4/6 | Observações: PROJETO PATRICIA MEIRELLES</v>
      </c>
      <c r="I78" t="s">
        <v>26</v>
      </c>
      <c r="J78" s="4">
        <v>2596.2399999999998</v>
      </c>
      <c r="K78" s="4">
        <v>234976.63</v>
      </c>
      <c r="L78" t="s">
        <v>27</v>
      </c>
      <c r="M78" s="4">
        <v>2596.2399999999998</v>
      </c>
      <c r="N78" s="3">
        <v>0</v>
      </c>
      <c r="O78" t="s">
        <v>227</v>
      </c>
      <c r="P78" t="s">
        <v>150</v>
      </c>
      <c r="Q78" t="s">
        <v>227</v>
      </c>
      <c r="R78" t="str">
        <f t="shared" si="3"/>
        <v>Sim</v>
      </c>
      <c r="S78" t="s">
        <v>227</v>
      </c>
      <c r="T78" t="s">
        <v>61</v>
      </c>
      <c r="U78" t="s">
        <v>49</v>
      </c>
      <c r="V78" s="3">
        <v>2596.2399999999998</v>
      </c>
      <c r="W78" t="s">
        <v>49</v>
      </c>
      <c r="X78" s="3">
        <v>2596.2399999999998</v>
      </c>
    </row>
    <row r="79" spans="1:24" s="2" customFormat="1" x14ac:dyDescent="0.2">
      <c r="A79">
        <v>79</v>
      </c>
      <c r="B79"/>
      <c r="C79" t="s">
        <v>129</v>
      </c>
      <c r="D79" t="s">
        <v>129</v>
      </c>
      <c r="E79" t="s">
        <v>148</v>
      </c>
      <c r="F79" t="s">
        <v>24</v>
      </c>
      <c r="G79" t="s">
        <v>25</v>
      </c>
      <c r="H79" t="str">
        <f t="shared" si="2"/>
        <v>CRISTIANE UFLAKER | Recorrência:3/3 | Observações: 2º (-0,25) 1º Pagamento em dinheiro 6800 gerou diferença 150 reais_dividido nas 2 ultimas parcelas 75 reais de cada</v>
      </c>
      <c r="I79" t="s">
        <v>26</v>
      </c>
      <c r="J79" s="4">
        <v>7000</v>
      </c>
      <c r="K79" s="4">
        <v>241976.63</v>
      </c>
      <c r="L79" t="s">
        <v>27</v>
      </c>
      <c r="M79" s="4">
        <v>7000</v>
      </c>
      <c r="N79" s="3">
        <v>0</v>
      </c>
      <c r="O79" t="s">
        <v>248</v>
      </c>
      <c r="P79" t="s">
        <v>249</v>
      </c>
      <c r="Q79" t="s">
        <v>248</v>
      </c>
      <c r="R79" t="str">
        <f t="shared" si="3"/>
        <v>Sim</v>
      </c>
      <c r="S79" t="s">
        <v>248</v>
      </c>
      <c r="T79" t="s">
        <v>250</v>
      </c>
      <c r="U79" t="s">
        <v>31</v>
      </c>
      <c r="V79" s="3">
        <v>7000</v>
      </c>
      <c r="W79" t="s">
        <v>166</v>
      </c>
      <c r="X79" s="3">
        <v>7000</v>
      </c>
    </row>
    <row r="80" spans="1:24" s="2" customFormat="1" x14ac:dyDescent="0.2">
      <c r="A80" s="2">
        <v>80</v>
      </c>
      <c r="B80"/>
      <c r="C80" t="s">
        <v>251</v>
      </c>
      <c r="D80" t="s">
        <v>252</v>
      </c>
      <c r="E80" t="s">
        <v>30</v>
      </c>
      <c r="F80" t="s">
        <v>24</v>
      </c>
      <c r="G80" t="s">
        <v>25</v>
      </c>
      <c r="H80" t="str">
        <f t="shared" si="2"/>
        <v xml:space="preserve">LILIAN PIMENTA  | Recorrência: | Observações: 5% EMITIR NF </v>
      </c>
      <c r="I80" t="s">
        <v>26</v>
      </c>
      <c r="J80" s="4">
        <v>3537.53</v>
      </c>
      <c r="K80" s="4">
        <v>245514.16</v>
      </c>
      <c r="L80" t="s">
        <v>27</v>
      </c>
      <c r="M80" s="4">
        <v>3537.53</v>
      </c>
      <c r="N80" s="3">
        <v>0</v>
      </c>
      <c r="O80" t="s">
        <v>248</v>
      </c>
      <c r="P80" t="s">
        <v>191</v>
      </c>
      <c r="Q80" t="s">
        <v>224</v>
      </c>
      <c r="R80" t="str">
        <f t="shared" si="3"/>
        <v>Sim</v>
      </c>
      <c r="S80" t="s">
        <v>224</v>
      </c>
      <c r="T80" t="s">
        <v>253</v>
      </c>
      <c r="U80" t="s">
        <v>49</v>
      </c>
      <c r="V80" s="3">
        <v>3537.53</v>
      </c>
      <c r="W80" t="s">
        <v>49</v>
      </c>
      <c r="X80" s="3">
        <v>3537.53</v>
      </c>
    </row>
    <row r="81" spans="1:24" s="2" customFormat="1" x14ac:dyDescent="0.2">
      <c r="A81">
        <v>81</v>
      </c>
      <c r="B81"/>
      <c r="C81" t="s">
        <v>153</v>
      </c>
      <c r="D81" t="s">
        <v>159</v>
      </c>
      <c r="E81" t="s">
        <v>30</v>
      </c>
      <c r="F81" t="s">
        <v>63</v>
      </c>
      <c r="G81" t="s">
        <v>25</v>
      </c>
      <c r="H81" t="str">
        <f t="shared" si="2"/>
        <v>DIARISTA JULIANA  | Recorrência: | Observações: Ref.5 diárias&gt;02-09-16-23-30 de junho</v>
      </c>
      <c r="I81" t="s">
        <v>26</v>
      </c>
      <c r="J81" s="5">
        <v>-400</v>
      </c>
      <c r="K81" s="4">
        <v>245114.16</v>
      </c>
      <c r="L81" t="s">
        <v>27</v>
      </c>
      <c r="M81" s="5">
        <v>-400</v>
      </c>
      <c r="N81" s="3">
        <v>0</v>
      </c>
      <c r="O81" t="s">
        <v>254</v>
      </c>
      <c r="P81" t="s">
        <v>223</v>
      </c>
      <c r="Q81" t="s">
        <v>255</v>
      </c>
      <c r="R81" t="str">
        <f t="shared" si="3"/>
        <v>Sim</v>
      </c>
      <c r="S81" t="s">
        <v>255</v>
      </c>
      <c r="T81" t="s">
        <v>256</v>
      </c>
      <c r="U81" t="s">
        <v>158</v>
      </c>
      <c r="V81" s="3">
        <v>-400</v>
      </c>
      <c r="W81" t="s">
        <v>158</v>
      </c>
      <c r="X81" s="3">
        <v>-400</v>
      </c>
    </row>
    <row r="82" spans="1:24" s="2" customFormat="1" x14ac:dyDescent="0.2">
      <c r="A82" s="2">
        <v>82</v>
      </c>
      <c r="B82" t="s">
        <v>106</v>
      </c>
      <c r="C82" t="s">
        <v>107</v>
      </c>
      <c r="D82" t="s">
        <v>252</v>
      </c>
      <c r="E82" t="s">
        <v>30</v>
      </c>
      <c r="F82" t="s">
        <v>24</v>
      </c>
      <c r="G82" t="s">
        <v>25</v>
      </c>
      <c r="H82" t="str">
        <f t="shared" si="2"/>
        <v>LILIAN PIMENTA  | Recorrência: | Observações: 5% &gt;N EMITIR NF</v>
      </c>
      <c r="I82" t="s">
        <v>26</v>
      </c>
      <c r="J82" s="4">
        <v>459</v>
      </c>
      <c r="K82" s="4">
        <v>245573.16</v>
      </c>
      <c r="L82" t="s">
        <v>27</v>
      </c>
      <c r="M82" s="4">
        <v>459</v>
      </c>
      <c r="N82" s="3">
        <v>0</v>
      </c>
      <c r="O82" t="s">
        <v>224</v>
      </c>
      <c r="P82" t="s">
        <v>191</v>
      </c>
      <c r="Q82" t="s">
        <v>254</v>
      </c>
      <c r="R82" t="str">
        <f t="shared" si="3"/>
        <v>Sim</v>
      </c>
      <c r="S82" t="s">
        <v>254</v>
      </c>
      <c r="T82" t="s">
        <v>257</v>
      </c>
      <c r="U82" t="s">
        <v>49</v>
      </c>
      <c r="V82" s="3">
        <v>459</v>
      </c>
      <c r="W82" t="s">
        <v>49</v>
      </c>
      <c r="X82" s="3">
        <v>459</v>
      </c>
    </row>
    <row r="83" spans="1:24" s="2" customFormat="1" x14ac:dyDescent="0.2">
      <c r="A83">
        <v>83</v>
      </c>
      <c r="B83"/>
      <c r="C83" t="s">
        <v>258</v>
      </c>
      <c r="D83" t="s">
        <v>258</v>
      </c>
      <c r="E83" t="s">
        <v>67</v>
      </c>
      <c r="F83" t="s">
        <v>24</v>
      </c>
      <c r="G83" t="s">
        <v>25</v>
      </c>
      <c r="H83" t="str">
        <f t="shared" si="2"/>
        <v>MANUELA REZENDE DE CARVALHO | Recorrência:1/2 | Observações: 01 DE 02 (Eugenia Rezende de Carvalho)</v>
      </c>
      <c r="I83" t="s">
        <v>26</v>
      </c>
      <c r="J83" s="4">
        <v>4500</v>
      </c>
      <c r="K83" s="4">
        <v>250073.16</v>
      </c>
      <c r="L83" t="s">
        <v>27</v>
      </c>
      <c r="M83" s="4">
        <v>4500</v>
      </c>
      <c r="N83" s="3">
        <v>0</v>
      </c>
      <c r="O83" t="s">
        <v>224</v>
      </c>
      <c r="P83" t="s">
        <v>254</v>
      </c>
      <c r="Q83" t="s">
        <v>224</v>
      </c>
      <c r="R83" t="str">
        <f t="shared" si="3"/>
        <v>Sim</v>
      </c>
      <c r="S83" t="s">
        <v>224</v>
      </c>
      <c r="T83" t="s">
        <v>259</v>
      </c>
      <c r="U83" t="s">
        <v>182</v>
      </c>
      <c r="V83" s="3">
        <v>4500</v>
      </c>
      <c r="W83" t="s">
        <v>32</v>
      </c>
      <c r="X83" s="3">
        <v>4500</v>
      </c>
    </row>
    <row r="84" spans="1:24" s="2" customFormat="1" x14ac:dyDescent="0.2">
      <c r="A84" s="2">
        <v>84</v>
      </c>
      <c r="B84" t="s">
        <v>45</v>
      </c>
      <c r="C84" t="s">
        <v>46</v>
      </c>
      <c r="D84" t="s">
        <v>261</v>
      </c>
      <c r="E84" t="s">
        <v>30</v>
      </c>
      <c r="F84" t="s">
        <v>24</v>
      </c>
      <c r="G84" t="s">
        <v>25</v>
      </c>
      <c r="H84" t="str">
        <f t="shared" si="2"/>
        <v xml:space="preserve">BRENTWOOD (Alameda Moveis Dec) | Recorrência: | Observações: </v>
      </c>
      <c r="I84" t="s">
        <v>26</v>
      </c>
      <c r="J84" s="4">
        <v>239.89</v>
      </c>
      <c r="K84" s="4">
        <v>250313.05</v>
      </c>
      <c r="L84" t="s">
        <v>27</v>
      </c>
      <c r="M84" s="4">
        <v>239.89</v>
      </c>
      <c r="N84" s="3">
        <v>0</v>
      </c>
      <c r="O84" t="s">
        <v>260</v>
      </c>
      <c r="P84" t="s">
        <v>243</v>
      </c>
      <c r="Q84" t="s">
        <v>260</v>
      </c>
      <c r="R84" t="str">
        <f t="shared" si="3"/>
        <v>Sim</v>
      </c>
      <c r="S84" t="s">
        <v>260</v>
      </c>
      <c r="T84" t="s">
        <v>30</v>
      </c>
      <c r="U84" t="s">
        <v>49</v>
      </c>
      <c r="V84" s="3">
        <v>239.89</v>
      </c>
      <c r="W84" t="s">
        <v>49</v>
      </c>
      <c r="X84" s="3">
        <v>239.89</v>
      </c>
    </row>
    <row r="85" spans="1:24" s="2" customFormat="1" x14ac:dyDescent="0.2">
      <c r="A85">
        <v>85</v>
      </c>
      <c r="B85"/>
      <c r="C85" t="s">
        <v>101</v>
      </c>
      <c r="D85" t="s">
        <v>262</v>
      </c>
      <c r="E85" t="s">
        <v>30</v>
      </c>
      <c r="F85" t="s">
        <v>24</v>
      </c>
      <c r="G85" t="s">
        <v>25</v>
      </c>
      <c r="H85" t="str">
        <f t="shared" si="2"/>
        <v>BONTEMPO | Recorrência: | Observações: RT &gt; A partir 1º pagto creditado&gt;10% Valor Liquido</v>
      </c>
      <c r="I85" t="s">
        <v>26</v>
      </c>
      <c r="J85" s="4">
        <v>26882.89</v>
      </c>
      <c r="K85" s="4">
        <v>277195.94</v>
      </c>
      <c r="L85" t="s">
        <v>27</v>
      </c>
      <c r="M85" s="4">
        <v>26882.89</v>
      </c>
      <c r="N85" s="3">
        <v>0</v>
      </c>
      <c r="O85" t="s">
        <v>255</v>
      </c>
      <c r="P85" t="s">
        <v>140</v>
      </c>
      <c r="Q85" t="s">
        <v>263</v>
      </c>
      <c r="R85" t="str">
        <f t="shared" si="3"/>
        <v>Sim</v>
      </c>
      <c r="S85" t="s">
        <v>263</v>
      </c>
      <c r="T85" t="s">
        <v>264</v>
      </c>
      <c r="U85" t="s">
        <v>49</v>
      </c>
      <c r="V85" s="3">
        <v>26882.89</v>
      </c>
      <c r="W85" t="s">
        <v>49</v>
      </c>
      <c r="X85" s="3">
        <v>26882.89</v>
      </c>
    </row>
    <row r="86" spans="1:24" s="2" customFormat="1" x14ac:dyDescent="0.2">
      <c r="A86" s="2">
        <v>86</v>
      </c>
      <c r="B86" t="s">
        <v>71</v>
      </c>
      <c r="C86" t="s">
        <v>72</v>
      </c>
      <c r="D86" t="s">
        <v>134</v>
      </c>
      <c r="E86" t="s">
        <v>266</v>
      </c>
      <c r="F86" t="s">
        <v>24</v>
      </c>
      <c r="G86" t="s">
        <v>25</v>
      </c>
      <c r="H86" t="str">
        <f t="shared" si="2"/>
        <v>VIA MADEIRA (HAEHLIN) | Recorrência:4/5 | Observações: 04 parcelas de 5 (ref Junho)</v>
      </c>
      <c r="I86" t="s">
        <v>26</v>
      </c>
      <c r="J86" s="4">
        <v>2400</v>
      </c>
      <c r="K86" s="4">
        <v>279595.94</v>
      </c>
      <c r="L86" t="s">
        <v>27</v>
      </c>
      <c r="M86" s="4">
        <v>2400</v>
      </c>
      <c r="N86" s="3">
        <v>0</v>
      </c>
      <c r="O86" t="s">
        <v>265</v>
      </c>
      <c r="P86" t="s">
        <v>267</v>
      </c>
      <c r="Q86" t="s">
        <v>265</v>
      </c>
      <c r="R86" t="str">
        <f t="shared" si="3"/>
        <v>Sim</v>
      </c>
      <c r="S86" t="s">
        <v>265</v>
      </c>
      <c r="T86" t="s">
        <v>268</v>
      </c>
      <c r="U86" t="s">
        <v>49</v>
      </c>
      <c r="V86" s="3">
        <v>2400</v>
      </c>
      <c r="W86" t="s">
        <v>49</v>
      </c>
      <c r="X86" s="3">
        <v>2400</v>
      </c>
    </row>
    <row r="87" spans="1:24" s="2" customFormat="1" x14ac:dyDescent="0.2">
      <c r="A87">
        <v>87</v>
      </c>
      <c r="B87" t="s">
        <v>106</v>
      </c>
      <c r="C87" t="s">
        <v>107</v>
      </c>
      <c r="D87" t="s">
        <v>226</v>
      </c>
      <c r="E87" t="s">
        <v>73</v>
      </c>
      <c r="F87" t="s">
        <v>24</v>
      </c>
      <c r="G87" t="s">
        <v>25</v>
      </c>
      <c r="H87" t="str">
        <f t="shared" si="2"/>
        <v xml:space="preserve">ESPAÇO REFORMAR (DMP REFORMAS ) | Recorrência:1/5 | Observações: Aguardando cronograma de pagto atualizado </v>
      </c>
      <c r="I87" t="s">
        <v>26</v>
      </c>
      <c r="J87" s="4">
        <v>351.74</v>
      </c>
      <c r="K87" s="4">
        <v>279947.68</v>
      </c>
      <c r="L87" t="s">
        <v>27</v>
      </c>
      <c r="M87" s="4">
        <v>351.74</v>
      </c>
      <c r="N87" s="3">
        <v>0</v>
      </c>
      <c r="O87" t="s">
        <v>265</v>
      </c>
      <c r="P87" t="s">
        <v>269</v>
      </c>
      <c r="Q87" t="s">
        <v>265</v>
      </c>
      <c r="R87" t="str">
        <f t="shared" si="3"/>
        <v>Sim</v>
      </c>
      <c r="S87" t="s">
        <v>265</v>
      </c>
      <c r="T87" t="s">
        <v>270</v>
      </c>
      <c r="U87" t="s">
        <v>49</v>
      </c>
      <c r="V87" s="3">
        <v>351.74</v>
      </c>
      <c r="W87" t="s">
        <v>49</v>
      </c>
      <c r="X87" s="3">
        <v>351.74</v>
      </c>
    </row>
    <row r="88" spans="1:24" s="2" customFormat="1" x14ac:dyDescent="0.2">
      <c r="A88" s="2">
        <v>88</v>
      </c>
      <c r="B88"/>
      <c r="C88"/>
      <c r="D88" t="s">
        <v>151</v>
      </c>
      <c r="E88" t="s">
        <v>30</v>
      </c>
      <c r="F88" t="s">
        <v>63</v>
      </c>
      <c r="G88" t="s">
        <v>25</v>
      </c>
      <c r="H88" t="str">
        <f t="shared" si="2"/>
        <v>SODEXO - Eliane  | Recorrência: | Observações: pago 30/06</v>
      </c>
      <c r="I88" t="s">
        <v>26</v>
      </c>
      <c r="J88" s="5">
        <v>-597</v>
      </c>
      <c r="K88" s="4">
        <v>279350.68</v>
      </c>
      <c r="L88" t="s">
        <v>27</v>
      </c>
      <c r="M88" s="5">
        <v>-597</v>
      </c>
      <c r="N88" s="3">
        <v>0</v>
      </c>
      <c r="O88" t="s">
        <v>265</v>
      </c>
      <c r="P88" t="s">
        <v>271</v>
      </c>
      <c r="Q88" t="s">
        <v>272</v>
      </c>
      <c r="R88" t="str">
        <f t="shared" si="3"/>
        <v>Sim</v>
      </c>
      <c r="S88" t="s">
        <v>272</v>
      </c>
      <c r="T88" t="s">
        <v>273</v>
      </c>
      <c r="U88" t="s">
        <v>93</v>
      </c>
      <c r="V88" s="3">
        <v>-597</v>
      </c>
    </row>
    <row r="89" spans="1:24" s="2" customFormat="1" x14ac:dyDescent="0.2">
      <c r="A89">
        <v>89</v>
      </c>
      <c r="B89" t="s">
        <v>106</v>
      </c>
      <c r="C89" t="s">
        <v>107</v>
      </c>
      <c r="D89" t="s">
        <v>39</v>
      </c>
      <c r="E89" t="s">
        <v>30</v>
      </c>
      <c r="F89" t="s">
        <v>24</v>
      </c>
      <c r="G89" t="s">
        <v>25</v>
      </c>
      <c r="H89" t="str">
        <f t="shared" si="2"/>
        <v xml:space="preserve">FAUSTO VARGAS BOLDRINI _MARIEL ROMANI  | Recorrência: | Observações: </v>
      </c>
      <c r="I89" t="s">
        <v>26</v>
      </c>
      <c r="J89" s="4">
        <v>5000</v>
      </c>
      <c r="K89" s="4">
        <v>284350.68</v>
      </c>
      <c r="L89" t="s">
        <v>27</v>
      </c>
      <c r="M89" s="4">
        <v>5000</v>
      </c>
      <c r="N89" s="3">
        <v>0</v>
      </c>
      <c r="O89" t="s">
        <v>265</v>
      </c>
      <c r="P89" t="s">
        <v>37</v>
      </c>
      <c r="Q89" t="s">
        <v>265</v>
      </c>
      <c r="R89" t="str">
        <f t="shared" si="3"/>
        <v>Sim</v>
      </c>
      <c r="S89" t="s">
        <v>265</v>
      </c>
      <c r="T89" t="s">
        <v>30</v>
      </c>
      <c r="U89" t="s">
        <v>274</v>
      </c>
      <c r="V89" s="3">
        <v>5000</v>
      </c>
      <c r="W89" t="s">
        <v>166</v>
      </c>
      <c r="X89" s="3">
        <v>5000</v>
      </c>
    </row>
    <row r="90" spans="1:24" s="2" customFormat="1" x14ac:dyDescent="0.2">
      <c r="A90" s="2">
        <v>90</v>
      </c>
      <c r="B90" t="s">
        <v>106</v>
      </c>
      <c r="C90" t="s">
        <v>107</v>
      </c>
      <c r="D90" t="s">
        <v>47</v>
      </c>
      <c r="E90" t="s">
        <v>22</v>
      </c>
      <c r="F90" t="s">
        <v>24</v>
      </c>
      <c r="G90" t="s">
        <v>25</v>
      </c>
      <c r="H90" t="str">
        <f t="shared" si="2"/>
        <v xml:space="preserve">SILVESTRE VIDROS | Recorrência:1/4 | Observações: </v>
      </c>
      <c r="I90" t="s">
        <v>26</v>
      </c>
      <c r="J90" s="4">
        <v>124.26</v>
      </c>
      <c r="K90" s="4">
        <v>284474.94</v>
      </c>
      <c r="L90" t="s">
        <v>27</v>
      </c>
      <c r="M90" s="4">
        <v>124.26</v>
      </c>
      <c r="N90" s="3">
        <v>0</v>
      </c>
      <c r="O90" t="s">
        <v>275</v>
      </c>
      <c r="P90" t="s">
        <v>200</v>
      </c>
      <c r="Q90" t="s">
        <v>275</v>
      </c>
      <c r="R90" t="str">
        <f t="shared" si="3"/>
        <v>Sim</v>
      </c>
      <c r="S90" t="s">
        <v>275</v>
      </c>
      <c r="T90" t="s">
        <v>30</v>
      </c>
      <c r="U90" t="s">
        <v>49</v>
      </c>
      <c r="V90" s="3">
        <v>124.26</v>
      </c>
      <c r="W90" t="s">
        <v>49</v>
      </c>
      <c r="X90" s="3">
        <v>124.26</v>
      </c>
    </row>
    <row r="91" spans="1:24" s="2" customFormat="1" x14ac:dyDescent="0.2">
      <c r="A91">
        <v>91</v>
      </c>
      <c r="B91"/>
      <c r="C91" t="s">
        <v>276</v>
      </c>
      <c r="D91" t="s">
        <v>277</v>
      </c>
      <c r="E91" t="s">
        <v>30</v>
      </c>
      <c r="F91" t="s">
        <v>63</v>
      </c>
      <c r="G91" t="s">
        <v>25</v>
      </c>
      <c r="H91" t="str">
        <f t="shared" si="2"/>
        <v>TFE-TAXA DE FISCALIZAÇÃO DE ESTABELECIMENTO 2021 | Recorrência: | Observações: Cod. Estabelecimento 32301</v>
      </c>
      <c r="I91" t="s">
        <v>26</v>
      </c>
      <c r="J91" s="5">
        <v>-272.61</v>
      </c>
      <c r="K91" s="4">
        <v>284202.33</v>
      </c>
      <c r="L91" t="s">
        <v>27</v>
      </c>
      <c r="M91" s="5">
        <v>-272.61</v>
      </c>
      <c r="N91" s="3">
        <v>0</v>
      </c>
      <c r="O91" t="s">
        <v>275</v>
      </c>
      <c r="P91" t="s">
        <v>239</v>
      </c>
      <c r="Q91" t="s">
        <v>278</v>
      </c>
      <c r="R91" t="str">
        <f t="shared" si="3"/>
        <v>Sim</v>
      </c>
      <c r="S91" t="s">
        <v>278</v>
      </c>
      <c r="T91" t="s">
        <v>279</v>
      </c>
      <c r="U91" t="s">
        <v>280</v>
      </c>
      <c r="V91" s="3">
        <v>-272.61</v>
      </c>
      <c r="W91" t="s">
        <v>190</v>
      </c>
      <c r="X91" s="3">
        <v>-272.61</v>
      </c>
    </row>
    <row r="92" spans="1:24" s="2" customFormat="1" x14ac:dyDescent="0.2">
      <c r="A92" s="2">
        <v>92</v>
      </c>
      <c r="B92"/>
      <c r="C92" t="s">
        <v>251</v>
      </c>
      <c r="D92" t="s">
        <v>282</v>
      </c>
      <c r="E92" t="s">
        <v>30</v>
      </c>
      <c r="F92" t="s">
        <v>24</v>
      </c>
      <c r="G92" t="s">
        <v>25</v>
      </c>
      <c r="H92" t="str">
        <f t="shared" si="2"/>
        <v>ENTREPOSTO DE DECORAÇÃO E COMÉRCIO  | Recorrência: | Observações: QUARTO DA ISABELLA</v>
      </c>
      <c r="I92" t="s">
        <v>26</v>
      </c>
      <c r="J92" s="4">
        <v>2018.43</v>
      </c>
      <c r="K92" s="4">
        <v>286220.76</v>
      </c>
      <c r="L92" t="s">
        <v>27</v>
      </c>
      <c r="M92" s="4">
        <v>2018.43</v>
      </c>
      <c r="N92" s="3">
        <v>0</v>
      </c>
      <c r="O92" t="s">
        <v>281</v>
      </c>
      <c r="P92" t="s">
        <v>275</v>
      </c>
      <c r="Q92" t="s">
        <v>281</v>
      </c>
      <c r="R92" t="str">
        <f t="shared" si="3"/>
        <v>Sim</v>
      </c>
      <c r="S92" t="s">
        <v>281</v>
      </c>
      <c r="T92" t="s">
        <v>283</v>
      </c>
      <c r="U92" t="s">
        <v>49</v>
      </c>
      <c r="V92" s="3">
        <v>2018.43</v>
      </c>
      <c r="W92" t="s">
        <v>49</v>
      </c>
      <c r="X92" s="3">
        <v>2018.43</v>
      </c>
    </row>
    <row r="93" spans="1:24" s="2" customFormat="1" x14ac:dyDescent="0.2">
      <c r="A93">
        <v>93</v>
      </c>
      <c r="B93" t="s">
        <v>106</v>
      </c>
      <c r="C93" t="s">
        <v>107</v>
      </c>
      <c r="D93" t="s">
        <v>226</v>
      </c>
      <c r="E93" t="s">
        <v>133</v>
      </c>
      <c r="F93" t="s">
        <v>24</v>
      </c>
      <c r="G93" t="s">
        <v>25</v>
      </c>
      <c r="H93" t="str">
        <f t="shared" si="2"/>
        <v xml:space="preserve">ESPAÇO REFORMAR (DMP REFORMAS ) | Recorrência:2/5 | Observações: </v>
      </c>
      <c r="I93" t="s">
        <v>26</v>
      </c>
      <c r="J93" s="4">
        <v>351.74</v>
      </c>
      <c r="K93" s="4">
        <v>286572.5</v>
      </c>
      <c r="L93" t="s">
        <v>27</v>
      </c>
      <c r="M93" s="4">
        <v>351.74</v>
      </c>
      <c r="N93" s="3">
        <v>0</v>
      </c>
      <c r="O93" t="s">
        <v>284</v>
      </c>
      <c r="P93" t="s">
        <v>285</v>
      </c>
      <c r="Q93" t="s">
        <v>284</v>
      </c>
      <c r="R93" t="str">
        <f t="shared" si="3"/>
        <v>Sim</v>
      </c>
      <c r="S93" t="s">
        <v>284</v>
      </c>
      <c r="T93" t="s">
        <v>30</v>
      </c>
      <c r="U93" t="s">
        <v>49</v>
      </c>
      <c r="V93" s="3">
        <v>351.74</v>
      </c>
      <c r="W93" t="s">
        <v>49</v>
      </c>
      <c r="X93" s="3">
        <v>351.74</v>
      </c>
    </row>
    <row r="94" spans="1:24" s="2" customFormat="1" x14ac:dyDescent="0.2">
      <c r="A94" s="2">
        <v>94</v>
      </c>
      <c r="B94" t="s">
        <v>71</v>
      </c>
      <c r="C94" t="s">
        <v>72</v>
      </c>
      <c r="D94" t="s">
        <v>286</v>
      </c>
      <c r="E94" t="s">
        <v>30</v>
      </c>
      <c r="F94" t="s">
        <v>24</v>
      </c>
      <c r="G94" t="s">
        <v>25</v>
      </c>
      <c r="H94" t="str">
        <f t="shared" si="2"/>
        <v xml:space="preserve">LATÃO E ARTE (José Donizete Domingos) | Recorrência: | Observações: </v>
      </c>
      <c r="I94" t="s">
        <v>26</v>
      </c>
      <c r="J94" s="4">
        <v>620</v>
      </c>
      <c r="K94" s="4">
        <v>287192.5</v>
      </c>
      <c r="L94" t="s">
        <v>27</v>
      </c>
      <c r="M94" s="4">
        <v>620</v>
      </c>
      <c r="N94" s="3">
        <v>0</v>
      </c>
      <c r="O94" t="s">
        <v>278</v>
      </c>
      <c r="P94" t="s">
        <v>265</v>
      </c>
      <c r="Q94" t="s">
        <v>278</v>
      </c>
      <c r="R94" t="str">
        <f t="shared" si="3"/>
        <v>Sim</v>
      </c>
      <c r="S94" t="s">
        <v>278</v>
      </c>
      <c r="T94" t="s">
        <v>30</v>
      </c>
      <c r="U94" t="s">
        <v>49</v>
      </c>
      <c r="V94" s="3">
        <v>620</v>
      </c>
      <c r="W94" t="s">
        <v>49</v>
      </c>
      <c r="X94" s="3">
        <v>620</v>
      </c>
    </row>
    <row r="95" spans="1:24" s="2" customFormat="1" x14ac:dyDescent="0.2">
      <c r="A95">
        <v>95</v>
      </c>
      <c r="B95"/>
      <c r="C95" t="s">
        <v>251</v>
      </c>
      <c r="D95" t="s">
        <v>288</v>
      </c>
      <c r="E95" t="s">
        <v>30</v>
      </c>
      <c r="F95" t="s">
        <v>24</v>
      </c>
      <c r="G95" t="s">
        <v>25</v>
      </c>
      <c r="H95" t="str">
        <f t="shared" si="2"/>
        <v>IN CASA ( INNOVARE COMERCIO DE MOVEIS) | Recorrência: | Observações: Suíte da Isabela &gt; Aguardando Pagto</v>
      </c>
      <c r="I95" t="s">
        <v>26</v>
      </c>
      <c r="J95" s="4">
        <v>257.44</v>
      </c>
      <c r="K95" s="4">
        <v>287449.94</v>
      </c>
      <c r="L95" t="s">
        <v>27</v>
      </c>
      <c r="M95" s="4">
        <v>257.44</v>
      </c>
      <c r="N95" s="3">
        <v>0</v>
      </c>
      <c r="O95" t="s">
        <v>287</v>
      </c>
      <c r="P95" t="s">
        <v>178</v>
      </c>
      <c r="Q95" t="s">
        <v>289</v>
      </c>
      <c r="R95" t="str">
        <f t="shared" si="3"/>
        <v>Sim</v>
      </c>
      <c r="S95" t="s">
        <v>289</v>
      </c>
      <c r="T95" t="s">
        <v>290</v>
      </c>
      <c r="U95" t="s">
        <v>49</v>
      </c>
      <c r="V95" s="3">
        <v>257.44</v>
      </c>
      <c r="W95" t="s">
        <v>49</v>
      </c>
      <c r="X95" s="3">
        <v>257.44</v>
      </c>
    </row>
    <row r="96" spans="1:24" s="2" customFormat="1" x14ac:dyDescent="0.2">
      <c r="A96" s="2">
        <v>96</v>
      </c>
      <c r="B96"/>
      <c r="C96" t="s">
        <v>292</v>
      </c>
      <c r="D96" t="s">
        <v>226</v>
      </c>
      <c r="E96" t="s">
        <v>38</v>
      </c>
      <c r="F96" t="s">
        <v>24</v>
      </c>
      <c r="G96" t="s">
        <v>25</v>
      </c>
      <c r="H96" t="str">
        <f t="shared" si="2"/>
        <v xml:space="preserve">ESPAÇO REFORMAR (DMP REFORMAS ) | Recorrência:1/3 | Observações: </v>
      </c>
      <c r="I96" t="s">
        <v>26</v>
      </c>
      <c r="J96" s="4">
        <v>2575.2600000000002</v>
      </c>
      <c r="K96" s="4">
        <v>290025.2</v>
      </c>
      <c r="L96" t="s">
        <v>27</v>
      </c>
      <c r="M96" s="4">
        <v>2575.2600000000002</v>
      </c>
      <c r="N96" s="3">
        <v>0</v>
      </c>
      <c r="O96" t="s">
        <v>291</v>
      </c>
      <c r="P96" t="s">
        <v>291</v>
      </c>
      <c r="Q96" t="s">
        <v>291</v>
      </c>
      <c r="R96" t="str">
        <f t="shared" si="3"/>
        <v>Sim</v>
      </c>
      <c r="S96" t="s">
        <v>291</v>
      </c>
      <c r="T96" t="s">
        <v>30</v>
      </c>
      <c r="U96" t="s">
        <v>49</v>
      </c>
      <c r="V96" s="3">
        <v>2575.2600000000002</v>
      </c>
      <c r="W96" t="s">
        <v>49</v>
      </c>
      <c r="X96" s="3">
        <v>2575.2600000000002</v>
      </c>
    </row>
    <row r="97" spans="1:24" s="2" customFormat="1" x14ac:dyDescent="0.2">
      <c r="A97">
        <v>97</v>
      </c>
      <c r="B97"/>
      <c r="C97" t="s">
        <v>180</v>
      </c>
      <c r="D97" t="s">
        <v>294</v>
      </c>
      <c r="E97" t="s">
        <v>148</v>
      </c>
      <c r="F97" t="s">
        <v>24</v>
      </c>
      <c r="G97" t="s">
        <v>25</v>
      </c>
      <c r="H97" t="str">
        <f t="shared" si="2"/>
        <v xml:space="preserve">DANIELA CALITO  E WILLIAM | Recorrência:3/3 | Observações: </v>
      </c>
      <c r="I97" t="s">
        <v>26</v>
      </c>
      <c r="J97" s="4">
        <v>8440</v>
      </c>
      <c r="K97" s="4">
        <v>298465.2</v>
      </c>
      <c r="L97" t="s">
        <v>27</v>
      </c>
      <c r="M97" s="4">
        <v>8440</v>
      </c>
      <c r="N97" s="3">
        <v>0</v>
      </c>
      <c r="O97" t="s">
        <v>293</v>
      </c>
      <c r="P97" t="s">
        <v>295</v>
      </c>
      <c r="Q97" t="s">
        <v>296</v>
      </c>
      <c r="R97" t="str">
        <f t="shared" si="3"/>
        <v>Sim</v>
      </c>
      <c r="S97" t="s">
        <v>296</v>
      </c>
      <c r="T97" t="s">
        <v>30</v>
      </c>
      <c r="U97" t="s">
        <v>182</v>
      </c>
      <c r="V97" s="3">
        <v>8440</v>
      </c>
      <c r="W97" t="s">
        <v>32</v>
      </c>
      <c r="X97" s="3">
        <v>8440</v>
      </c>
    </row>
    <row r="98" spans="1:24" s="2" customFormat="1" x14ac:dyDescent="0.2">
      <c r="A98" s="2">
        <v>98</v>
      </c>
      <c r="B98"/>
      <c r="C98" t="s">
        <v>297</v>
      </c>
      <c r="D98" t="s">
        <v>298</v>
      </c>
      <c r="E98" t="s">
        <v>30</v>
      </c>
      <c r="F98" t="s">
        <v>63</v>
      </c>
      <c r="G98" t="s">
        <v>25</v>
      </c>
      <c r="H98" t="str">
        <f t="shared" si="2"/>
        <v>GUIA INSS 06/20 _RECALCULADA | Recorrência: | Observações: Referente 06/2020</v>
      </c>
      <c r="I98" t="s">
        <v>26</v>
      </c>
      <c r="J98" s="5">
        <v>-797.3</v>
      </c>
      <c r="K98" s="4">
        <v>297667.90000000002</v>
      </c>
      <c r="L98" t="s">
        <v>27</v>
      </c>
      <c r="M98" s="5">
        <v>-797.3</v>
      </c>
      <c r="N98" s="3">
        <v>0</v>
      </c>
      <c r="O98" t="s">
        <v>285</v>
      </c>
      <c r="P98" t="s">
        <v>299</v>
      </c>
      <c r="Q98" t="s">
        <v>285</v>
      </c>
      <c r="R98" t="str">
        <f t="shared" si="3"/>
        <v>Sim</v>
      </c>
      <c r="S98" t="s">
        <v>285</v>
      </c>
      <c r="T98" t="s">
        <v>300</v>
      </c>
      <c r="U98" t="s">
        <v>280</v>
      </c>
      <c r="V98" s="3">
        <v>-797.3</v>
      </c>
      <c r="W98" t="s">
        <v>190</v>
      </c>
      <c r="X98" s="3">
        <v>-797.3</v>
      </c>
    </row>
    <row r="99" spans="1:24" s="2" customFormat="1" x14ac:dyDescent="0.2">
      <c r="A99">
        <v>99</v>
      </c>
      <c r="B99"/>
      <c r="C99" t="s">
        <v>297</v>
      </c>
      <c r="D99" t="s">
        <v>301</v>
      </c>
      <c r="E99" t="s">
        <v>30</v>
      </c>
      <c r="F99" t="s">
        <v>63</v>
      </c>
      <c r="G99" t="s">
        <v>25</v>
      </c>
      <c r="H99" t="str">
        <f t="shared" si="2"/>
        <v xml:space="preserve">GUIA INSS 12/20 _RECALCULADA | Recorrência: | Observações: </v>
      </c>
      <c r="I99" t="s">
        <v>26</v>
      </c>
      <c r="J99" s="5">
        <v>-791.21</v>
      </c>
      <c r="K99" s="4">
        <v>296876.69</v>
      </c>
      <c r="L99" t="s">
        <v>27</v>
      </c>
      <c r="M99" s="5">
        <v>-791.21</v>
      </c>
      <c r="N99" s="3">
        <v>0</v>
      </c>
      <c r="O99" t="s">
        <v>285</v>
      </c>
      <c r="P99" t="s">
        <v>302</v>
      </c>
      <c r="Q99" t="s">
        <v>285</v>
      </c>
      <c r="R99" t="str">
        <f t="shared" si="3"/>
        <v>Sim</v>
      </c>
      <c r="S99" t="s">
        <v>285</v>
      </c>
      <c r="T99" t="s">
        <v>30</v>
      </c>
      <c r="U99" t="s">
        <v>280</v>
      </c>
      <c r="V99" s="3">
        <v>-791.21</v>
      </c>
      <c r="W99" t="s">
        <v>190</v>
      </c>
      <c r="X99" s="3">
        <v>-791.21</v>
      </c>
    </row>
    <row r="100" spans="1:24" s="2" customFormat="1" x14ac:dyDescent="0.2">
      <c r="A100" s="2">
        <v>100</v>
      </c>
      <c r="B100"/>
      <c r="C100" t="s">
        <v>297</v>
      </c>
      <c r="D100" t="s">
        <v>303</v>
      </c>
      <c r="E100" t="s">
        <v>30</v>
      </c>
      <c r="F100" t="s">
        <v>63</v>
      </c>
      <c r="G100" t="s">
        <v>25</v>
      </c>
      <c r="H100" t="str">
        <f t="shared" si="2"/>
        <v xml:space="preserve">OUTRAS ENTIDADES 03/21 | Recorrência: | Observações: </v>
      </c>
      <c r="I100" t="s">
        <v>26</v>
      </c>
      <c r="J100" s="5">
        <v>-105.85</v>
      </c>
      <c r="K100" s="4">
        <v>296770.84000000003</v>
      </c>
      <c r="L100" t="s">
        <v>27</v>
      </c>
      <c r="M100" s="5">
        <v>-105.85</v>
      </c>
      <c r="N100" s="3">
        <v>0</v>
      </c>
      <c r="O100" t="s">
        <v>285</v>
      </c>
      <c r="P100" t="s">
        <v>123</v>
      </c>
      <c r="Q100" t="s">
        <v>285</v>
      </c>
      <c r="R100" t="str">
        <f t="shared" si="3"/>
        <v>Sim</v>
      </c>
      <c r="S100" t="s">
        <v>285</v>
      </c>
      <c r="T100" t="s">
        <v>30</v>
      </c>
      <c r="U100" t="s">
        <v>280</v>
      </c>
      <c r="V100" s="3">
        <v>-105.85</v>
      </c>
      <c r="W100" t="s">
        <v>190</v>
      </c>
      <c r="X100" s="3">
        <v>-105.85</v>
      </c>
    </row>
    <row r="101" spans="1:24" s="2" customFormat="1" x14ac:dyDescent="0.2">
      <c r="A101">
        <v>101</v>
      </c>
      <c r="B101"/>
      <c r="C101" t="s">
        <v>304</v>
      </c>
      <c r="D101" t="s">
        <v>47</v>
      </c>
      <c r="E101" t="s">
        <v>58</v>
      </c>
      <c r="F101" t="s">
        <v>24</v>
      </c>
      <c r="G101" t="s">
        <v>25</v>
      </c>
      <c r="H101" t="str">
        <f t="shared" si="2"/>
        <v>SILVESTRE VIDROS | Recorrência:1/6 | Observações: Pedido 44192</v>
      </c>
      <c r="I101" t="s">
        <v>26</v>
      </c>
      <c r="J101" s="4">
        <v>184.01</v>
      </c>
      <c r="K101" s="4">
        <v>296954.84999999998</v>
      </c>
      <c r="L101" t="s">
        <v>27</v>
      </c>
      <c r="M101" s="4">
        <v>184.01</v>
      </c>
      <c r="N101" s="3">
        <v>0</v>
      </c>
      <c r="O101" t="s">
        <v>285</v>
      </c>
      <c r="P101" t="s">
        <v>267</v>
      </c>
      <c r="Q101" t="s">
        <v>285</v>
      </c>
      <c r="R101" t="str">
        <f t="shared" si="3"/>
        <v>Sim</v>
      </c>
      <c r="S101" t="s">
        <v>285</v>
      </c>
      <c r="T101" t="s">
        <v>305</v>
      </c>
      <c r="U101" t="s">
        <v>49</v>
      </c>
      <c r="V101" s="3">
        <v>184.01</v>
      </c>
      <c r="W101" t="s">
        <v>49</v>
      </c>
      <c r="X101" s="3">
        <v>184.01</v>
      </c>
    </row>
    <row r="102" spans="1:24" s="2" customFormat="1" x14ac:dyDescent="0.2">
      <c r="A102" s="2">
        <v>102</v>
      </c>
      <c r="B102" t="s">
        <v>45</v>
      </c>
      <c r="C102" t="s">
        <v>46</v>
      </c>
      <c r="D102" t="s">
        <v>118</v>
      </c>
      <c r="E102" t="s">
        <v>30</v>
      </c>
      <c r="F102" t="s">
        <v>24</v>
      </c>
      <c r="G102" t="s">
        <v>25</v>
      </c>
      <c r="H102" t="str">
        <f t="shared" si="2"/>
        <v>JRJ TECIDOS_ROTERGAN TECIDOS  | Recorrência: | Observações: Complemento Pedido 67933</v>
      </c>
      <c r="I102" t="s">
        <v>26</v>
      </c>
      <c r="J102" s="4">
        <v>64.599999999999994</v>
      </c>
      <c r="K102" s="4">
        <v>297019.45</v>
      </c>
      <c r="L102" t="s">
        <v>27</v>
      </c>
      <c r="M102" s="4">
        <v>64.599999999999994</v>
      </c>
      <c r="N102" s="3">
        <v>0</v>
      </c>
      <c r="O102" t="s">
        <v>306</v>
      </c>
      <c r="P102" t="s">
        <v>173</v>
      </c>
      <c r="Q102" t="s">
        <v>307</v>
      </c>
      <c r="R102" t="str">
        <f t="shared" si="3"/>
        <v>Sim</v>
      </c>
      <c r="S102" t="s">
        <v>307</v>
      </c>
      <c r="T102" t="s">
        <v>308</v>
      </c>
      <c r="U102" t="s">
        <v>49</v>
      </c>
      <c r="V102" s="3">
        <v>64.599999999999994</v>
      </c>
      <c r="W102" t="s">
        <v>49</v>
      </c>
      <c r="X102" s="3">
        <v>64.599999999999994</v>
      </c>
    </row>
    <row r="103" spans="1:24" s="2" customFormat="1" x14ac:dyDescent="0.2">
      <c r="A103">
        <v>103</v>
      </c>
      <c r="B103"/>
      <c r="C103" t="s">
        <v>232</v>
      </c>
      <c r="D103" t="s">
        <v>309</v>
      </c>
      <c r="E103" t="s">
        <v>38</v>
      </c>
      <c r="F103" t="s">
        <v>24</v>
      </c>
      <c r="G103" t="s">
        <v>25</v>
      </c>
      <c r="H103" t="str">
        <f t="shared" si="2"/>
        <v xml:space="preserve">MARÍLIA ZINGARI ROCHOLLI GRANJEIRO | Recorrência:1/3 | Observações: </v>
      </c>
      <c r="I103" t="s">
        <v>26</v>
      </c>
      <c r="J103" s="4">
        <v>4200</v>
      </c>
      <c r="K103" s="4">
        <v>301219.45</v>
      </c>
      <c r="L103" t="s">
        <v>27</v>
      </c>
      <c r="M103" s="4">
        <v>4200</v>
      </c>
      <c r="N103" s="3">
        <v>0</v>
      </c>
      <c r="O103" t="s">
        <v>306</v>
      </c>
      <c r="P103" t="s">
        <v>291</v>
      </c>
      <c r="Q103" t="s">
        <v>306</v>
      </c>
      <c r="R103" t="str">
        <f t="shared" si="3"/>
        <v>Sim</v>
      </c>
      <c r="S103" t="s">
        <v>306</v>
      </c>
      <c r="T103" t="s">
        <v>30</v>
      </c>
      <c r="U103" t="s">
        <v>31</v>
      </c>
      <c r="V103" s="3">
        <v>4200</v>
      </c>
      <c r="W103" t="s">
        <v>32</v>
      </c>
      <c r="X103" s="3">
        <v>4200</v>
      </c>
    </row>
    <row r="104" spans="1:24" s="2" customFormat="1" x14ac:dyDescent="0.2">
      <c r="A104" s="2">
        <v>104</v>
      </c>
      <c r="B104"/>
      <c r="C104" t="s">
        <v>304</v>
      </c>
      <c r="D104" t="s">
        <v>311</v>
      </c>
      <c r="E104" t="s">
        <v>30</v>
      </c>
      <c r="F104" t="s">
        <v>24</v>
      </c>
      <c r="G104" t="s">
        <v>25</v>
      </c>
      <c r="H104" t="str">
        <f t="shared" si="2"/>
        <v xml:space="preserve">PORTOBELLO SÃO CAETANO (PHERRARA COM) | Recorrência: | Observações: </v>
      </c>
      <c r="I104" t="s">
        <v>26</v>
      </c>
      <c r="J104" s="4">
        <v>269.07</v>
      </c>
      <c r="K104" s="4">
        <v>301488.52</v>
      </c>
      <c r="L104" t="s">
        <v>27</v>
      </c>
      <c r="M104" s="4">
        <v>269.07</v>
      </c>
      <c r="N104" s="3">
        <v>0</v>
      </c>
      <c r="O104" t="s">
        <v>310</v>
      </c>
      <c r="P104" t="s">
        <v>293</v>
      </c>
      <c r="Q104" t="s">
        <v>293</v>
      </c>
      <c r="R104" t="str">
        <f t="shared" si="3"/>
        <v>Sim</v>
      </c>
      <c r="S104" t="s">
        <v>293</v>
      </c>
      <c r="T104" t="s">
        <v>30</v>
      </c>
      <c r="U104" t="s">
        <v>49</v>
      </c>
      <c r="V104" s="3">
        <v>269.07</v>
      </c>
      <c r="W104" t="s">
        <v>49</v>
      </c>
      <c r="X104" s="3">
        <v>269.07</v>
      </c>
    </row>
    <row r="105" spans="1:24" s="2" customFormat="1" x14ac:dyDescent="0.2">
      <c r="A105">
        <v>105</v>
      </c>
      <c r="B105"/>
      <c r="C105" t="s">
        <v>153</v>
      </c>
      <c r="D105" t="s">
        <v>159</v>
      </c>
      <c r="E105" t="s">
        <v>30</v>
      </c>
      <c r="F105" t="s">
        <v>63</v>
      </c>
      <c r="G105" t="s">
        <v>25</v>
      </c>
      <c r="H105" t="str">
        <f t="shared" si="2"/>
        <v>DIARISTA JULIANA  | Recorrência: | Observações: Ref: 4 diárias &gt; 07/07 a 28/07</v>
      </c>
      <c r="I105" t="s">
        <v>26</v>
      </c>
      <c r="J105" s="5">
        <v>-320</v>
      </c>
      <c r="K105" s="4">
        <v>301168.52</v>
      </c>
      <c r="L105" t="s">
        <v>27</v>
      </c>
      <c r="M105" s="5">
        <v>-320</v>
      </c>
      <c r="N105" s="3">
        <v>0</v>
      </c>
      <c r="O105" t="s">
        <v>312</v>
      </c>
      <c r="P105" t="s">
        <v>281</v>
      </c>
      <c r="Q105" t="s">
        <v>313</v>
      </c>
      <c r="R105" t="str">
        <f t="shared" si="3"/>
        <v>Sim</v>
      </c>
      <c r="S105" t="s">
        <v>313</v>
      </c>
      <c r="T105" t="s">
        <v>314</v>
      </c>
      <c r="U105" t="s">
        <v>158</v>
      </c>
      <c r="V105" s="3">
        <v>-320</v>
      </c>
      <c r="W105" t="s">
        <v>158</v>
      </c>
      <c r="X105" s="3">
        <v>-320</v>
      </c>
    </row>
    <row r="106" spans="1:24" s="2" customFormat="1" x14ac:dyDescent="0.2">
      <c r="A106" s="2">
        <v>106</v>
      </c>
      <c r="B106"/>
      <c r="C106" t="s">
        <v>315</v>
      </c>
      <c r="D106" t="s">
        <v>201</v>
      </c>
      <c r="E106" t="s">
        <v>30</v>
      </c>
      <c r="F106" t="s">
        <v>24</v>
      </c>
      <c r="G106" t="s">
        <v>25</v>
      </c>
      <c r="H106" t="str">
        <f t="shared" si="2"/>
        <v xml:space="preserve">PORMADE (DRZ PORTAS ECOLOGICAS) | Recorrência: | Observações: Bonificação período 20 a 31/07 para recebimento </v>
      </c>
      <c r="I106" t="s">
        <v>26</v>
      </c>
      <c r="J106" s="4">
        <v>421.74</v>
      </c>
      <c r="K106" s="4">
        <v>301590.26</v>
      </c>
      <c r="L106" t="s">
        <v>27</v>
      </c>
      <c r="M106" s="4">
        <v>421.74</v>
      </c>
      <c r="N106" s="3">
        <v>0</v>
      </c>
      <c r="O106" t="s">
        <v>312</v>
      </c>
      <c r="P106" t="s">
        <v>173</v>
      </c>
      <c r="Q106" t="s">
        <v>312</v>
      </c>
      <c r="R106" t="str">
        <f t="shared" si="3"/>
        <v>Sim</v>
      </c>
      <c r="S106" t="s">
        <v>312</v>
      </c>
      <c r="T106" t="s">
        <v>316</v>
      </c>
      <c r="U106" t="s">
        <v>49</v>
      </c>
      <c r="V106" s="3">
        <v>421.74</v>
      </c>
      <c r="W106" t="s">
        <v>49</v>
      </c>
      <c r="X106" s="3">
        <v>421.74</v>
      </c>
    </row>
    <row r="107" spans="1:24" s="2" customFormat="1" x14ac:dyDescent="0.2">
      <c r="A107">
        <v>107</v>
      </c>
      <c r="B107"/>
      <c r="C107" t="s">
        <v>153</v>
      </c>
      <c r="D107" t="s">
        <v>317</v>
      </c>
      <c r="E107" t="s">
        <v>30</v>
      </c>
      <c r="F107" t="s">
        <v>63</v>
      </c>
      <c r="G107" t="s">
        <v>25</v>
      </c>
      <c r="H107" t="str">
        <f t="shared" si="2"/>
        <v xml:space="preserve">WEBDAS HOSPEDAGEM DO SITE | Recorrência: | Observações: ALTERAÇÃO DO SITE </v>
      </c>
      <c r="I107" t="s">
        <v>26</v>
      </c>
      <c r="J107" s="5">
        <v>-475</v>
      </c>
      <c r="K107" s="4">
        <v>301115.26</v>
      </c>
      <c r="L107" t="s">
        <v>27</v>
      </c>
      <c r="M107" s="5">
        <v>-475</v>
      </c>
      <c r="N107" s="3">
        <v>0</v>
      </c>
      <c r="O107" t="s">
        <v>312</v>
      </c>
      <c r="P107" t="s">
        <v>310</v>
      </c>
      <c r="Q107" t="s">
        <v>289</v>
      </c>
      <c r="R107" t="str">
        <f t="shared" si="3"/>
        <v>Sim</v>
      </c>
      <c r="S107" t="s">
        <v>289</v>
      </c>
      <c r="T107" t="s">
        <v>318</v>
      </c>
      <c r="U107" t="s">
        <v>319</v>
      </c>
      <c r="V107" s="3">
        <v>-475</v>
      </c>
      <c r="W107" t="s">
        <v>190</v>
      </c>
      <c r="X107" s="3">
        <v>-475</v>
      </c>
    </row>
    <row r="108" spans="1:24" s="2" customFormat="1" x14ac:dyDescent="0.2">
      <c r="A108" s="2">
        <v>108</v>
      </c>
      <c r="B108"/>
      <c r="C108" t="s">
        <v>153</v>
      </c>
      <c r="D108" t="s">
        <v>321</v>
      </c>
      <c r="E108" t="s">
        <v>320</v>
      </c>
      <c r="F108" t="s">
        <v>63</v>
      </c>
      <c r="G108" t="s">
        <v>25</v>
      </c>
      <c r="H108" t="str">
        <f t="shared" si="2"/>
        <v xml:space="preserve">POLIANA PAULINO_ SALÁRIO | Recorrência:1/12 | Observações: ESTAGIÁRIA </v>
      </c>
      <c r="I108" t="s">
        <v>26</v>
      </c>
      <c r="J108" s="5">
        <v>-1530</v>
      </c>
      <c r="K108" s="4">
        <v>299585.26</v>
      </c>
      <c r="L108" t="s">
        <v>27</v>
      </c>
      <c r="M108" s="5">
        <v>-1530</v>
      </c>
      <c r="N108" s="3">
        <v>0</v>
      </c>
      <c r="O108" t="s">
        <v>312</v>
      </c>
      <c r="P108" t="s">
        <v>224</v>
      </c>
      <c r="Q108" t="s">
        <v>312</v>
      </c>
      <c r="R108" t="str">
        <f t="shared" si="3"/>
        <v>Sim</v>
      </c>
      <c r="S108" t="s">
        <v>312</v>
      </c>
      <c r="T108" t="s">
        <v>322</v>
      </c>
      <c r="U108" t="s">
        <v>323</v>
      </c>
      <c r="V108" s="3">
        <v>-1530</v>
      </c>
      <c r="W108" t="s">
        <v>324</v>
      </c>
      <c r="X108" s="3">
        <v>-1530</v>
      </c>
    </row>
    <row r="109" spans="1:24" s="2" customFormat="1" x14ac:dyDescent="0.2">
      <c r="A109">
        <v>109</v>
      </c>
      <c r="B109" t="s">
        <v>71</v>
      </c>
      <c r="C109" t="s">
        <v>72</v>
      </c>
      <c r="D109" t="s">
        <v>325</v>
      </c>
      <c r="E109" t="s">
        <v>30</v>
      </c>
      <c r="F109" t="s">
        <v>24</v>
      </c>
      <c r="G109" t="s">
        <v>25</v>
      </c>
      <c r="H109" t="str">
        <f t="shared" si="2"/>
        <v>VIA MADEIRA (HAEHLING) | Recorrência: | Observações: Armarios extras – 1.550,00  Parcela 5 dividida em 2x – R$ 1.200,00</v>
      </c>
      <c r="I109" t="s">
        <v>26</v>
      </c>
      <c r="J109" s="4">
        <v>2750</v>
      </c>
      <c r="K109" s="4">
        <v>302335.26</v>
      </c>
      <c r="L109" t="s">
        <v>27</v>
      </c>
      <c r="M109" s="4">
        <v>2750</v>
      </c>
      <c r="N109" s="3">
        <v>0</v>
      </c>
      <c r="O109" t="s">
        <v>313</v>
      </c>
      <c r="P109" t="s">
        <v>291</v>
      </c>
      <c r="Q109" t="s">
        <v>313</v>
      </c>
      <c r="R109" t="str">
        <f t="shared" si="3"/>
        <v>Sim</v>
      </c>
      <c r="S109" t="s">
        <v>313</v>
      </c>
      <c r="T109" t="s">
        <v>326</v>
      </c>
      <c r="U109" t="s">
        <v>49</v>
      </c>
      <c r="V109" s="3">
        <v>2750</v>
      </c>
      <c r="W109" t="s">
        <v>49</v>
      </c>
      <c r="X109" s="3">
        <v>2750</v>
      </c>
    </row>
    <row r="110" spans="1:24" s="2" customFormat="1" x14ac:dyDescent="0.2">
      <c r="A110" s="2">
        <v>110</v>
      </c>
      <c r="B110"/>
      <c r="C110" t="s">
        <v>258</v>
      </c>
      <c r="D110" t="s">
        <v>258</v>
      </c>
      <c r="E110" t="s">
        <v>95</v>
      </c>
      <c r="F110" t="s">
        <v>24</v>
      </c>
      <c r="G110" t="s">
        <v>25</v>
      </c>
      <c r="H110" t="str">
        <f t="shared" si="2"/>
        <v>MANUELA REZENDE DE CARVALHO | Recorrência:2/2 | Observações: 01 DE 02</v>
      </c>
      <c r="I110" t="s">
        <v>26</v>
      </c>
      <c r="J110" s="4">
        <v>4500</v>
      </c>
      <c r="K110" s="4">
        <v>306835.26</v>
      </c>
      <c r="L110" t="s">
        <v>27</v>
      </c>
      <c r="M110" s="4">
        <v>4500</v>
      </c>
      <c r="N110" s="3">
        <v>0</v>
      </c>
      <c r="O110" t="s">
        <v>272</v>
      </c>
      <c r="P110" t="s">
        <v>327</v>
      </c>
      <c r="Q110" t="s">
        <v>328</v>
      </c>
      <c r="R110" t="str">
        <f t="shared" si="3"/>
        <v>Sim</v>
      </c>
      <c r="S110" t="s">
        <v>328</v>
      </c>
      <c r="T110" t="s">
        <v>329</v>
      </c>
      <c r="U110" t="s">
        <v>182</v>
      </c>
      <c r="V110" s="3">
        <v>4500</v>
      </c>
      <c r="W110" t="s">
        <v>32</v>
      </c>
      <c r="X110" s="3">
        <v>4500</v>
      </c>
    </row>
    <row r="111" spans="1:24" s="2" customFormat="1" x14ac:dyDescent="0.2">
      <c r="A111">
        <v>111</v>
      </c>
      <c r="B111"/>
      <c r="C111" t="s">
        <v>153</v>
      </c>
      <c r="D111" t="s">
        <v>151</v>
      </c>
      <c r="E111" t="s">
        <v>30</v>
      </c>
      <c r="F111" t="s">
        <v>63</v>
      </c>
      <c r="G111" t="s">
        <v>25</v>
      </c>
      <c r="H111" t="str">
        <f t="shared" si="2"/>
        <v xml:space="preserve">SODEXO - Eliane  | Recorrência: | Observações: </v>
      </c>
      <c r="I111" t="s">
        <v>26</v>
      </c>
      <c r="J111" s="5">
        <v>-594</v>
      </c>
      <c r="K111" s="4">
        <v>306241.26</v>
      </c>
      <c r="L111" t="s">
        <v>27</v>
      </c>
      <c r="M111" s="5">
        <v>-594</v>
      </c>
      <c r="N111" s="3">
        <v>0</v>
      </c>
      <c r="O111" t="s">
        <v>272</v>
      </c>
      <c r="P111" t="s">
        <v>272</v>
      </c>
      <c r="Q111" t="s">
        <v>330</v>
      </c>
      <c r="R111" t="str">
        <f t="shared" si="3"/>
        <v>Sim</v>
      </c>
      <c r="S111" t="s">
        <v>330</v>
      </c>
      <c r="T111" t="s">
        <v>30</v>
      </c>
      <c r="U111" t="s">
        <v>93</v>
      </c>
      <c r="V111" s="3">
        <v>-594</v>
      </c>
      <c r="W111" t="s">
        <v>331</v>
      </c>
      <c r="X111" s="3">
        <v>-594</v>
      </c>
    </row>
    <row r="112" spans="1:24" s="2" customFormat="1" x14ac:dyDescent="0.2">
      <c r="A112" s="2">
        <v>112</v>
      </c>
      <c r="B112"/>
      <c r="C112" t="s">
        <v>292</v>
      </c>
      <c r="D112" t="s">
        <v>332</v>
      </c>
      <c r="E112" t="s">
        <v>30</v>
      </c>
      <c r="F112" t="s">
        <v>24</v>
      </c>
      <c r="G112" t="s">
        <v>25</v>
      </c>
      <c r="H112" t="str">
        <f t="shared" si="2"/>
        <v xml:space="preserve">BRETON ( Total Home Comercio de Móveis Eireli) | Recorrência: | Observações: Solicitado NF &gt; Após envio_Pagto após 10 dias </v>
      </c>
      <c r="I112" t="s">
        <v>26</v>
      </c>
      <c r="J112" s="4">
        <v>5642.64</v>
      </c>
      <c r="K112" s="4">
        <v>311883.90000000002</v>
      </c>
      <c r="L112" t="s">
        <v>27</v>
      </c>
      <c r="M112" s="4">
        <v>5642.64</v>
      </c>
      <c r="N112" s="3">
        <v>0</v>
      </c>
      <c r="O112" t="s">
        <v>289</v>
      </c>
      <c r="P112" t="s">
        <v>333</v>
      </c>
      <c r="Q112" t="s">
        <v>310</v>
      </c>
      <c r="R112" t="str">
        <f t="shared" si="3"/>
        <v>Sim</v>
      </c>
      <c r="S112" t="s">
        <v>310</v>
      </c>
      <c r="T112" t="s">
        <v>334</v>
      </c>
      <c r="U112" t="s">
        <v>49</v>
      </c>
      <c r="V112" s="3">
        <v>5642.64</v>
      </c>
      <c r="W112" t="s">
        <v>49</v>
      </c>
      <c r="X112" s="3">
        <v>5642.64</v>
      </c>
    </row>
    <row r="113" spans="1:24" s="2" customFormat="1" x14ac:dyDescent="0.2">
      <c r="A113">
        <v>113</v>
      </c>
      <c r="B113"/>
      <c r="C113" t="s">
        <v>153</v>
      </c>
      <c r="D113" t="s">
        <v>336</v>
      </c>
      <c r="E113" t="s">
        <v>320</v>
      </c>
      <c r="F113" t="s">
        <v>63</v>
      </c>
      <c r="G113" t="s">
        <v>25</v>
      </c>
      <c r="H113" t="str">
        <f t="shared" si="2"/>
        <v xml:space="preserve"> ESTACIONAMENTO_JR3 SERVIÇOS | Recorrência:1/12 | Observações: PAGO 22/07</v>
      </c>
      <c r="I113" t="s">
        <v>26</v>
      </c>
      <c r="J113" s="5">
        <v>-190</v>
      </c>
      <c r="K113" s="4">
        <v>311693.90000000002</v>
      </c>
      <c r="L113" t="s">
        <v>27</v>
      </c>
      <c r="M113" s="5">
        <v>-190</v>
      </c>
      <c r="N113" s="3">
        <v>0</v>
      </c>
      <c r="O113" t="s">
        <v>335</v>
      </c>
      <c r="P113" t="s">
        <v>337</v>
      </c>
      <c r="Q113" t="s">
        <v>338</v>
      </c>
      <c r="R113" t="str">
        <f t="shared" si="3"/>
        <v>Sim</v>
      </c>
      <c r="S113" t="s">
        <v>338</v>
      </c>
      <c r="T113" t="s">
        <v>339</v>
      </c>
      <c r="U113" t="s">
        <v>340</v>
      </c>
      <c r="V113" s="3">
        <v>-190</v>
      </c>
      <c r="W113" t="s">
        <v>190</v>
      </c>
      <c r="X113" s="3">
        <v>-190</v>
      </c>
    </row>
    <row r="114" spans="1:24" s="2" customFormat="1" x14ac:dyDescent="0.2">
      <c r="A114" s="2">
        <v>114</v>
      </c>
      <c r="B114" t="s">
        <v>106</v>
      </c>
      <c r="C114" t="s">
        <v>107</v>
      </c>
      <c r="D114" t="s">
        <v>47</v>
      </c>
      <c r="E114" t="s">
        <v>34</v>
      </c>
      <c r="F114" t="s">
        <v>24</v>
      </c>
      <c r="G114" t="s">
        <v>25</v>
      </c>
      <c r="H114" t="str">
        <f t="shared" si="2"/>
        <v xml:space="preserve">SILVESTRE VIDROS | Recorrência:2/4 | Observações: </v>
      </c>
      <c r="I114" t="s">
        <v>26</v>
      </c>
      <c r="J114" s="4">
        <v>124.26</v>
      </c>
      <c r="K114" s="4">
        <v>311818.15999999997</v>
      </c>
      <c r="L114" t="s">
        <v>27</v>
      </c>
      <c r="M114" s="4">
        <v>124.26</v>
      </c>
      <c r="N114" s="3">
        <v>0</v>
      </c>
      <c r="O114" t="s">
        <v>335</v>
      </c>
      <c r="P114" t="s">
        <v>224</v>
      </c>
      <c r="Q114" t="s">
        <v>335</v>
      </c>
      <c r="R114" t="str">
        <f t="shared" si="3"/>
        <v>Sim</v>
      </c>
      <c r="S114" t="s">
        <v>335</v>
      </c>
      <c r="T114" t="s">
        <v>30</v>
      </c>
      <c r="U114" t="s">
        <v>49</v>
      </c>
      <c r="V114" s="3">
        <v>124.26</v>
      </c>
      <c r="W114" t="s">
        <v>49</v>
      </c>
      <c r="X114" s="3">
        <v>124.26</v>
      </c>
    </row>
    <row r="115" spans="1:24" s="2" customFormat="1" x14ac:dyDescent="0.2">
      <c r="A115">
        <v>115</v>
      </c>
      <c r="B115"/>
      <c r="C115" t="s">
        <v>341</v>
      </c>
      <c r="D115" t="s">
        <v>341</v>
      </c>
      <c r="E115" t="s">
        <v>38</v>
      </c>
      <c r="F115" t="s">
        <v>24</v>
      </c>
      <c r="G115" t="s">
        <v>25</v>
      </c>
      <c r="H115" t="str">
        <f t="shared" si="2"/>
        <v xml:space="preserve">CARDIAL ALIMENTOS | Recorrência:1/3 | Observações: </v>
      </c>
      <c r="I115" t="s">
        <v>26</v>
      </c>
      <c r="J115" s="4">
        <v>500</v>
      </c>
      <c r="K115" s="4">
        <v>312318.15999999997</v>
      </c>
      <c r="L115" t="s">
        <v>27</v>
      </c>
      <c r="M115" s="4">
        <v>500</v>
      </c>
      <c r="N115" s="3">
        <v>0</v>
      </c>
      <c r="O115" t="s">
        <v>335</v>
      </c>
      <c r="P115" t="s">
        <v>272</v>
      </c>
      <c r="Q115" t="s">
        <v>335</v>
      </c>
      <c r="R115" t="str">
        <f t="shared" si="3"/>
        <v>Sim</v>
      </c>
      <c r="S115" t="s">
        <v>335</v>
      </c>
      <c r="T115" t="s">
        <v>30</v>
      </c>
      <c r="U115" t="s">
        <v>31</v>
      </c>
      <c r="V115" s="3">
        <v>500</v>
      </c>
      <c r="W115" t="s">
        <v>32</v>
      </c>
      <c r="X115" s="3">
        <v>500</v>
      </c>
    </row>
    <row r="116" spans="1:24" s="2" customFormat="1" x14ac:dyDescent="0.2">
      <c r="A116" s="2">
        <v>116</v>
      </c>
      <c r="B116"/>
      <c r="C116" t="s">
        <v>153</v>
      </c>
      <c r="D116" t="s">
        <v>342</v>
      </c>
      <c r="E116" t="s">
        <v>30</v>
      </c>
      <c r="F116" t="s">
        <v>63</v>
      </c>
      <c r="G116" t="s">
        <v>25</v>
      </c>
      <c r="H116" t="str">
        <f t="shared" si="2"/>
        <v>LARISSA ROSSETI GONÇALVES CAV | Recorrência: | Observações: RENDERIZAÇÃO</v>
      </c>
      <c r="I116" t="s">
        <v>26</v>
      </c>
      <c r="J116" s="5">
        <v>-760</v>
      </c>
      <c r="K116" s="4">
        <v>311558.15999999997</v>
      </c>
      <c r="L116" t="s">
        <v>27</v>
      </c>
      <c r="M116" s="5">
        <v>-760</v>
      </c>
      <c r="N116" s="3">
        <v>0</v>
      </c>
      <c r="O116" t="s">
        <v>335</v>
      </c>
      <c r="P116" t="s">
        <v>265</v>
      </c>
      <c r="Q116" t="s">
        <v>335</v>
      </c>
      <c r="R116" t="str">
        <f t="shared" si="3"/>
        <v>Sim</v>
      </c>
      <c r="S116" t="s">
        <v>335</v>
      </c>
      <c r="T116" t="s">
        <v>343</v>
      </c>
      <c r="U116" t="s">
        <v>344</v>
      </c>
      <c r="V116" s="3">
        <v>-760</v>
      </c>
    </row>
    <row r="117" spans="1:24" s="2" customFormat="1" x14ac:dyDescent="0.2">
      <c r="A117">
        <v>117</v>
      </c>
      <c r="B117"/>
      <c r="C117" t="s">
        <v>346</v>
      </c>
      <c r="D117" t="s">
        <v>158</v>
      </c>
      <c r="E117" t="s">
        <v>30</v>
      </c>
      <c r="F117" t="s">
        <v>63</v>
      </c>
      <c r="G117" t="s">
        <v>25</v>
      </c>
      <c r="H117" t="str">
        <f t="shared" si="2"/>
        <v>GASTOS EXTRAS | Recorrência: | Observações: CADEIRA GIRATÓRIA DIR BOSTON</v>
      </c>
      <c r="I117" t="s">
        <v>26</v>
      </c>
      <c r="J117" s="5">
        <v>-818.61</v>
      </c>
      <c r="K117" s="4">
        <v>310739.55</v>
      </c>
      <c r="L117" t="s">
        <v>27</v>
      </c>
      <c r="M117" s="5">
        <v>-818.61</v>
      </c>
      <c r="N117" s="3">
        <v>0</v>
      </c>
      <c r="O117" t="s">
        <v>345</v>
      </c>
      <c r="P117" t="s">
        <v>345</v>
      </c>
      <c r="Q117" t="s">
        <v>345</v>
      </c>
      <c r="R117" t="str">
        <f t="shared" si="3"/>
        <v>Sim</v>
      </c>
      <c r="S117" t="s">
        <v>345</v>
      </c>
      <c r="T117" t="s">
        <v>347</v>
      </c>
      <c r="U117" t="s">
        <v>158</v>
      </c>
      <c r="V117" s="3">
        <v>-818.61</v>
      </c>
      <c r="W117" t="s">
        <v>190</v>
      </c>
      <c r="X117" s="3">
        <v>-818.61</v>
      </c>
    </row>
    <row r="118" spans="1:24" s="2" customFormat="1" x14ac:dyDescent="0.2">
      <c r="A118" s="2">
        <v>118</v>
      </c>
      <c r="B118" t="s">
        <v>106</v>
      </c>
      <c r="C118" t="s">
        <v>107</v>
      </c>
      <c r="D118" t="s">
        <v>39</v>
      </c>
      <c r="E118" t="s">
        <v>30</v>
      </c>
      <c r="F118" t="s">
        <v>24</v>
      </c>
      <c r="G118" t="s">
        <v>25</v>
      </c>
      <c r="H118" t="str">
        <f t="shared" si="2"/>
        <v xml:space="preserve">FAUSTO VARGAS BOLDRINI _MARIEL ROMANI  | Recorrência: | Observações: </v>
      </c>
      <c r="I118" t="s">
        <v>26</v>
      </c>
      <c r="J118" s="4">
        <v>5000</v>
      </c>
      <c r="K118" s="4">
        <v>315739.55</v>
      </c>
      <c r="L118" t="s">
        <v>27</v>
      </c>
      <c r="M118" s="4">
        <v>5000</v>
      </c>
      <c r="N118" s="3">
        <v>0</v>
      </c>
      <c r="O118" t="s">
        <v>345</v>
      </c>
      <c r="P118" t="s">
        <v>345</v>
      </c>
      <c r="Q118" t="s">
        <v>345</v>
      </c>
      <c r="R118" t="str">
        <f t="shared" si="3"/>
        <v>Sim</v>
      </c>
      <c r="S118" t="s">
        <v>345</v>
      </c>
      <c r="T118" t="s">
        <v>30</v>
      </c>
      <c r="U118" t="s">
        <v>274</v>
      </c>
      <c r="V118" s="3">
        <v>5000</v>
      </c>
      <c r="W118" t="s">
        <v>233</v>
      </c>
      <c r="X118" s="3">
        <v>5000</v>
      </c>
    </row>
    <row r="119" spans="1:24" s="2" customFormat="1" x14ac:dyDescent="0.2">
      <c r="A119">
        <v>119</v>
      </c>
      <c r="B119" t="s">
        <v>106</v>
      </c>
      <c r="C119" t="s">
        <v>107</v>
      </c>
      <c r="D119" t="s">
        <v>349</v>
      </c>
      <c r="E119" t="s">
        <v>30</v>
      </c>
      <c r="F119" t="s">
        <v>24</v>
      </c>
      <c r="G119" t="s">
        <v>25</v>
      </c>
      <c r="H119" t="str">
        <f t="shared" si="2"/>
        <v xml:space="preserve">ORUY (KAWÁ IND E COMERCIO) | Recorrência: | Observações: 5%Sem NF </v>
      </c>
      <c r="I119" t="s">
        <v>26</v>
      </c>
      <c r="J119" s="4">
        <v>207.1</v>
      </c>
      <c r="K119" s="4">
        <v>315946.65000000002</v>
      </c>
      <c r="L119" t="s">
        <v>27</v>
      </c>
      <c r="M119" s="4">
        <v>207.1</v>
      </c>
      <c r="N119" s="3">
        <v>0</v>
      </c>
      <c r="O119" t="s">
        <v>348</v>
      </c>
      <c r="P119" t="s">
        <v>295</v>
      </c>
      <c r="Q119" t="s">
        <v>350</v>
      </c>
      <c r="R119" t="str">
        <f t="shared" si="3"/>
        <v>Sim</v>
      </c>
      <c r="S119" t="s">
        <v>350</v>
      </c>
      <c r="T119" t="s">
        <v>351</v>
      </c>
      <c r="U119" t="s">
        <v>49</v>
      </c>
      <c r="V119" s="3">
        <v>207.1</v>
      </c>
      <c r="W119" t="s">
        <v>49</v>
      </c>
      <c r="X119" s="3">
        <v>207.1</v>
      </c>
    </row>
    <row r="120" spans="1:24" s="2" customFormat="1" x14ac:dyDescent="0.2">
      <c r="A120" s="2">
        <v>120</v>
      </c>
      <c r="B120"/>
      <c r="C120" t="s">
        <v>101</v>
      </c>
      <c r="D120" t="s">
        <v>353</v>
      </c>
      <c r="E120" t="s">
        <v>30</v>
      </c>
      <c r="F120" t="s">
        <v>24</v>
      </c>
      <c r="G120" t="s">
        <v>25</v>
      </c>
      <c r="H120" t="str">
        <f t="shared" si="2"/>
        <v>CONCEITO VIDROS E ESQUADRIAS  | Recorrência: | Observações: Pagto 30 dias após data da compra_10%</v>
      </c>
      <c r="I120" t="s">
        <v>26</v>
      </c>
      <c r="J120" s="4">
        <v>12000</v>
      </c>
      <c r="K120" s="4">
        <v>327946.65000000002</v>
      </c>
      <c r="L120" t="s">
        <v>27</v>
      </c>
      <c r="M120" s="4">
        <v>12000</v>
      </c>
      <c r="N120" s="3">
        <v>0</v>
      </c>
      <c r="O120" t="s">
        <v>352</v>
      </c>
      <c r="P120" t="s">
        <v>150</v>
      </c>
      <c r="Q120" t="s">
        <v>271</v>
      </c>
      <c r="R120" t="str">
        <f t="shared" si="3"/>
        <v>Sim</v>
      </c>
      <c r="S120" t="s">
        <v>271</v>
      </c>
      <c r="T120" t="s">
        <v>354</v>
      </c>
      <c r="U120" t="s">
        <v>49</v>
      </c>
      <c r="V120" s="3">
        <v>12000</v>
      </c>
      <c r="W120" t="s">
        <v>49</v>
      </c>
      <c r="X120" s="3">
        <v>12000</v>
      </c>
    </row>
    <row r="121" spans="1:24" s="2" customFormat="1" x14ac:dyDescent="0.2">
      <c r="A121">
        <v>121</v>
      </c>
      <c r="B121"/>
      <c r="C121" t="s">
        <v>57</v>
      </c>
      <c r="D121" t="s">
        <v>59</v>
      </c>
      <c r="E121" t="s">
        <v>356</v>
      </c>
      <c r="F121" t="s">
        <v>24</v>
      </c>
      <c r="G121" t="s">
        <v>25</v>
      </c>
      <c r="H121" t="str">
        <f t="shared" si="2"/>
        <v>ESPAÇO REFORMAR ( DMP REFORMAS) | Recorrência:5/6 | Observações: PROJETO PATRICIA MEIRELLES</v>
      </c>
      <c r="I121" t="s">
        <v>26</v>
      </c>
      <c r="J121" s="4">
        <v>2947.98</v>
      </c>
      <c r="K121" s="4">
        <v>330894.63</v>
      </c>
      <c r="L121" t="s">
        <v>27</v>
      </c>
      <c r="M121" s="4">
        <v>2947.98</v>
      </c>
      <c r="N121" s="3">
        <v>0</v>
      </c>
      <c r="O121" t="s">
        <v>355</v>
      </c>
      <c r="P121" t="s">
        <v>357</v>
      </c>
      <c r="Q121" t="s">
        <v>293</v>
      </c>
      <c r="R121" t="str">
        <f t="shared" si="3"/>
        <v>Sim</v>
      </c>
      <c r="S121" t="s">
        <v>293</v>
      </c>
      <c r="T121" t="s">
        <v>61</v>
      </c>
      <c r="U121" t="s">
        <v>49</v>
      </c>
      <c r="V121" s="3">
        <v>2947.98</v>
      </c>
      <c r="W121" t="s">
        <v>49</v>
      </c>
      <c r="X121" s="3">
        <v>2947.98</v>
      </c>
    </row>
    <row r="122" spans="1:24" s="2" customFormat="1" x14ac:dyDescent="0.2">
      <c r="A122" s="2">
        <v>122</v>
      </c>
      <c r="B122" t="s">
        <v>106</v>
      </c>
      <c r="C122" t="s">
        <v>107</v>
      </c>
      <c r="D122" t="s">
        <v>358</v>
      </c>
      <c r="E122" t="s">
        <v>30</v>
      </c>
      <c r="F122" t="s">
        <v>24</v>
      </c>
      <c r="G122" t="s">
        <v>25</v>
      </c>
      <c r="H122" t="str">
        <f t="shared" si="2"/>
        <v>TOM WALLPAPERS | Recorrência: | Observações: RT 5%&gt; Ultimo pagto 01/08</v>
      </c>
      <c r="I122" t="s">
        <v>26</v>
      </c>
      <c r="J122" s="4">
        <v>368.3</v>
      </c>
      <c r="K122" s="4">
        <v>331262.93</v>
      </c>
      <c r="L122" t="s">
        <v>27</v>
      </c>
      <c r="M122" s="4">
        <v>368.3</v>
      </c>
      <c r="N122" s="3">
        <v>0</v>
      </c>
      <c r="O122" t="s">
        <v>355</v>
      </c>
      <c r="P122" t="s">
        <v>167</v>
      </c>
      <c r="Q122" t="s">
        <v>355</v>
      </c>
      <c r="R122" t="str">
        <f t="shared" si="3"/>
        <v>Sim</v>
      </c>
      <c r="S122" t="s">
        <v>355</v>
      </c>
      <c r="T122" t="s">
        <v>359</v>
      </c>
      <c r="U122" t="s">
        <v>49</v>
      </c>
      <c r="V122" s="3">
        <v>368.3</v>
      </c>
      <c r="W122" t="s">
        <v>49</v>
      </c>
      <c r="X122" s="3">
        <v>368.3</v>
      </c>
    </row>
    <row r="123" spans="1:24" s="2" customFormat="1" x14ac:dyDescent="0.2">
      <c r="A123">
        <v>123</v>
      </c>
      <c r="B123"/>
      <c r="C123" t="s">
        <v>304</v>
      </c>
      <c r="D123" t="s">
        <v>311</v>
      </c>
      <c r="E123" t="s">
        <v>30</v>
      </c>
      <c r="F123" t="s">
        <v>24</v>
      </c>
      <c r="G123" t="s">
        <v>25</v>
      </c>
      <c r="H123" t="str">
        <f t="shared" si="2"/>
        <v xml:space="preserve">PORTOBELLO SÃO CAETANO (PHERRARA COM) | Recorrência: | Observações: </v>
      </c>
      <c r="I123" t="s">
        <v>26</v>
      </c>
      <c r="J123" s="4">
        <v>2961.86</v>
      </c>
      <c r="K123" s="4">
        <v>334224.78999999998</v>
      </c>
      <c r="L123" t="s">
        <v>27</v>
      </c>
      <c r="M123" s="4">
        <v>2961.86</v>
      </c>
      <c r="N123" s="3">
        <v>0</v>
      </c>
      <c r="O123" t="s">
        <v>360</v>
      </c>
      <c r="P123" t="s">
        <v>361</v>
      </c>
      <c r="Q123" t="s">
        <v>360</v>
      </c>
      <c r="R123" t="str">
        <f t="shared" si="3"/>
        <v>Sim</v>
      </c>
      <c r="S123" t="s">
        <v>360</v>
      </c>
      <c r="T123" t="s">
        <v>30</v>
      </c>
      <c r="U123" t="s">
        <v>49</v>
      </c>
      <c r="V123" s="3">
        <v>2961.86</v>
      </c>
      <c r="W123" t="s">
        <v>49</v>
      </c>
      <c r="X123" s="3">
        <v>2961.86</v>
      </c>
    </row>
    <row r="124" spans="1:24" s="2" customFormat="1" x14ac:dyDescent="0.2">
      <c r="A124" s="2">
        <v>124</v>
      </c>
      <c r="B124" t="s">
        <v>106</v>
      </c>
      <c r="C124" t="s">
        <v>107</v>
      </c>
      <c r="D124" t="s">
        <v>363</v>
      </c>
      <c r="E124" t="s">
        <v>30</v>
      </c>
      <c r="F124" t="s">
        <v>24</v>
      </c>
      <c r="G124" t="s">
        <v>25</v>
      </c>
      <c r="H124" t="str">
        <f t="shared" si="2"/>
        <v xml:space="preserve">LIDER INTERIORES  | Recorrência: | Observações: </v>
      </c>
      <c r="I124" t="s">
        <v>26</v>
      </c>
      <c r="J124" s="4">
        <v>1303.57</v>
      </c>
      <c r="K124" s="4">
        <v>335528.36</v>
      </c>
      <c r="L124" t="s">
        <v>27</v>
      </c>
      <c r="M124" s="4">
        <v>1303.57</v>
      </c>
      <c r="N124" s="3">
        <v>0</v>
      </c>
      <c r="O124" t="s">
        <v>362</v>
      </c>
      <c r="P124" t="s">
        <v>338</v>
      </c>
      <c r="Q124" t="s">
        <v>350</v>
      </c>
      <c r="R124" t="str">
        <f t="shared" si="3"/>
        <v>Sim</v>
      </c>
      <c r="S124" t="s">
        <v>350</v>
      </c>
      <c r="T124" t="s">
        <v>30</v>
      </c>
      <c r="U124" t="s">
        <v>49</v>
      </c>
      <c r="V124" s="3">
        <v>1303.57</v>
      </c>
      <c r="W124" t="s">
        <v>49</v>
      </c>
      <c r="X124" s="3">
        <v>1303.57</v>
      </c>
    </row>
    <row r="125" spans="1:24" s="2" customFormat="1" x14ac:dyDescent="0.2">
      <c r="A125">
        <v>125</v>
      </c>
      <c r="B125"/>
      <c r="C125" t="s">
        <v>365</v>
      </c>
      <c r="D125" t="s">
        <v>158</v>
      </c>
      <c r="E125" t="s">
        <v>30</v>
      </c>
      <c r="F125" t="s">
        <v>63</v>
      </c>
      <c r="G125" t="s">
        <v>25</v>
      </c>
      <c r="H125" t="str">
        <f t="shared" si="2"/>
        <v>GASTOS EXTRAS | Recorrência: | Observações: 02 Monitores 21,5 Led Philips branco hadmi</v>
      </c>
      <c r="I125" t="s">
        <v>26</v>
      </c>
      <c r="J125" s="5">
        <v>-1858</v>
      </c>
      <c r="K125" s="4">
        <v>333670.36</v>
      </c>
      <c r="L125" t="s">
        <v>27</v>
      </c>
      <c r="M125" s="5">
        <v>-1858</v>
      </c>
      <c r="N125" s="3">
        <v>0</v>
      </c>
      <c r="O125" t="s">
        <v>364</v>
      </c>
      <c r="P125" t="s">
        <v>364</v>
      </c>
      <c r="Q125" t="s">
        <v>364</v>
      </c>
      <c r="R125" t="str">
        <f t="shared" si="3"/>
        <v>Sim</v>
      </c>
      <c r="S125" t="s">
        <v>364</v>
      </c>
      <c r="T125" t="s">
        <v>366</v>
      </c>
      <c r="U125" t="s">
        <v>158</v>
      </c>
      <c r="V125" s="3">
        <v>-1858</v>
      </c>
      <c r="W125" t="s">
        <v>190</v>
      </c>
      <c r="X125" s="3">
        <v>-1858</v>
      </c>
    </row>
    <row r="126" spans="1:24" s="2" customFormat="1" x14ac:dyDescent="0.2">
      <c r="A126" s="2">
        <v>126</v>
      </c>
      <c r="B126"/>
      <c r="C126" t="s">
        <v>368</v>
      </c>
      <c r="D126" t="s">
        <v>158</v>
      </c>
      <c r="E126" t="s">
        <v>30</v>
      </c>
      <c r="F126" t="s">
        <v>63</v>
      </c>
      <c r="G126" t="s">
        <v>25</v>
      </c>
      <c r="H126" t="str">
        <f t="shared" si="2"/>
        <v xml:space="preserve">GASTOS EXTRAS | Recorrência: | Observações: Cabo HDMI 2.0 </v>
      </c>
      <c r="I126" t="s">
        <v>26</v>
      </c>
      <c r="J126" s="5">
        <v>-41.5</v>
      </c>
      <c r="K126" s="4">
        <v>333628.86</v>
      </c>
      <c r="L126" t="s">
        <v>27</v>
      </c>
      <c r="M126" s="5">
        <v>-41.5</v>
      </c>
      <c r="N126" s="3">
        <v>0</v>
      </c>
      <c r="O126" t="s">
        <v>367</v>
      </c>
      <c r="P126" t="s">
        <v>367</v>
      </c>
      <c r="Q126" t="s">
        <v>367</v>
      </c>
      <c r="R126" t="str">
        <f t="shared" si="3"/>
        <v>Sim</v>
      </c>
      <c r="S126" t="s">
        <v>367</v>
      </c>
      <c r="T126" t="s">
        <v>369</v>
      </c>
      <c r="U126" t="s">
        <v>158</v>
      </c>
      <c r="V126" s="3">
        <v>-41.5</v>
      </c>
      <c r="W126" t="s">
        <v>190</v>
      </c>
      <c r="X126" s="3">
        <v>-41.5</v>
      </c>
    </row>
    <row r="127" spans="1:24" s="2" customFormat="1" x14ac:dyDescent="0.2">
      <c r="A127">
        <v>127</v>
      </c>
      <c r="B127"/>
      <c r="C127" t="s">
        <v>371</v>
      </c>
      <c r="D127" t="s">
        <v>372</v>
      </c>
      <c r="E127" t="s">
        <v>30</v>
      </c>
      <c r="F127" t="s">
        <v>63</v>
      </c>
      <c r="G127" t="s">
        <v>25</v>
      </c>
      <c r="H127" t="str">
        <f t="shared" si="2"/>
        <v xml:space="preserve">GPS | Recorrência: | Observações: </v>
      </c>
      <c r="I127" t="s">
        <v>26</v>
      </c>
      <c r="J127" s="5">
        <v>-34.32</v>
      </c>
      <c r="K127" s="4">
        <v>333594.53999999998</v>
      </c>
      <c r="L127" t="s">
        <v>27</v>
      </c>
      <c r="M127" s="5">
        <v>-34.32</v>
      </c>
      <c r="N127" s="3">
        <v>0</v>
      </c>
      <c r="O127" t="s">
        <v>370</v>
      </c>
      <c r="P127" t="s">
        <v>373</v>
      </c>
      <c r="Q127" t="s">
        <v>374</v>
      </c>
      <c r="R127" t="str">
        <f t="shared" si="3"/>
        <v>Sim</v>
      </c>
      <c r="S127" t="s">
        <v>374</v>
      </c>
      <c r="T127" t="s">
        <v>30</v>
      </c>
      <c r="U127" t="s">
        <v>375</v>
      </c>
      <c r="V127" s="3">
        <v>-34.32</v>
      </c>
      <c r="W127" t="s">
        <v>376</v>
      </c>
      <c r="X127" s="3">
        <v>-34.32</v>
      </c>
    </row>
    <row r="128" spans="1:24" s="2" customFormat="1" x14ac:dyDescent="0.2">
      <c r="A128" s="2">
        <v>128</v>
      </c>
      <c r="B128"/>
      <c r="C128" t="s">
        <v>377</v>
      </c>
      <c r="D128" t="s">
        <v>378</v>
      </c>
      <c r="E128" t="s">
        <v>30</v>
      </c>
      <c r="F128" t="s">
        <v>63</v>
      </c>
      <c r="G128" t="s">
        <v>25</v>
      </c>
      <c r="H128" t="str">
        <f t="shared" si="2"/>
        <v xml:space="preserve">GASTOS EXTRAS_ DELL COMPUTADORES  | Recorrência: | Observações: </v>
      </c>
      <c r="I128" t="s">
        <v>26</v>
      </c>
      <c r="J128" s="5">
        <v>-1150</v>
      </c>
      <c r="K128" s="4">
        <v>332444.53999999998</v>
      </c>
      <c r="L128" t="s">
        <v>27</v>
      </c>
      <c r="M128" s="5">
        <v>-1150</v>
      </c>
      <c r="N128" s="3">
        <v>0</v>
      </c>
      <c r="O128" t="s">
        <v>374</v>
      </c>
      <c r="P128" t="s">
        <v>374</v>
      </c>
      <c r="Q128" t="s">
        <v>374</v>
      </c>
      <c r="R128" t="str">
        <f t="shared" si="3"/>
        <v>Sim</v>
      </c>
      <c r="S128" t="s">
        <v>374</v>
      </c>
      <c r="T128" t="s">
        <v>30</v>
      </c>
      <c r="U128" t="s">
        <v>158</v>
      </c>
      <c r="V128" s="3">
        <v>-1150</v>
      </c>
      <c r="W128" t="s">
        <v>158</v>
      </c>
      <c r="X128" s="3">
        <v>-1150</v>
      </c>
    </row>
    <row r="129" spans="1:24" s="2" customFormat="1" x14ac:dyDescent="0.2">
      <c r="A129">
        <v>129</v>
      </c>
      <c r="B129"/>
      <c r="C129" t="s">
        <v>292</v>
      </c>
      <c r="D129" t="s">
        <v>226</v>
      </c>
      <c r="E129" t="s">
        <v>38</v>
      </c>
      <c r="F129" t="s">
        <v>24</v>
      </c>
      <c r="G129" t="s">
        <v>25</v>
      </c>
      <c r="H129" t="str">
        <f t="shared" si="2"/>
        <v xml:space="preserve">ESPAÇO REFORMAR (DMP REFORMAS ) | Recorrência:1/3 | Observações: </v>
      </c>
      <c r="I129" t="s">
        <v>26</v>
      </c>
      <c r="J129" s="4">
        <v>1839.47</v>
      </c>
      <c r="K129" s="4">
        <v>334284.01</v>
      </c>
      <c r="L129" t="s">
        <v>27</v>
      </c>
      <c r="M129" s="4">
        <v>1839.47</v>
      </c>
      <c r="N129" s="3">
        <v>0</v>
      </c>
      <c r="O129" t="s">
        <v>379</v>
      </c>
      <c r="P129" t="s">
        <v>291</v>
      </c>
      <c r="Q129" t="s">
        <v>379</v>
      </c>
      <c r="R129" t="str">
        <f t="shared" si="3"/>
        <v>Sim</v>
      </c>
      <c r="S129" t="s">
        <v>379</v>
      </c>
      <c r="T129" t="s">
        <v>30</v>
      </c>
      <c r="U129" t="s">
        <v>49</v>
      </c>
      <c r="V129" s="3">
        <v>1839.47</v>
      </c>
      <c r="W129" t="s">
        <v>49</v>
      </c>
      <c r="X129" s="3">
        <v>1839.47</v>
      </c>
    </row>
    <row r="130" spans="1:24" s="2" customFormat="1" x14ac:dyDescent="0.2">
      <c r="A130" s="2">
        <v>130</v>
      </c>
      <c r="B130"/>
      <c r="C130" t="s">
        <v>304</v>
      </c>
      <c r="D130" t="s">
        <v>47</v>
      </c>
      <c r="E130" t="s">
        <v>131</v>
      </c>
      <c r="F130" t="s">
        <v>24</v>
      </c>
      <c r="G130" t="s">
        <v>25</v>
      </c>
      <c r="H130" t="str">
        <f t="shared" si="2"/>
        <v>SILVESTRE VIDROS | Recorrência:2/6 | Observações: Pedido 44192</v>
      </c>
      <c r="I130" t="s">
        <v>26</v>
      </c>
      <c r="J130" s="4">
        <v>184.01</v>
      </c>
      <c r="K130" s="4">
        <v>334468.02</v>
      </c>
      <c r="L130" t="s">
        <v>27</v>
      </c>
      <c r="M130" s="4">
        <v>184.01</v>
      </c>
      <c r="N130" s="3">
        <v>0</v>
      </c>
      <c r="O130" t="s">
        <v>379</v>
      </c>
      <c r="P130" t="s">
        <v>380</v>
      </c>
      <c r="Q130" t="s">
        <v>379</v>
      </c>
      <c r="R130" t="str">
        <f t="shared" si="3"/>
        <v>Sim</v>
      </c>
      <c r="S130" t="s">
        <v>379</v>
      </c>
      <c r="T130" t="s">
        <v>305</v>
      </c>
      <c r="U130" t="s">
        <v>49</v>
      </c>
      <c r="V130" s="3">
        <v>184.01</v>
      </c>
      <c r="W130" t="s">
        <v>49</v>
      </c>
      <c r="X130" s="3">
        <v>184.01</v>
      </c>
    </row>
    <row r="131" spans="1:24" s="2" customFormat="1" x14ac:dyDescent="0.2">
      <c r="A131">
        <v>131</v>
      </c>
      <c r="B131" t="s">
        <v>45</v>
      </c>
      <c r="C131" t="s">
        <v>46</v>
      </c>
      <c r="D131" t="s">
        <v>215</v>
      </c>
      <c r="E131" t="s">
        <v>30</v>
      </c>
      <c r="F131" t="s">
        <v>24</v>
      </c>
      <c r="G131" t="s">
        <v>25</v>
      </c>
      <c r="H131" t="str">
        <f t="shared" ref="H131:H194" si="4">D131&amp;" | "&amp;$E$1&amp;E131&amp;" | Observações: "&amp;T131</f>
        <v>DPOT (FEMA) | Recorrência: | Observações: NF 155</v>
      </c>
      <c r="I131" t="s">
        <v>26</v>
      </c>
      <c r="J131" s="4">
        <v>43.3</v>
      </c>
      <c r="K131" s="4">
        <v>334511.32</v>
      </c>
      <c r="L131" t="s">
        <v>27</v>
      </c>
      <c r="M131" s="4">
        <v>43.3</v>
      </c>
      <c r="N131" s="3">
        <v>0</v>
      </c>
      <c r="O131" t="s">
        <v>379</v>
      </c>
      <c r="P131" t="s">
        <v>379</v>
      </c>
      <c r="Q131" t="s">
        <v>381</v>
      </c>
      <c r="R131" t="str">
        <f t="shared" ref="R131:R194" si="5">IF(Q131=S131,"Sim","nao")</f>
        <v>Sim</v>
      </c>
      <c r="S131" t="s">
        <v>381</v>
      </c>
      <c r="T131" t="s">
        <v>382</v>
      </c>
      <c r="U131" t="s">
        <v>49</v>
      </c>
      <c r="V131" s="3">
        <v>43.3</v>
      </c>
      <c r="W131" t="s">
        <v>49</v>
      </c>
      <c r="X131" s="3">
        <v>43.3</v>
      </c>
    </row>
    <row r="132" spans="1:24" s="2" customFormat="1" x14ac:dyDescent="0.2">
      <c r="A132" s="2">
        <v>132</v>
      </c>
      <c r="B132"/>
      <c r="C132" t="s">
        <v>232</v>
      </c>
      <c r="D132" t="s">
        <v>309</v>
      </c>
      <c r="E132" t="s">
        <v>195</v>
      </c>
      <c r="F132" t="s">
        <v>24</v>
      </c>
      <c r="G132" t="s">
        <v>25</v>
      </c>
      <c r="H132" t="str">
        <f t="shared" si="4"/>
        <v xml:space="preserve">MARÍLIA ZINGARI ROCHOLLI GRANJEIRO | Recorrência:2/3 | Observações: </v>
      </c>
      <c r="I132" t="s">
        <v>26</v>
      </c>
      <c r="J132" s="4">
        <v>4200</v>
      </c>
      <c r="K132" s="4">
        <v>338711.32</v>
      </c>
      <c r="L132" t="s">
        <v>27</v>
      </c>
      <c r="M132" s="4">
        <v>4200</v>
      </c>
      <c r="N132" s="3">
        <v>0</v>
      </c>
      <c r="O132" t="s">
        <v>383</v>
      </c>
      <c r="P132" t="s">
        <v>367</v>
      </c>
      <c r="Q132" t="s">
        <v>383</v>
      </c>
      <c r="R132" t="str">
        <f t="shared" si="5"/>
        <v>Sim</v>
      </c>
      <c r="S132" t="s">
        <v>383</v>
      </c>
      <c r="T132" t="s">
        <v>30</v>
      </c>
      <c r="U132" t="s">
        <v>31</v>
      </c>
      <c r="V132" s="3">
        <v>4200</v>
      </c>
      <c r="W132" t="s">
        <v>32</v>
      </c>
      <c r="X132" s="3">
        <v>4200</v>
      </c>
    </row>
    <row r="133" spans="1:24" s="2" customFormat="1" x14ac:dyDescent="0.2">
      <c r="A133">
        <v>133</v>
      </c>
      <c r="B133"/>
      <c r="C133" t="s">
        <v>315</v>
      </c>
      <c r="D133" t="s">
        <v>207</v>
      </c>
      <c r="E133" t="s">
        <v>30</v>
      </c>
      <c r="F133" t="s">
        <v>24</v>
      </c>
      <c r="G133" t="s">
        <v>25</v>
      </c>
      <c r="H133" t="str">
        <f t="shared" si="4"/>
        <v xml:space="preserve">OBRA FÁCIL (MARK UP PART) | Recorrência: | Observações: Descontado 18 reais do valor pela plataforma </v>
      </c>
      <c r="I133" t="s">
        <v>26</v>
      </c>
      <c r="J133" s="4">
        <v>136.62</v>
      </c>
      <c r="K133" s="4">
        <v>338847.94</v>
      </c>
      <c r="L133" t="s">
        <v>27</v>
      </c>
      <c r="M133" s="4">
        <v>136.62</v>
      </c>
      <c r="N133" s="3">
        <v>0</v>
      </c>
      <c r="O133" t="s">
        <v>383</v>
      </c>
      <c r="P133" t="s">
        <v>293</v>
      </c>
      <c r="Q133" t="s">
        <v>384</v>
      </c>
      <c r="R133" t="str">
        <f t="shared" si="5"/>
        <v>Sim</v>
      </c>
      <c r="S133" t="s">
        <v>384</v>
      </c>
      <c r="T133" t="s">
        <v>385</v>
      </c>
      <c r="U133" t="s">
        <v>49</v>
      </c>
      <c r="V133" s="3">
        <v>136.62</v>
      </c>
      <c r="W133" t="s">
        <v>49</v>
      </c>
      <c r="X133" s="3">
        <v>136.62</v>
      </c>
    </row>
    <row r="134" spans="1:24" s="2" customFormat="1" x14ac:dyDescent="0.2">
      <c r="A134" s="2">
        <v>134</v>
      </c>
      <c r="B134"/>
      <c r="C134" t="s">
        <v>386</v>
      </c>
      <c r="D134" t="s">
        <v>386</v>
      </c>
      <c r="E134" t="s">
        <v>30</v>
      </c>
      <c r="F134" t="s">
        <v>24</v>
      </c>
      <c r="G134" t="s">
        <v>25</v>
      </c>
      <c r="H134" t="str">
        <f t="shared" si="4"/>
        <v>GABRIELA BORGES | Recorrência: | Observações: PROJETO: Rua Agnaldo Manuel dos Santos, 84 – aptº61</v>
      </c>
      <c r="I134" t="s">
        <v>26</v>
      </c>
      <c r="J134" s="4">
        <v>15500</v>
      </c>
      <c r="K134" s="4">
        <v>354347.94</v>
      </c>
      <c r="L134" t="s">
        <v>27</v>
      </c>
      <c r="M134" s="4">
        <v>15500</v>
      </c>
      <c r="N134" s="3">
        <v>0</v>
      </c>
      <c r="O134" t="s">
        <v>383</v>
      </c>
      <c r="P134" t="s">
        <v>383</v>
      </c>
      <c r="Q134" t="s">
        <v>383</v>
      </c>
      <c r="R134" t="str">
        <f t="shared" si="5"/>
        <v>Sim</v>
      </c>
      <c r="S134" t="s">
        <v>383</v>
      </c>
      <c r="T134" t="s">
        <v>387</v>
      </c>
      <c r="U134" t="s">
        <v>31</v>
      </c>
      <c r="V134" s="3">
        <v>15500</v>
      </c>
      <c r="W134" t="s">
        <v>32</v>
      </c>
      <c r="X134" s="3">
        <v>15500</v>
      </c>
    </row>
    <row r="135" spans="1:24" s="2" customFormat="1" x14ac:dyDescent="0.2">
      <c r="A135">
        <v>135</v>
      </c>
      <c r="B135"/>
      <c r="C135" t="s">
        <v>153</v>
      </c>
      <c r="D135" t="s">
        <v>159</v>
      </c>
      <c r="E135" t="s">
        <v>30</v>
      </c>
      <c r="F135" t="s">
        <v>63</v>
      </c>
      <c r="G135" t="s">
        <v>25</v>
      </c>
      <c r="H135" t="str">
        <f t="shared" si="4"/>
        <v>DIARISTA JULIANA  | Recorrência: | Observações: Ref: 4 diárias &gt; 04-11-18-25 de agosto</v>
      </c>
      <c r="I135" t="s">
        <v>26</v>
      </c>
      <c r="J135" s="5">
        <v>-320</v>
      </c>
      <c r="K135" s="4">
        <v>354027.94</v>
      </c>
      <c r="L135" t="s">
        <v>27</v>
      </c>
      <c r="M135" s="5">
        <v>-320</v>
      </c>
      <c r="N135" s="3">
        <v>0</v>
      </c>
      <c r="O135" t="s">
        <v>384</v>
      </c>
      <c r="P135" t="s">
        <v>348</v>
      </c>
      <c r="Q135" t="s">
        <v>384</v>
      </c>
      <c r="R135" t="str">
        <f t="shared" si="5"/>
        <v>Sim</v>
      </c>
      <c r="S135" t="s">
        <v>384</v>
      </c>
      <c r="T135" t="s">
        <v>388</v>
      </c>
      <c r="U135" t="s">
        <v>158</v>
      </c>
      <c r="V135" s="3">
        <v>-320</v>
      </c>
      <c r="W135" t="s">
        <v>158</v>
      </c>
      <c r="X135" s="3">
        <v>-320</v>
      </c>
    </row>
    <row r="136" spans="1:24" s="2" customFormat="1" x14ac:dyDescent="0.2">
      <c r="A136" s="2">
        <v>136</v>
      </c>
      <c r="B136"/>
      <c r="C136" t="s">
        <v>258</v>
      </c>
      <c r="D136" t="s">
        <v>258</v>
      </c>
      <c r="E136" t="s">
        <v>22</v>
      </c>
      <c r="F136" t="s">
        <v>24</v>
      </c>
      <c r="G136" t="s">
        <v>25</v>
      </c>
      <c r="H136" t="str">
        <f t="shared" si="4"/>
        <v>MANUELA REZENDE DE CARVALHO | Recorrência:1/4 | Observações: 01 DE 04
Manual: http://www.manualapp.com.br/Vitacon/4155_VNCardosodeMelo/phone/index.html
SENHA: 93514</v>
      </c>
      <c r="I136" t="s">
        <v>26</v>
      </c>
      <c r="J136" s="4">
        <v>2500</v>
      </c>
      <c r="K136" s="4">
        <v>356527.94</v>
      </c>
      <c r="L136" t="s">
        <v>27</v>
      </c>
      <c r="M136" s="4">
        <v>2500</v>
      </c>
      <c r="N136" s="3">
        <v>0</v>
      </c>
      <c r="O136" t="s">
        <v>384</v>
      </c>
      <c r="P136" t="s">
        <v>254</v>
      </c>
      <c r="Q136" t="s">
        <v>384</v>
      </c>
      <c r="R136" t="str">
        <f t="shared" si="5"/>
        <v>Sim</v>
      </c>
      <c r="S136" t="s">
        <v>384</v>
      </c>
      <c r="T136" t="s">
        <v>389</v>
      </c>
      <c r="U136" t="s">
        <v>146</v>
      </c>
      <c r="V136" s="3">
        <v>2500</v>
      </c>
      <c r="W136" t="s">
        <v>166</v>
      </c>
      <c r="X136" s="3">
        <v>2500</v>
      </c>
    </row>
    <row r="137" spans="1:24" s="2" customFormat="1" x14ac:dyDescent="0.2">
      <c r="A137">
        <v>137</v>
      </c>
      <c r="B137" t="s">
        <v>71</v>
      </c>
      <c r="C137" t="s">
        <v>72</v>
      </c>
      <c r="D137" t="s">
        <v>391</v>
      </c>
      <c r="E137" t="s">
        <v>266</v>
      </c>
      <c r="F137" t="s">
        <v>24</v>
      </c>
      <c r="G137" t="s">
        <v>25</v>
      </c>
      <c r="H137" t="str">
        <f t="shared" si="4"/>
        <v>1ª(5/5) VIA MADEIRA (HAEHLIN) | Recorrência:4/5 | Observações:  2.400 : em 2 x</v>
      </c>
      <c r="I137" t="s">
        <v>26</v>
      </c>
      <c r="J137" s="4">
        <v>1200</v>
      </c>
      <c r="K137" s="4">
        <v>357727.94</v>
      </c>
      <c r="L137" t="s">
        <v>27</v>
      </c>
      <c r="M137" s="4">
        <v>1200</v>
      </c>
      <c r="N137" s="3">
        <v>0</v>
      </c>
      <c r="O137" t="s">
        <v>390</v>
      </c>
      <c r="P137" t="s">
        <v>267</v>
      </c>
      <c r="Q137" t="s">
        <v>278</v>
      </c>
      <c r="R137" t="str">
        <f t="shared" si="5"/>
        <v>Sim</v>
      </c>
      <c r="S137" t="s">
        <v>278</v>
      </c>
      <c r="T137" t="s">
        <v>392</v>
      </c>
      <c r="U137" t="s">
        <v>49</v>
      </c>
      <c r="V137" s="3">
        <v>1200</v>
      </c>
      <c r="W137" t="s">
        <v>49</v>
      </c>
      <c r="X137" s="3">
        <v>1200</v>
      </c>
    </row>
    <row r="138" spans="1:24" s="2" customFormat="1" x14ac:dyDescent="0.2">
      <c r="A138" s="2">
        <v>138</v>
      </c>
      <c r="B138" t="s">
        <v>71</v>
      </c>
      <c r="C138" t="s">
        <v>72</v>
      </c>
      <c r="D138" t="s">
        <v>72</v>
      </c>
      <c r="E138" t="s">
        <v>73</v>
      </c>
      <c r="F138" t="s">
        <v>24</v>
      </c>
      <c r="G138" t="s">
        <v>25</v>
      </c>
      <c r="H138" t="str">
        <f t="shared" si="4"/>
        <v>GAPAZ | Recorrência:1/5 | Observações: R$ 240.816,49 &gt; valor do gerenciamento será 10% deste valor = R$ 24.081,64 pago em 5 parcelas</v>
      </c>
      <c r="I138" t="s">
        <v>26</v>
      </c>
      <c r="J138" s="4">
        <v>4816.32</v>
      </c>
      <c r="K138" s="4">
        <v>362544.26</v>
      </c>
      <c r="L138" t="s">
        <v>27</v>
      </c>
      <c r="M138" s="4">
        <v>4816.32</v>
      </c>
      <c r="N138" s="3">
        <v>0</v>
      </c>
      <c r="O138" t="s">
        <v>393</v>
      </c>
      <c r="P138" t="s">
        <v>289</v>
      </c>
      <c r="Q138" t="s">
        <v>393</v>
      </c>
      <c r="R138" t="str">
        <f t="shared" si="5"/>
        <v>Sim</v>
      </c>
      <c r="S138" t="s">
        <v>393</v>
      </c>
      <c r="T138" t="s">
        <v>394</v>
      </c>
      <c r="U138" t="s">
        <v>274</v>
      </c>
      <c r="V138" s="3">
        <v>4816.32</v>
      </c>
      <c r="W138" t="s">
        <v>166</v>
      </c>
      <c r="X138" s="3">
        <v>4816.32</v>
      </c>
    </row>
    <row r="139" spans="1:24" s="2" customFormat="1" x14ac:dyDescent="0.2">
      <c r="A139">
        <v>139</v>
      </c>
      <c r="B139"/>
      <c r="C139" t="s">
        <v>395</v>
      </c>
      <c r="D139" t="s">
        <v>395</v>
      </c>
      <c r="E139" t="s">
        <v>22</v>
      </c>
      <c r="F139" t="s">
        <v>24</v>
      </c>
      <c r="G139" t="s">
        <v>25</v>
      </c>
      <c r="H139" t="str">
        <f t="shared" si="4"/>
        <v xml:space="preserve">ROGÉRIO E ANA PAULA CALFÁ | Recorrência:1/4 | Observações: </v>
      </c>
      <c r="I139" t="s">
        <v>26</v>
      </c>
      <c r="J139" s="4">
        <v>4437.5</v>
      </c>
      <c r="K139" s="4">
        <v>366981.76</v>
      </c>
      <c r="L139" t="s">
        <v>27</v>
      </c>
      <c r="M139" s="4">
        <v>4437.5</v>
      </c>
      <c r="N139" s="3">
        <v>0</v>
      </c>
      <c r="O139" t="s">
        <v>393</v>
      </c>
      <c r="P139" t="s">
        <v>370</v>
      </c>
      <c r="Q139" t="s">
        <v>393</v>
      </c>
      <c r="R139" t="str">
        <f t="shared" si="5"/>
        <v>Sim</v>
      </c>
      <c r="S139" t="s">
        <v>393</v>
      </c>
      <c r="T139" t="s">
        <v>30</v>
      </c>
      <c r="U139" t="s">
        <v>31</v>
      </c>
      <c r="V139" s="3">
        <v>4437.5</v>
      </c>
      <c r="W139" t="s">
        <v>32</v>
      </c>
      <c r="X139" s="3">
        <v>4437.5</v>
      </c>
    </row>
    <row r="140" spans="1:24" s="2" customFormat="1" x14ac:dyDescent="0.2">
      <c r="A140" s="2">
        <v>140</v>
      </c>
      <c r="B140"/>
      <c r="C140" t="s">
        <v>304</v>
      </c>
      <c r="D140" t="s">
        <v>396</v>
      </c>
      <c r="E140" t="s">
        <v>30</v>
      </c>
      <c r="F140" t="s">
        <v>24</v>
      </c>
      <c r="G140" t="s">
        <v>25</v>
      </c>
      <c r="H140" t="str">
        <f t="shared" si="4"/>
        <v xml:space="preserve">QUAKER (PILLOWS &amp; FABRICS COMERCIO DE PECAS DECORATIVAS LTDA) | Recorrência: | Observações: </v>
      </c>
      <c r="I140" t="s">
        <v>26</v>
      </c>
      <c r="J140" s="4">
        <v>104.5</v>
      </c>
      <c r="K140" s="4">
        <v>367086.26</v>
      </c>
      <c r="L140" t="s">
        <v>27</v>
      </c>
      <c r="M140" s="4">
        <v>104.5</v>
      </c>
      <c r="N140" s="3">
        <v>0</v>
      </c>
      <c r="O140" t="s">
        <v>381</v>
      </c>
      <c r="P140" t="s">
        <v>397</v>
      </c>
      <c r="Q140" t="s">
        <v>312</v>
      </c>
      <c r="R140" t="str">
        <f t="shared" si="5"/>
        <v>Sim</v>
      </c>
      <c r="S140" t="s">
        <v>312</v>
      </c>
      <c r="T140" t="s">
        <v>30</v>
      </c>
      <c r="U140" t="s">
        <v>49</v>
      </c>
      <c r="V140" s="3">
        <v>104.5</v>
      </c>
      <c r="W140" t="s">
        <v>49</v>
      </c>
      <c r="X140" s="3">
        <v>104.5</v>
      </c>
    </row>
    <row r="141" spans="1:24" s="2" customFormat="1" x14ac:dyDescent="0.2">
      <c r="A141">
        <v>141</v>
      </c>
      <c r="B141"/>
      <c r="C141" t="s">
        <v>153</v>
      </c>
      <c r="D141" t="s">
        <v>321</v>
      </c>
      <c r="E141" t="s">
        <v>398</v>
      </c>
      <c r="F141" t="s">
        <v>63</v>
      </c>
      <c r="G141" t="s">
        <v>25</v>
      </c>
      <c r="H141" t="str">
        <f t="shared" si="4"/>
        <v xml:space="preserve">POLIANA PAULINO_ SALÁRIO | Recorrência:2/12 | Observações: ESTAGIÁRIA </v>
      </c>
      <c r="I141" t="s">
        <v>26</v>
      </c>
      <c r="J141" s="5">
        <v>-1386</v>
      </c>
      <c r="K141" s="4">
        <v>365700.26</v>
      </c>
      <c r="L141" t="s">
        <v>27</v>
      </c>
      <c r="M141" s="5">
        <v>-1386</v>
      </c>
      <c r="N141" s="3">
        <v>0</v>
      </c>
      <c r="O141" t="s">
        <v>381</v>
      </c>
      <c r="P141" t="s">
        <v>312</v>
      </c>
      <c r="Q141" t="s">
        <v>399</v>
      </c>
      <c r="R141" t="str">
        <f t="shared" si="5"/>
        <v>Sim</v>
      </c>
      <c r="S141" t="s">
        <v>399</v>
      </c>
      <c r="T141" t="s">
        <v>322</v>
      </c>
      <c r="U141" t="s">
        <v>323</v>
      </c>
      <c r="V141" s="3">
        <v>-1386</v>
      </c>
      <c r="W141" t="s">
        <v>324</v>
      </c>
      <c r="X141" s="3">
        <v>-1386</v>
      </c>
    </row>
    <row r="142" spans="1:24" s="2" customFormat="1" x14ac:dyDescent="0.2">
      <c r="A142" s="2">
        <v>142</v>
      </c>
      <c r="B142"/>
      <c r="C142" t="s">
        <v>153</v>
      </c>
      <c r="D142" t="s">
        <v>151</v>
      </c>
      <c r="E142" t="s">
        <v>30</v>
      </c>
      <c r="F142" t="s">
        <v>63</v>
      </c>
      <c r="G142" t="s">
        <v>25</v>
      </c>
      <c r="H142" t="str">
        <f t="shared" si="4"/>
        <v xml:space="preserve">SODEXO - Eliane  | Recorrência: | Observações: </v>
      </c>
      <c r="I142" t="s">
        <v>26</v>
      </c>
      <c r="J142" s="5">
        <v>-540</v>
      </c>
      <c r="K142" s="4">
        <v>365160.26</v>
      </c>
      <c r="L142" t="s">
        <v>27</v>
      </c>
      <c r="M142" s="5">
        <v>-540</v>
      </c>
      <c r="N142" s="3">
        <v>0</v>
      </c>
      <c r="O142" t="s">
        <v>381</v>
      </c>
      <c r="P142" t="s">
        <v>400</v>
      </c>
      <c r="Q142" t="s">
        <v>401</v>
      </c>
      <c r="R142" t="str">
        <f t="shared" si="5"/>
        <v>Sim</v>
      </c>
      <c r="S142" t="s">
        <v>401</v>
      </c>
      <c r="T142" t="s">
        <v>30</v>
      </c>
      <c r="U142" t="s">
        <v>93</v>
      </c>
      <c r="V142" s="3">
        <v>-540</v>
      </c>
      <c r="W142" t="s">
        <v>331</v>
      </c>
      <c r="X142" s="3">
        <v>-540</v>
      </c>
    </row>
    <row r="143" spans="1:24" s="2" customFormat="1" x14ac:dyDescent="0.2">
      <c r="A143">
        <v>143</v>
      </c>
      <c r="B143"/>
      <c r="C143" t="s">
        <v>402</v>
      </c>
      <c r="D143" t="s">
        <v>402</v>
      </c>
      <c r="E143" t="s">
        <v>30</v>
      </c>
      <c r="F143" t="s">
        <v>63</v>
      </c>
      <c r="G143" t="s">
        <v>25</v>
      </c>
      <c r="H143" t="str">
        <f t="shared" si="4"/>
        <v xml:space="preserve">BELCHIOR INFORMÁTICA | Recorrência: | Observações: </v>
      </c>
      <c r="I143" t="s">
        <v>26</v>
      </c>
      <c r="J143" s="5">
        <v>-120</v>
      </c>
      <c r="K143" s="4">
        <v>365040.26</v>
      </c>
      <c r="L143" t="s">
        <v>27</v>
      </c>
      <c r="M143" s="5">
        <v>-120</v>
      </c>
      <c r="N143" s="3">
        <v>0</v>
      </c>
      <c r="O143" t="s">
        <v>381</v>
      </c>
      <c r="P143" t="s">
        <v>381</v>
      </c>
      <c r="Q143" t="s">
        <v>381</v>
      </c>
      <c r="R143" t="str">
        <f t="shared" si="5"/>
        <v>Sim</v>
      </c>
      <c r="S143" t="s">
        <v>381</v>
      </c>
      <c r="T143" t="s">
        <v>30</v>
      </c>
      <c r="U143" t="s">
        <v>158</v>
      </c>
      <c r="V143" s="3">
        <v>-120</v>
      </c>
      <c r="W143" t="s">
        <v>190</v>
      </c>
      <c r="X143" s="3">
        <v>-120</v>
      </c>
    </row>
    <row r="144" spans="1:24" s="2" customFormat="1" x14ac:dyDescent="0.2">
      <c r="A144" s="2">
        <v>144</v>
      </c>
      <c r="B144" t="s">
        <v>106</v>
      </c>
      <c r="C144" t="s">
        <v>107</v>
      </c>
      <c r="D144" t="s">
        <v>47</v>
      </c>
      <c r="E144" t="s">
        <v>41</v>
      </c>
      <c r="F144" t="s">
        <v>24</v>
      </c>
      <c r="G144" t="s">
        <v>25</v>
      </c>
      <c r="H144" t="str">
        <f t="shared" si="4"/>
        <v xml:space="preserve">SILVESTRE VIDROS | Recorrência:3/4 | Observações: </v>
      </c>
      <c r="I144" t="s">
        <v>26</v>
      </c>
      <c r="J144" s="4">
        <v>124.26</v>
      </c>
      <c r="K144" s="4">
        <v>365164.52</v>
      </c>
      <c r="L144" t="s">
        <v>27</v>
      </c>
      <c r="M144" s="4">
        <v>124.26</v>
      </c>
      <c r="N144" s="3">
        <v>0</v>
      </c>
      <c r="O144" t="s">
        <v>403</v>
      </c>
      <c r="P144" t="s">
        <v>328</v>
      </c>
      <c r="Q144" t="s">
        <v>403</v>
      </c>
      <c r="R144" t="str">
        <f t="shared" si="5"/>
        <v>Sim</v>
      </c>
      <c r="S144" t="s">
        <v>403</v>
      </c>
      <c r="T144" t="s">
        <v>30</v>
      </c>
      <c r="U144" t="s">
        <v>49</v>
      </c>
      <c r="V144" s="3">
        <v>124.26</v>
      </c>
      <c r="W144" t="s">
        <v>49</v>
      </c>
      <c r="X144" s="3">
        <v>124.26</v>
      </c>
    </row>
    <row r="145" spans="1:24" s="2" customFormat="1" x14ac:dyDescent="0.2">
      <c r="A145">
        <v>145</v>
      </c>
      <c r="B145"/>
      <c r="C145" t="s">
        <v>341</v>
      </c>
      <c r="D145" t="s">
        <v>341</v>
      </c>
      <c r="E145" t="s">
        <v>195</v>
      </c>
      <c r="F145" t="s">
        <v>24</v>
      </c>
      <c r="G145" t="s">
        <v>25</v>
      </c>
      <c r="H145" t="str">
        <f t="shared" si="4"/>
        <v xml:space="preserve">CARDIAL ALIMENTOS | Recorrência:2/3 | Observações: </v>
      </c>
      <c r="I145" t="s">
        <v>26</v>
      </c>
      <c r="J145" s="4">
        <v>500</v>
      </c>
      <c r="K145" s="4">
        <v>365664.52</v>
      </c>
      <c r="L145" t="s">
        <v>27</v>
      </c>
      <c r="M145" s="4">
        <v>500</v>
      </c>
      <c r="N145" s="3">
        <v>0</v>
      </c>
      <c r="O145" t="s">
        <v>403</v>
      </c>
      <c r="P145" t="s">
        <v>404</v>
      </c>
      <c r="Q145" t="s">
        <v>403</v>
      </c>
      <c r="R145" t="str">
        <f t="shared" si="5"/>
        <v>Sim</v>
      </c>
      <c r="S145" t="s">
        <v>403</v>
      </c>
      <c r="T145" t="s">
        <v>30</v>
      </c>
      <c r="U145" t="s">
        <v>31</v>
      </c>
      <c r="V145" s="3">
        <v>500</v>
      </c>
      <c r="W145" t="s">
        <v>32</v>
      </c>
      <c r="X145" s="3">
        <v>500</v>
      </c>
    </row>
    <row r="146" spans="1:24" s="2" customFormat="1" x14ac:dyDescent="0.2">
      <c r="A146" s="2">
        <v>146</v>
      </c>
      <c r="B146"/>
      <c r="C146" t="s">
        <v>304</v>
      </c>
      <c r="D146" t="s">
        <v>406</v>
      </c>
      <c r="E146" t="s">
        <v>30</v>
      </c>
      <c r="F146" t="s">
        <v>24</v>
      </c>
      <c r="G146" t="s">
        <v>25</v>
      </c>
      <c r="H146" t="str">
        <f t="shared" si="4"/>
        <v xml:space="preserve">ESTAR MOVEIS | Recorrência: | Observações: </v>
      </c>
      <c r="I146" t="s">
        <v>26</v>
      </c>
      <c r="J146" s="4">
        <v>1788.55</v>
      </c>
      <c r="K146" s="4">
        <v>367453.07</v>
      </c>
      <c r="L146" t="s">
        <v>27</v>
      </c>
      <c r="M146" s="4">
        <v>1788.55</v>
      </c>
      <c r="N146" s="3">
        <v>0</v>
      </c>
      <c r="O146" t="s">
        <v>405</v>
      </c>
      <c r="P146" t="s">
        <v>335</v>
      </c>
      <c r="Q146" t="s">
        <v>407</v>
      </c>
      <c r="R146" t="str">
        <f t="shared" si="5"/>
        <v>Sim</v>
      </c>
      <c r="S146" t="s">
        <v>407</v>
      </c>
      <c r="T146" t="s">
        <v>30</v>
      </c>
      <c r="U146" t="s">
        <v>49</v>
      </c>
      <c r="V146" s="3">
        <v>1788.55</v>
      </c>
      <c r="W146" t="s">
        <v>49</v>
      </c>
      <c r="X146" s="3">
        <v>1788.55</v>
      </c>
    </row>
    <row r="147" spans="1:24" s="2" customFormat="1" x14ac:dyDescent="0.2">
      <c r="A147">
        <v>147</v>
      </c>
      <c r="B147"/>
      <c r="C147" t="s">
        <v>409</v>
      </c>
      <c r="D147" t="s">
        <v>409</v>
      </c>
      <c r="E147" t="s">
        <v>67</v>
      </c>
      <c r="F147" t="s">
        <v>24</v>
      </c>
      <c r="G147" t="s">
        <v>25</v>
      </c>
      <c r="H147" t="str">
        <f t="shared" si="4"/>
        <v>MARIA E HÉLVIO ROCHOLLI | Recorrência:1/2 | Observações: PROJETO IBIÚNA</v>
      </c>
      <c r="I147" t="s">
        <v>26</v>
      </c>
      <c r="J147" s="4">
        <v>8000</v>
      </c>
      <c r="K147" s="4">
        <v>375453.07</v>
      </c>
      <c r="L147" t="s">
        <v>27</v>
      </c>
      <c r="M147" s="4">
        <v>8000</v>
      </c>
      <c r="N147" s="3">
        <v>0</v>
      </c>
      <c r="O147" t="s">
        <v>408</v>
      </c>
      <c r="P147" t="s">
        <v>381</v>
      </c>
      <c r="Q147" t="s">
        <v>408</v>
      </c>
      <c r="R147" t="str">
        <f t="shared" si="5"/>
        <v>Sim</v>
      </c>
      <c r="S147" t="s">
        <v>408</v>
      </c>
      <c r="T147" t="s">
        <v>410</v>
      </c>
      <c r="U147" t="s">
        <v>31</v>
      </c>
      <c r="V147" s="3">
        <v>8000</v>
      </c>
      <c r="W147" t="s">
        <v>32</v>
      </c>
      <c r="X147" s="3">
        <v>8000</v>
      </c>
    </row>
    <row r="148" spans="1:24" s="2" customFormat="1" x14ac:dyDescent="0.2">
      <c r="A148" s="2">
        <v>148</v>
      </c>
      <c r="B148"/>
      <c r="C148" t="s">
        <v>412</v>
      </c>
      <c r="D148" t="s">
        <v>413</v>
      </c>
      <c r="E148" t="s">
        <v>67</v>
      </c>
      <c r="F148" t="s">
        <v>24</v>
      </c>
      <c r="G148" t="s">
        <v>25</v>
      </c>
      <c r="H148" t="str">
        <f t="shared" si="4"/>
        <v xml:space="preserve">ALDEMIRA E OTÁVIO | Recorrência:1/2 | Observações: </v>
      </c>
      <c r="I148" t="s">
        <v>26</v>
      </c>
      <c r="J148" s="4">
        <v>8000</v>
      </c>
      <c r="K148" s="4">
        <v>383453.07</v>
      </c>
      <c r="L148" t="s">
        <v>27</v>
      </c>
      <c r="M148" s="4">
        <v>8000</v>
      </c>
      <c r="N148" s="3">
        <v>0</v>
      </c>
      <c r="O148" t="s">
        <v>411</v>
      </c>
      <c r="P148" t="s">
        <v>414</v>
      </c>
      <c r="Q148" t="s">
        <v>415</v>
      </c>
      <c r="R148" t="str">
        <f t="shared" si="5"/>
        <v>Sim</v>
      </c>
      <c r="S148" t="s">
        <v>415</v>
      </c>
      <c r="T148" t="s">
        <v>30</v>
      </c>
      <c r="U148" t="s">
        <v>31</v>
      </c>
      <c r="V148" s="3">
        <v>8000</v>
      </c>
      <c r="W148" t="s">
        <v>32</v>
      </c>
      <c r="X148" s="3">
        <v>8000</v>
      </c>
    </row>
    <row r="149" spans="1:24" s="2" customFormat="1" x14ac:dyDescent="0.2">
      <c r="A149">
        <v>149</v>
      </c>
      <c r="B149"/>
      <c r="C149" t="s">
        <v>416</v>
      </c>
      <c r="D149" t="s">
        <v>416</v>
      </c>
      <c r="E149" t="s">
        <v>38</v>
      </c>
      <c r="F149" t="s">
        <v>24</v>
      </c>
      <c r="G149" t="s">
        <v>25</v>
      </c>
      <c r="H149" t="str">
        <f t="shared" si="4"/>
        <v xml:space="preserve">ANA CAROLINA BERTONI_FELIPE REALE CIVIDANE | Recorrência:1/3 | Observações: </v>
      </c>
      <c r="I149" t="s">
        <v>26</v>
      </c>
      <c r="J149" s="4">
        <v>6500</v>
      </c>
      <c r="K149" s="4">
        <v>389953.07</v>
      </c>
      <c r="L149" t="s">
        <v>27</v>
      </c>
      <c r="M149" s="4">
        <v>6500</v>
      </c>
      <c r="N149" s="3">
        <v>0</v>
      </c>
      <c r="O149" t="s">
        <v>411</v>
      </c>
      <c r="P149" t="s">
        <v>415</v>
      </c>
      <c r="Q149" t="s">
        <v>411</v>
      </c>
      <c r="R149" t="str">
        <f t="shared" si="5"/>
        <v>Sim</v>
      </c>
      <c r="S149" t="s">
        <v>411</v>
      </c>
      <c r="T149" t="s">
        <v>30</v>
      </c>
      <c r="U149" t="s">
        <v>31</v>
      </c>
      <c r="V149" s="3">
        <v>6500</v>
      </c>
      <c r="W149" t="s">
        <v>32</v>
      </c>
      <c r="X149" s="3">
        <v>6500</v>
      </c>
    </row>
    <row r="150" spans="1:24" s="2" customFormat="1" x14ac:dyDescent="0.2">
      <c r="A150" s="2">
        <v>150</v>
      </c>
      <c r="B150"/>
      <c r="C150" t="s">
        <v>418</v>
      </c>
      <c r="D150" t="s">
        <v>419</v>
      </c>
      <c r="E150" t="s">
        <v>67</v>
      </c>
      <c r="F150" t="s">
        <v>24</v>
      </c>
      <c r="G150" t="s">
        <v>25</v>
      </c>
      <c r="H150" t="str">
        <f t="shared" si="4"/>
        <v xml:space="preserve">MARIA ISABEL NAJM_FLÁVIO-SÃO PAULO | Recorrência:1/2 | Observações: </v>
      </c>
      <c r="I150" t="s">
        <v>26</v>
      </c>
      <c r="J150" s="4">
        <v>2500</v>
      </c>
      <c r="K150" s="4">
        <v>392453.07</v>
      </c>
      <c r="L150" t="s">
        <v>27</v>
      </c>
      <c r="M150" s="4">
        <v>2500</v>
      </c>
      <c r="N150" s="3">
        <v>0</v>
      </c>
      <c r="O150" t="s">
        <v>417</v>
      </c>
      <c r="P150" t="s">
        <v>411</v>
      </c>
      <c r="Q150" t="s">
        <v>420</v>
      </c>
      <c r="R150" t="str">
        <f t="shared" si="5"/>
        <v>Sim</v>
      </c>
      <c r="S150" t="s">
        <v>420</v>
      </c>
      <c r="T150" t="s">
        <v>30</v>
      </c>
      <c r="U150" t="s">
        <v>31</v>
      </c>
      <c r="V150" s="3">
        <v>2500</v>
      </c>
      <c r="W150" t="s">
        <v>32</v>
      </c>
      <c r="X150" s="3">
        <v>2500</v>
      </c>
    </row>
    <row r="151" spans="1:24" s="2" customFormat="1" x14ac:dyDescent="0.2">
      <c r="A151">
        <v>151</v>
      </c>
      <c r="B151"/>
      <c r="C151" t="s">
        <v>421</v>
      </c>
      <c r="D151" t="s">
        <v>422</v>
      </c>
      <c r="E151" t="s">
        <v>30</v>
      </c>
      <c r="F151" t="s">
        <v>63</v>
      </c>
      <c r="G151" t="s">
        <v>25</v>
      </c>
      <c r="H151" t="str">
        <f t="shared" si="4"/>
        <v>GASTOS EXTRAS - GRÁFICA COPYGOOL | Recorrência: | Observações: Projeto Ana Luiza</v>
      </c>
      <c r="I151" t="s">
        <v>26</v>
      </c>
      <c r="J151" s="5">
        <v>-258.5</v>
      </c>
      <c r="K151" s="4">
        <v>392194.57</v>
      </c>
      <c r="L151" t="s">
        <v>27</v>
      </c>
      <c r="M151" s="5">
        <v>-258.5</v>
      </c>
      <c r="N151" s="3">
        <v>0</v>
      </c>
      <c r="O151" t="s">
        <v>407</v>
      </c>
      <c r="P151" t="s">
        <v>407</v>
      </c>
      <c r="Q151" t="s">
        <v>407</v>
      </c>
      <c r="R151" t="str">
        <f t="shared" si="5"/>
        <v>Sim</v>
      </c>
      <c r="S151" t="s">
        <v>407</v>
      </c>
      <c r="T151" t="s">
        <v>423</v>
      </c>
      <c r="U151" t="s">
        <v>158</v>
      </c>
      <c r="V151" s="3">
        <v>-258.5</v>
      </c>
      <c r="W151" t="s">
        <v>190</v>
      </c>
      <c r="X151" s="3">
        <v>-258.5</v>
      </c>
    </row>
    <row r="152" spans="1:24" s="2" customFormat="1" x14ac:dyDescent="0.2">
      <c r="A152" s="2">
        <v>152</v>
      </c>
      <c r="B152"/>
      <c r="C152" t="s">
        <v>57</v>
      </c>
      <c r="D152" t="s">
        <v>59</v>
      </c>
      <c r="E152" t="s">
        <v>425</v>
      </c>
      <c r="F152" t="s">
        <v>24</v>
      </c>
      <c r="G152" t="s">
        <v>25</v>
      </c>
      <c r="H152" t="str">
        <f t="shared" si="4"/>
        <v>ESPAÇO REFORMAR ( DMP REFORMAS) | Recorrência:6/6 | Observações: PROJETO PATRICIA MEIRELLES</v>
      </c>
      <c r="I152" t="s">
        <v>26</v>
      </c>
      <c r="J152" s="4">
        <v>1823.31</v>
      </c>
      <c r="K152" s="4">
        <v>394017.88</v>
      </c>
      <c r="L152" t="s">
        <v>27</v>
      </c>
      <c r="M152" s="4">
        <v>1823.31</v>
      </c>
      <c r="N152" s="3">
        <v>0</v>
      </c>
      <c r="O152" t="s">
        <v>424</v>
      </c>
      <c r="P152" t="s">
        <v>310</v>
      </c>
      <c r="Q152" t="s">
        <v>374</v>
      </c>
      <c r="R152" t="str">
        <f t="shared" si="5"/>
        <v>Sim</v>
      </c>
      <c r="S152" t="s">
        <v>374</v>
      </c>
      <c r="T152" t="s">
        <v>61</v>
      </c>
      <c r="U152" t="s">
        <v>49</v>
      </c>
      <c r="V152" s="3">
        <v>1823.31</v>
      </c>
      <c r="W152" t="s">
        <v>49</v>
      </c>
      <c r="X152" s="3">
        <v>1823.31</v>
      </c>
    </row>
    <row r="153" spans="1:24" s="2" customFormat="1" x14ac:dyDescent="0.2">
      <c r="A153">
        <v>153</v>
      </c>
      <c r="B153" t="s">
        <v>106</v>
      </c>
      <c r="C153" t="s">
        <v>107</v>
      </c>
      <c r="D153" t="s">
        <v>226</v>
      </c>
      <c r="E153" t="s">
        <v>199</v>
      </c>
      <c r="F153" t="s">
        <v>24</v>
      </c>
      <c r="G153" t="s">
        <v>25</v>
      </c>
      <c r="H153" t="str">
        <f t="shared" si="4"/>
        <v xml:space="preserve">ESPAÇO REFORMAR (DMP REFORMAS ) | Recorrência:3/5 | Observações: Aguardando cronograma de pagto atualizado </v>
      </c>
      <c r="I153" t="s">
        <v>26</v>
      </c>
      <c r="J153" s="4">
        <v>351.74</v>
      </c>
      <c r="K153" s="4">
        <v>394369.62</v>
      </c>
      <c r="L153" t="s">
        <v>27</v>
      </c>
      <c r="M153" s="4">
        <v>351.74</v>
      </c>
      <c r="N153" s="3">
        <v>0</v>
      </c>
      <c r="O153" t="s">
        <v>424</v>
      </c>
      <c r="P153" t="s">
        <v>379</v>
      </c>
      <c r="Q153" t="s">
        <v>426</v>
      </c>
      <c r="R153" t="str">
        <f t="shared" si="5"/>
        <v>Sim</v>
      </c>
      <c r="S153" t="s">
        <v>426</v>
      </c>
      <c r="T153" t="s">
        <v>270</v>
      </c>
      <c r="U153" t="s">
        <v>49</v>
      </c>
      <c r="V153" s="3">
        <v>351.74</v>
      </c>
      <c r="W153" t="s">
        <v>49</v>
      </c>
      <c r="X153" s="3">
        <v>351.74</v>
      </c>
    </row>
    <row r="154" spans="1:24" s="2" customFormat="1" x14ac:dyDescent="0.2">
      <c r="A154" s="2">
        <v>154</v>
      </c>
      <c r="B154"/>
      <c r="C154" t="s">
        <v>292</v>
      </c>
      <c r="D154" t="s">
        <v>226</v>
      </c>
      <c r="E154" t="s">
        <v>38</v>
      </c>
      <c r="F154" t="s">
        <v>24</v>
      </c>
      <c r="G154" t="s">
        <v>25</v>
      </c>
      <c r="H154" t="str">
        <f t="shared" si="4"/>
        <v xml:space="preserve">ESPAÇO REFORMAR (DMP REFORMAS ) | Recorrência:1/3 | Observações: </v>
      </c>
      <c r="I154" t="s">
        <v>26</v>
      </c>
      <c r="J154" s="4">
        <v>1471.57</v>
      </c>
      <c r="K154" s="4">
        <v>395841.19</v>
      </c>
      <c r="L154" t="s">
        <v>27</v>
      </c>
      <c r="M154" s="4">
        <v>1471.57</v>
      </c>
      <c r="N154" s="3">
        <v>0</v>
      </c>
      <c r="O154" t="s">
        <v>424</v>
      </c>
      <c r="P154" t="s">
        <v>291</v>
      </c>
      <c r="Q154" t="s">
        <v>427</v>
      </c>
      <c r="R154" t="str">
        <f t="shared" si="5"/>
        <v>Sim</v>
      </c>
      <c r="S154" t="s">
        <v>427</v>
      </c>
      <c r="T154" t="s">
        <v>30</v>
      </c>
      <c r="U154" t="s">
        <v>49</v>
      </c>
      <c r="V154" s="3">
        <v>1471.57</v>
      </c>
      <c r="W154" t="s">
        <v>49</v>
      </c>
      <c r="X154" s="3">
        <v>1471.57</v>
      </c>
    </row>
    <row r="155" spans="1:24" s="2" customFormat="1" x14ac:dyDescent="0.2">
      <c r="A155">
        <v>155</v>
      </c>
      <c r="B155"/>
      <c r="C155" t="s">
        <v>428</v>
      </c>
      <c r="D155" t="s">
        <v>429</v>
      </c>
      <c r="E155" t="s">
        <v>30</v>
      </c>
      <c r="F155" t="s">
        <v>24</v>
      </c>
      <c r="G155" t="s">
        <v>25</v>
      </c>
      <c r="H155" t="str">
        <f t="shared" si="4"/>
        <v xml:space="preserve">ANTARES DIGITAL LIFE | Recorrência: | Observações: </v>
      </c>
      <c r="I155" t="s">
        <v>26</v>
      </c>
      <c r="J155" s="4">
        <v>250</v>
      </c>
      <c r="K155" s="4">
        <v>396091.19</v>
      </c>
      <c r="L155" t="s">
        <v>27</v>
      </c>
      <c r="M155" s="4">
        <v>250</v>
      </c>
      <c r="N155" s="3">
        <v>0</v>
      </c>
      <c r="O155" t="s">
        <v>424</v>
      </c>
      <c r="P155" t="s">
        <v>411</v>
      </c>
      <c r="Q155" t="s">
        <v>424</v>
      </c>
      <c r="R155" t="str">
        <f t="shared" si="5"/>
        <v>Sim</v>
      </c>
      <c r="S155" t="s">
        <v>424</v>
      </c>
      <c r="T155" t="s">
        <v>30</v>
      </c>
      <c r="U155" t="s">
        <v>49</v>
      </c>
      <c r="V155" s="3">
        <v>250</v>
      </c>
      <c r="W155" t="s">
        <v>49</v>
      </c>
      <c r="X155" s="3">
        <v>250</v>
      </c>
    </row>
    <row r="156" spans="1:24" s="2" customFormat="1" x14ac:dyDescent="0.2">
      <c r="A156" s="2">
        <v>156</v>
      </c>
      <c r="B156" t="s">
        <v>106</v>
      </c>
      <c r="C156" t="s">
        <v>107</v>
      </c>
      <c r="D156" t="s">
        <v>430</v>
      </c>
      <c r="E156" t="s">
        <v>30</v>
      </c>
      <c r="F156" t="s">
        <v>24</v>
      </c>
      <c r="G156" t="s">
        <v>25</v>
      </c>
      <c r="H156" t="str">
        <f t="shared" si="4"/>
        <v>GENIO DO MARMORE  | Recorrência: | Observações: RT após ultimo pagamento 01/09 nas condições do cliente</v>
      </c>
      <c r="I156" t="s">
        <v>26</v>
      </c>
      <c r="J156" s="4">
        <v>900</v>
      </c>
      <c r="K156" s="4">
        <v>396991.19</v>
      </c>
      <c r="L156" t="s">
        <v>27</v>
      </c>
      <c r="M156" s="4">
        <v>900</v>
      </c>
      <c r="N156" s="3">
        <v>0</v>
      </c>
      <c r="O156" t="s">
        <v>427</v>
      </c>
      <c r="P156" t="s">
        <v>431</v>
      </c>
      <c r="Q156" t="s">
        <v>405</v>
      </c>
      <c r="R156" t="str">
        <f t="shared" si="5"/>
        <v>Sim</v>
      </c>
      <c r="S156" t="s">
        <v>405</v>
      </c>
      <c r="T156" t="s">
        <v>432</v>
      </c>
      <c r="U156" t="s">
        <v>49</v>
      </c>
      <c r="V156" s="3">
        <v>900</v>
      </c>
      <c r="W156" t="s">
        <v>49</v>
      </c>
      <c r="X156" s="3">
        <v>900</v>
      </c>
    </row>
    <row r="157" spans="1:24" s="2" customFormat="1" x14ac:dyDescent="0.2">
      <c r="A157">
        <v>157</v>
      </c>
      <c r="B157"/>
      <c r="C157" t="s">
        <v>258</v>
      </c>
      <c r="D157" t="s">
        <v>258</v>
      </c>
      <c r="E157" t="s">
        <v>34</v>
      </c>
      <c r="F157" t="s">
        <v>24</v>
      </c>
      <c r="G157" t="s">
        <v>25</v>
      </c>
      <c r="H157" t="str">
        <f t="shared" si="4"/>
        <v>MANUELA REZENDE DE CARVALHO | Recorrência:2/4 | Observações: 02 DE 04-Eugenia Carvalho Rezende</v>
      </c>
      <c r="I157" t="s">
        <v>26</v>
      </c>
      <c r="J157" s="4">
        <v>2500</v>
      </c>
      <c r="K157" s="4">
        <v>399491.19</v>
      </c>
      <c r="L157" t="s">
        <v>27</v>
      </c>
      <c r="M157" s="4">
        <v>2500</v>
      </c>
      <c r="N157" s="3">
        <v>0</v>
      </c>
      <c r="O157" t="s">
        <v>427</v>
      </c>
      <c r="P157" t="s">
        <v>327</v>
      </c>
      <c r="Q157" t="s">
        <v>433</v>
      </c>
      <c r="R157" t="str">
        <f t="shared" si="5"/>
        <v>Sim</v>
      </c>
      <c r="S157" t="s">
        <v>433</v>
      </c>
      <c r="T157" t="s">
        <v>434</v>
      </c>
      <c r="U157" t="s">
        <v>146</v>
      </c>
      <c r="V157" s="3">
        <v>2500</v>
      </c>
      <c r="W157" t="s">
        <v>166</v>
      </c>
      <c r="X157" s="3">
        <v>2500</v>
      </c>
    </row>
    <row r="158" spans="1:24" s="2" customFormat="1" x14ac:dyDescent="0.2">
      <c r="A158" s="2">
        <v>158</v>
      </c>
      <c r="B158"/>
      <c r="C158" t="s">
        <v>304</v>
      </c>
      <c r="D158" t="s">
        <v>47</v>
      </c>
      <c r="E158" t="s">
        <v>210</v>
      </c>
      <c r="F158" t="s">
        <v>24</v>
      </c>
      <c r="G158" t="s">
        <v>25</v>
      </c>
      <c r="H158" t="str">
        <f t="shared" si="4"/>
        <v>SILVESTRE VIDROS | Recorrência:3/6 | Observações: Pedido 44192</v>
      </c>
      <c r="I158" t="s">
        <v>26</v>
      </c>
      <c r="J158" s="4">
        <v>184.01</v>
      </c>
      <c r="K158" s="4">
        <v>399675.2</v>
      </c>
      <c r="L158" t="s">
        <v>27</v>
      </c>
      <c r="M158" s="4">
        <v>184.01</v>
      </c>
      <c r="N158" s="3">
        <v>0</v>
      </c>
      <c r="O158" t="s">
        <v>427</v>
      </c>
      <c r="P158" t="s">
        <v>362</v>
      </c>
      <c r="Q158" t="s">
        <v>427</v>
      </c>
      <c r="R158" t="str">
        <f t="shared" si="5"/>
        <v>Sim</v>
      </c>
      <c r="S158" t="s">
        <v>427</v>
      </c>
      <c r="T158" t="s">
        <v>305</v>
      </c>
      <c r="U158" t="s">
        <v>49</v>
      </c>
      <c r="V158" s="3">
        <v>184.01</v>
      </c>
      <c r="W158" t="s">
        <v>49</v>
      </c>
      <c r="X158" s="3">
        <v>184.01</v>
      </c>
    </row>
    <row r="159" spans="1:24" s="2" customFormat="1" x14ac:dyDescent="0.2">
      <c r="A159">
        <v>159</v>
      </c>
      <c r="B159"/>
      <c r="C159" t="s">
        <v>435</v>
      </c>
      <c r="D159" t="s">
        <v>436</v>
      </c>
      <c r="E159" t="s">
        <v>30</v>
      </c>
      <c r="F159" t="s">
        <v>63</v>
      </c>
      <c r="G159" t="s">
        <v>25</v>
      </c>
      <c r="H159" t="str">
        <f t="shared" si="4"/>
        <v xml:space="preserve">DARF_ IRRF | Recorrência: | Observações: IRRF NF 143 </v>
      </c>
      <c r="I159" t="s">
        <v>26</v>
      </c>
      <c r="J159" s="5">
        <v>-53.94</v>
      </c>
      <c r="K159" s="4">
        <v>399621.26</v>
      </c>
      <c r="L159" t="s">
        <v>27</v>
      </c>
      <c r="M159" s="5">
        <v>-53.94</v>
      </c>
      <c r="N159" s="3">
        <v>0</v>
      </c>
      <c r="O159" t="s">
        <v>427</v>
      </c>
      <c r="P159" t="s">
        <v>255</v>
      </c>
      <c r="Q159" t="s">
        <v>414</v>
      </c>
      <c r="R159" t="str">
        <f t="shared" si="5"/>
        <v>Sim</v>
      </c>
      <c r="S159" t="s">
        <v>414</v>
      </c>
      <c r="T159" t="s">
        <v>437</v>
      </c>
      <c r="U159" t="s">
        <v>280</v>
      </c>
      <c r="V159" s="3">
        <v>-53.94</v>
      </c>
      <c r="W159" t="s">
        <v>376</v>
      </c>
      <c r="X159" s="3">
        <v>-53.94</v>
      </c>
    </row>
    <row r="160" spans="1:24" s="2" customFormat="1" x14ac:dyDescent="0.2">
      <c r="A160" s="2">
        <v>160</v>
      </c>
      <c r="B160"/>
      <c r="C160" t="s">
        <v>421</v>
      </c>
      <c r="D160" t="s">
        <v>422</v>
      </c>
      <c r="E160" t="s">
        <v>30</v>
      </c>
      <c r="F160" t="s">
        <v>63</v>
      </c>
      <c r="G160" t="s">
        <v>25</v>
      </c>
      <c r="H160" t="str">
        <f t="shared" si="4"/>
        <v xml:space="preserve">GASTOS EXTRAS - GRÁFICA COPYGOOL | Recorrência: | Observações: MANUELA REZENDE </v>
      </c>
      <c r="I160" t="s">
        <v>26</v>
      </c>
      <c r="J160" s="5">
        <v>-56</v>
      </c>
      <c r="K160" s="4">
        <v>399565.26</v>
      </c>
      <c r="L160" t="s">
        <v>27</v>
      </c>
      <c r="M160" s="5">
        <v>-56</v>
      </c>
      <c r="N160" s="3">
        <v>0</v>
      </c>
      <c r="O160" t="s">
        <v>438</v>
      </c>
      <c r="P160" t="s">
        <v>438</v>
      </c>
      <c r="Q160" t="s">
        <v>438</v>
      </c>
      <c r="R160" t="str">
        <f t="shared" si="5"/>
        <v>Sim</v>
      </c>
      <c r="S160" t="s">
        <v>438</v>
      </c>
      <c r="T160" t="s">
        <v>439</v>
      </c>
      <c r="U160" t="s">
        <v>158</v>
      </c>
      <c r="V160" s="3">
        <v>-56</v>
      </c>
      <c r="W160" t="s">
        <v>190</v>
      </c>
      <c r="X160" s="3">
        <v>-56</v>
      </c>
    </row>
    <row r="161" spans="1:24" s="2" customFormat="1" x14ac:dyDescent="0.2">
      <c r="A161">
        <v>161</v>
      </c>
      <c r="B161"/>
      <c r="C161" t="s">
        <v>421</v>
      </c>
      <c r="D161" t="s">
        <v>422</v>
      </c>
      <c r="E161" t="s">
        <v>30</v>
      </c>
      <c r="F161" t="s">
        <v>63</v>
      </c>
      <c r="G161" t="s">
        <v>25</v>
      </c>
      <c r="H161" t="str">
        <f t="shared" si="4"/>
        <v>GASTOS EXTRAS - GRÁFICA COPYGOOL | Recorrência: | Observações: Impressões Maria Isabel _ Carol e Felipe</v>
      </c>
      <c r="I161" t="s">
        <v>26</v>
      </c>
      <c r="J161" s="5">
        <v>-20</v>
      </c>
      <c r="K161" s="4">
        <v>399545.26</v>
      </c>
      <c r="L161" t="s">
        <v>27</v>
      </c>
      <c r="M161" s="5">
        <v>-20</v>
      </c>
      <c r="N161" s="3">
        <v>0</v>
      </c>
      <c r="O161" t="s">
        <v>438</v>
      </c>
      <c r="P161" t="s">
        <v>438</v>
      </c>
      <c r="Q161" t="s">
        <v>438</v>
      </c>
      <c r="R161" t="str">
        <f t="shared" si="5"/>
        <v>Sim</v>
      </c>
      <c r="S161" t="s">
        <v>438</v>
      </c>
      <c r="T161" t="s">
        <v>440</v>
      </c>
      <c r="U161" t="s">
        <v>158</v>
      </c>
      <c r="V161" s="3">
        <v>-20</v>
      </c>
    </row>
    <row r="162" spans="1:24" s="2" customFormat="1" x14ac:dyDescent="0.2">
      <c r="A162" s="2">
        <v>162</v>
      </c>
      <c r="B162"/>
      <c r="C162" t="s">
        <v>258</v>
      </c>
      <c r="D162" t="s">
        <v>241</v>
      </c>
      <c r="E162" t="s">
        <v>30</v>
      </c>
      <c r="F162" t="s">
        <v>24</v>
      </c>
      <c r="G162" t="s">
        <v>25</v>
      </c>
      <c r="H162" t="str">
        <f t="shared" si="4"/>
        <v>DECORLIGHT ILUMINACAO LTDA | Recorrência: | Observações: 10% RT Pedido 2317</v>
      </c>
      <c r="I162" t="s">
        <v>26</v>
      </c>
      <c r="J162" s="4">
        <v>560</v>
      </c>
      <c r="K162" s="4">
        <v>400105.26</v>
      </c>
      <c r="L162" t="s">
        <v>27</v>
      </c>
      <c r="M162" s="4">
        <v>560</v>
      </c>
      <c r="N162" s="3">
        <v>0</v>
      </c>
      <c r="O162" t="s">
        <v>441</v>
      </c>
      <c r="P162" t="s">
        <v>442</v>
      </c>
      <c r="Q162" t="s">
        <v>443</v>
      </c>
      <c r="R162" t="str">
        <f t="shared" si="5"/>
        <v>Sim</v>
      </c>
      <c r="S162" t="s">
        <v>443</v>
      </c>
      <c r="T162" t="s">
        <v>444</v>
      </c>
      <c r="U162" t="s">
        <v>49</v>
      </c>
      <c r="V162" s="3">
        <v>560</v>
      </c>
      <c r="W162" t="s">
        <v>49</v>
      </c>
      <c r="X162" s="3">
        <v>560</v>
      </c>
    </row>
    <row r="163" spans="1:24" s="2" customFormat="1" x14ac:dyDescent="0.2">
      <c r="A163">
        <v>163</v>
      </c>
      <c r="B163"/>
      <c r="C163" t="s">
        <v>445</v>
      </c>
      <c r="D163" t="s">
        <v>446</v>
      </c>
      <c r="E163" t="s">
        <v>30</v>
      </c>
      <c r="F163" t="s">
        <v>63</v>
      </c>
      <c r="G163" t="s">
        <v>25</v>
      </c>
      <c r="H163" t="str">
        <f t="shared" si="4"/>
        <v xml:space="preserve">GASTOS EXTRAS_ REI DOS CARTUCHOS | Recorrência: | Observações: </v>
      </c>
      <c r="I163" t="s">
        <v>26</v>
      </c>
      <c r="J163" s="5">
        <v>-135</v>
      </c>
      <c r="K163" s="4">
        <v>399970.26</v>
      </c>
      <c r="L163" t="s">
        <v>27</v>
      </c>
      <c r="M163" s="5">
        <v>-135</v>
      </c>
      <c r="N163" s="3">
        <v>0</v>
      </c>
      <c r="O163" t="s">
        <v>441</v>
      </c>
      <c r="P163" t="s">
        <v>441</v>
      </c>
      <c r="Q163" t="s">
        <v>441</v>
      </c>
      <c r="R163" t="str">
        <f t="shared" si="5"/>
        <v>Sim</v>
      </c>
      <c r="S163" t="s">
        <v>441</v>
      </c>
      <c r="T163" t="s">
        <v>30</v>
      </c>
      <c r="U163" t="s">
        <v>158</v>
      </c>
      <c r="V163" s="3">
        <v>-135</v>
      </c>
      <c r="W163" t="s">
        <v>190</v>
      </c>
      <c r="X163" s="3">
        <v>-135</v>
      </c>
    </row>
    <row r="164" spans="1:24" s="2" customFormat="1" x14ac:dyDescent="0.2">
      <c r="A164" s="2">
        <v>164</v>
      </c>
      <c r="B164"/>
      <c r="C164" t="s">
        <v>421</v>
      </c>
      <c r="D164" t="s">
        <v>422</v>
      </c>
      <c r="E164" t="s">
        <v>30</v>
      </c>
      <c r="F164" t="s">
        <v>63</v>
      </c>
      <c r="G164" t="s">
        <v>25</v>
      </c>
      <c r="H164" t="str">
        <f t="shared" si="4"/>
        <v xml:space="preserve">GASTOS EXTRAS - GRÁFICA COPYGOOL | Recorrência: | Observações: IMPRESSÕES VANESSA E ADO </v>
      </c>
      <c r="I164" t="s">
        <v>26</v>
      </c>
      <c r="J164" s="5">
        <v>-29</v>
      </c>
      <c r="K164" s="4">
        <v>399941.26</v>
      </c>
      <c r="L164" t="s">
        <v>27</v>
      </c>
      <c r="M164" s="5">
        <v>-29</v>
      </c>
      <c r="N164" s="3">
        <v>0</v>
      </c>
      <c r="O164" t="s">
        <v>420</v>
      </c>
      <c r="P164" t="s">
        <v>420</v>
      </c>
      <c r="Q164" t="s">
        <v>420</v>
      </c>
      <c r="R164" t="str">
        <f t="shared" si="5"/>
        <v>Sim</v>
      </c>
      <c r="S164" t="s">
        <v>420</v>
      </c>
      <c r="T164" t="s">
        <v>447</v>
      </c>
      <c r="U164" t="s">
        <v>158</v>
      </c>
      <c r="V164" s="3">
        <v>-29</v>
      </c>
      <c r="W164" t="s">
        <v>190</v>
      </c>
      <c r="X164" s="3">
        <v>-29</v>
      </c>
    </row>
    <row r="165" spans="1:24" s="2" customFormat="1" x14ac:dyDescent="0.2">
      <c r="A165">
        <v>165</v>
      </c>
      <c r="B165"/>
      <c r="C165" t="s">
        <v>421</v>
      </c>
      <c r="D165" t="s">
        <v>422</v>
      </c>
      <c r="E165" t="s">
        <v>30</v>
      </c>
      <c r="F165" t="s">
        <v>63</v>
      </c>
      <c r="G165" t="s">
        <v>25</v>
      </c>
      <c r="H165" t="str">
        <f t="shared" si="4"/>
        <v>GASTOS EXTRAS - GRÁFICA COPYGOOL | Recorrência: | Observações: IMPRESSÕES: COSTELLE</v>
      </c>
      <c r="I165" t="s">
        <v>26</v>
      </c>
      <c r="J165" s="5">
        <v>-56</v>
      </c>
      <c r="K165" s="4">
        <v>399885.26</v>
      </c>
      <c r="L165" t="s">
        <v>27</v>
      </c>
      <c r="M165" s="5">
        <v>-56</v>
      </c>
      <c r="N165" s="3">
        <v>0</v>
      </c>
      <c r="O165" t="s">
        <v>448</v>
      </c>
      <c r="P165" t="s">
        <v>448</v>
      </c>
      <c r="Q165" t="s">
        <v>448</v>
      </c>
      <c r="R165" t="str">
        <f t="shared" si="5"/>
        <v>Sim</v>
      </c>
      <c r="S165" t="s">
        <v>448</v>
      </c>
      <c r="T165" t="s">
        <v>449</v>
      </c>
      <c r="U165" t="s">
        <v>158</v>
      </c>
      <c r="V165" s="3">
        <v>-56</v>
      </c>
      <c r="W165" t="s">
        <v>190</v>
      </c>
      <c r="X165" s="3">
        <v>-56</v>
      </c>
    </row>
    <row r="166" spans="1:24" s="2" customFormat="1" x14ac:dyDescent="0.2">
      <c r="A166" s="2">
        <v>166</v>
      </c>
      <c r="B166" t="s">
        <v>71</v>
      </c>
      <c r="C166" t="s">
        <v>72</v>
      </c>
      <c r="D166" t="s">
        <v>450</v>
      </c>
      <c r="E166" t="s">
        <v>30</v>
      </c>
      <c r="F166" t="s">
        <v>24</v>
      </c>
      <c r="G166" t="s">
        <v>25</v>
      </c>
      <c r="H166" t="str">
        <f t="shared" si="4"/>
        <v>2ª (5/5) VIA MADEIRA (HAEHLIN) | Recorrência: | Observações: Valor correto 1200,00</v>
      </c>
      <c r="I166" t="s">
        <v>26</v>
      </c>
      <c r="J166" s="4">
        <v>1100</v>
      </c>
      <c r="K166" s="4">
        <v>400985.26</v>
      </c>
      <c r="L166" t="s">
        <v>27</v>
      </c>
      <c r="M166" s="4">
        <v>1100</v>
      </c>
      <c r="N166" s="3">
        <v>0</v>
      </c>
      <c r="O166" t="s">
        <v>448</v>
      </c>
      <c r="P166" t="s">
        <v>390</v>
      </c>
      <c r="Q166" t="s">
        <v>448</v>
      </c>
      <c r="R166" t="str">
        <f t="shared" si="5"/>
        <v>Sim</v>
      </c>
      <c r="S166" t="s">
        <v>448</v>
      </c>
      <c r="T166" t="s">
        <v>451</v>
      </c>
      <c r="U166" t="s">
        <v>49</v>
      </c>
      <c r="V166" s="3">
        <v>1100</v>
      </c>
      <c r="W166" t="s">
        <v>49</v>
      </c>
      <c r="X166" s="3">
        <v>1100</v>
      </c>
    </row>
    <row r="167" spans="1:24" s="2" customFormat="1" x14ac:dyDescent="0.2">
      <c r="A167">
        <v>167</v>
      </c>
      <c r="B167"/>
      <c r="C167" t="s">
        <v>453</v>
      </c>
      <c r="D167" t="s">
        <v>453</v>
      </c>
      <c r="E167" t="s">
        <v>22</v>
      </c>
      <c r="F167" t="s">
        <v>24</v>
      </c>
      <c r="G167" t="s">
        <v>25</v>
      </c>
      <c r="H167" t="str">
        <f t="shared" si="4"/>
        <v xml:space="preserve">VANESSA  E ADO | Recorrência:1/4 | Observações: </v>
      </c>
      <c r="I167" t="s">
        <v>26</v>
      </c>
      <c r="J167" s="4">
        <v>6750</v>
      </c>
      <c r="K167" s="4">
        <v>407735.26</v>
      </c>
      <c r="L167" t="s">
        <v>27</v>
      </c>
      <c r="M167" s="4">
        <v>6750</v>
      </c>
      <c r="N167" s="3">
        <v>0</v>
      </c>
      <c r="O167" t="s">
        <v>452</v>
      </c>
      <c r="P167" t="s">
        <v>370</v>
      </c>
      <c r="Q167" t="s">
        <v>384</v>
      </c>
      <c r="R167" t="str">
        <f t="shared" si="5"/>
        <v>Sim</v>
      </c>
      <c r="S167" t="s">
        <v>384</v>
      </c>
      <c r="T167" t="s">
        <v>30</v>
      </c>
      <c r="U167" t="s">
        <v>31</v>
      </c>
      <c r="V167" s="3">
        <v>6750</v>
      </c>
      <c r="W167" t="s">
        <v>32</v>
      </c>
      <c r="X167" s="3">
        <v>6750</v>
      </c>
    </row>
    <row r="168" spans="1:24" s="2" customFormat="1" x14ac:dyDescent="0.2">
      <c r="A168" s="2">
        <v>168</v>
      </c>
      <c r="B168"/>
      <c r="C168" t="s">
        <v>421</v>
      </c>
      <c r="D168" t="s">
        <v>422</v>
      </c>
      <c r="E168" t="s">
        <v>30</v>
      </c>
      <c r="F168" t="s">
        <v>63</v>
      </c>
      <c r="G168" t="s">
        <v>25</v>
      </c>
      <c r="H168" t="str">
        <f t="shared" si="4"/>
        <v xml:space="preserve">GASTOS EXTRAS - GRÁFICA COPYGOOL | Recorrência: | Observações: COSTELLE&gt; Roberta e Mario </v>
      </c>
      <c r="I168" t="s">
        <v>26</v>
      </c>
      <c r="J168" s="5">
        <v>-599</v>
      </c>
      <c r="K168" s="4">
        <v>407136.26</v>
      </c>
      <c r="L168" t="s">
        <v>27</v>
      </c>
      <c r="M168" s="5">
        <v>-599</v>
      </c>
      <c r="N168" s="3">
        <v>0</v>
      </c>
      <c r="O168" t="s">
        <v>452</v>
      </c>
      <c r="P168" t="s">
        <v>452</v>
      </c>
      <c r="Q168" t="s">
        <v>452</v>
      </c>
      <c r="R168" t="str">
        <f t="shared" si="5"/>
        <v>Sim</v>
      </c>
      <c r="S168" t="s">
        <v>452</v>
      </c>
      <c r="T168" t="s">
        <v>454</v>
      </c>
      <c r="U168" t="s">
        <v>158</v>
      </c>
      <c r="V168" s="3">
        <v>-599</v>
      </c>
    </row>
    <row r="169" spans="1:24" s="2" customFormat="1" x14ac:dyDescent="0.2">
      <c r="A169">
        <v>169</v>
      </c>
      <c r="B169"/>
      <c r="C169" t="s">
        <v>395</v>
      </c>
      <c r="D169" t="s">
        <v>395</v>
      </c>
      <c r="E169" t="s">
        <v>34</v>
      </c>
      <c r="F169" t="s">
        <v>24</v>
      </c>
      <c r="G169" t="s">
        <v>25</v>
      </c>
      <c r="H169" t="str">
        <f t="shared" si="4"/>
        <v xml:space="preserve">ROGÉRIO E ANA PAULA CALFÁ | Recorrência:2/4 | Observações: </v>
      </c>
      <c r="I169" t="s">
        <v>26</v>
      </c>
      <c r="J169" s="4">
        <v>4437.5</v>
      </c>
      <c r="K169" s="4">
        <v>411573.76000000001</v>
      </c>
      <c r="L169" t="s">
        <v>27</v>
      </c>
      <c r="M169" s="4">
        <v>4437.5</v>
      </c>
      <c r="N169" s="3">
        <v>0</v>
      </c>
      <c r="O169" t="s">
        <v>401</v>
      </c>
      <c r="P169" t="s">
        <v>455</v>
      </c>
      <c r="Q169" t="s">
        <v>414</v>
      </c>
      <c r="R169" t="str">
        <f t="shared" si="5"/>
        <v>Sim</v>
      </c>
      <c r="S169" t="s">
        <v>414</v>
      </c>
      <c r="T169" t="s">
        <v>30</v>
      </c>
      <c r="U169" t="s">
        <v>31</v>
      </c>
      <c r="V169" s="3">
        <v>4437.5</v>
      </c>
      <c r="W169" t="s">
        <v>32</v>
      </c>
      <c r="X169" s="3">
        <v>4437.5</v>
      </c>
    </row>
    <row r="170" spans="1:24" s="2" customFormat="1" x14ac:dyDescent="0.2">
      <c r="A170" s="2">
        <v>170</v>
      </c>
      <c r="B170"/>
      <c r="C170" t="s">
        <v>153</v>
      </c>
      <c r="D170" t="s">
        <v>159</v>
      </c>
      <c r="E170" t="s">
        <v>30</v>
      </c>
      <c r="F170" t="s">
        <v>63</v>
      </c>
      <c r="G170" t="s">
        <v>25</v>
      </c>
      <c r="H170" t="str">
        <f t="shared" si="4"/>
        <v xml:space="preserve">DIARISTA JULIANA  | Recorrência: | Observações: Ref: 05 diárias &gt; 01-08-15-22-29 </v>
      </c>
      <c r="I170" t="s">
        <v>26</v>
      </c>
      <c r="J170" s="5">
        <v>-400</v>
      </c>
      <c r="K170" s="4">
        <v>411173.76</v>
      </c>
      <c r="L170" t="s">
        <v>27</v>
      </c>
      <c r="M170" s="5">
        <v>-400</v>
      </c>
      <c r="N170" s="3">
        <v>0</v>
      </c>
      <c r="O170" t="s">
        <v>414</v>
      </c>
      <c r="P170" t="s">
        <v>456</v>
      </c>
      <c r="Q170" t="s">
        <v>457</v>
      </c>
      <c r="R170" t="str">
        <f t="shared" si="5"/>
        <v>Sim</v>
      </c>
      <c r="S170" t="s">
        <v>457</v>
      </c>
      <c r="T170" t="s">
        <v>458</v>
      </c>
      <c r="U170" t="s">
        <v>158</v>
      </c>
      <c r="V170" s="3">
        <v>-400</v>
      </c>
      <c r="W170" t="s">
        <v>158</v>
      </c>
      <c r="X170" s="3">
        <v>-400</v>
      </c>
    </row>
    <row r="171" spans="1:24" s="2" customFormat="1" x14ac:dyDescent="0.2">
      <c r="A171">
        <v>171</v>
      </c>
      <c r="B171"/>
      <c r="C171" t="s">
        <v>232</v>
      </c>
      <c r="D171" t="s">
        <v>309</v>
      </c>
      <c r="E171" t="s">
        <v>148</v>
      </c>
      <c r="F171" t="s">
        <v>24</v>
      </c>
      <c r="G171" t="s">
        <v>25</v>
      </c>
      <c r="H171" t="str">
        <f t="shared" si="4"/>
        <v>MARÍLIA ZINGARI ROCHOLLI GRANJEIRO | Recorrência:3/3 | Observações: TBI 9348.04920-7</v>
      </c>
      <c r="I171" t="s">
        <v>26</v>
      </c>
      <c r="J171" s="4">
        <v>4200</v>
      </c>
      <c r="K171" s="4">
        <v>415373.76</v>
      </c>
      <c r="L171" t="s">
        <v>27</v>
      </c>
      <c r="M171" s="4">
        <v>4200</v>
      </c>
      <c r="N171" s="3">
        <v>0</v>
      </c>
      <c r="O171" t="s">
        <v>414</v>
      </c>
      <c r="P171" t="s">
        <v>407</v>
      </c>
      <c r="Q171" t="s">
        <v>420</v>
      </c>
      <c r="R171" t="str">
        <f t="shared" si="5"/>
        <v>Sim</v>
      </c>
      <c r="S171" t="s">
        <v>420</v>
      </c>
      <c r="T171" t="s">
        <v>459</v>
      </c>
      <c r="U171" t="s">
        <v>31</v>
      </c>
      <c r="V171" s="3">
        <v>4200</v>
      </c>
      <c r="W171" t="s">
        <v>32</v>
      </c>
      <c r="X171" s="3">
        <v>4200</v>
      </c>
    </row>
    <row r="172" spans="1:24" s="2" customFormat="1" x14ac:dyDescent="0.2">
      <c r="A172" s="2">
        <v>172</v>
      </c>
      <c r="B172"/>
      <c r="C172" t="s">
        <v>153</v>
      </c>
      <c r="D172" t="s">
        <v>151</v>
      </c>
      <c r="E172" t="s">
        <v>30</v>
      </c>
      <c r="F172" t="s">
        <v>63</v>
      </c>
      <c r="G172" t="s">
        <v>25</v>
      </c>
      <c r="H172" t="str">
        <f t="shared" si="4"/>
        <v xml:space="preserve">SODEXO - Eliane  | Recorrência: | Observações: </v>
      </c>
      <c r="I172" t="s">
        <v>26</v>
      </c>
      <c r="J172" s="5">
        <v>-513</v>
      </c>
      <c r="K172" s="4">
        <v>414860.76</v>
      </c>
      <c r="L172" t="s">
        <v>27</v>
      </c>
      <c r="M172" s="5">
        <v>-513</v>
      </c>
      <c r="N172" s="3">
        <v>0</v>
      </c>
      <c r="O172" t="s">
        <v>414</v>
      </c>
      <c r="P172" t="s">
        <v>414</v>
      </c>
      <c r="Q172" t="s">
        <v>460</v>
      </c>
      <c r="R172" t="str">
        <f t="shared" si="5"/>
        <v>Sim</v>
      </c>
      <c r="S172" t="s">
        <v>460</v>
      </c>
      <c r="T172" t="s">
        <v>30</v>
      </c>
      <c r="U172" t="s">
        <v>93</v>
      </c>
      <c r="V172" s="3">
        <v>-513</v>
      </c>
      <c r="W172" t="s">
        <v>331</v>
      </c>
      <c r="X172" s="3">
        <v>-513</v>
      </c>
    </row>
    <row r="173" spans="1:24" s="2" customFormat="1" x14ac:dyDescent="0.2">
      <c r="A173">
        <v>173</v>
      </c>
      <c r="B173" t="s">
        <v>71</v>
      </c>
      <c r="C173" t="s">
        <v>72</v>
      </c>
      <c r="D173" t="s">
        <v>72</v>
      </c>
      <c r="E173" t="s">
        <v>133</v>
      </c>
      <c r="F173" t="s">
        <v>24</v>
      </c>
      <c r="G173" t="s">
        <v>25</v>
      </c>
      <c r="H173" t="str">
        <f t="shared" si="4"/>
        <v>GAPAZ | Recorrência:2/5 | Observações: R$ 240.816,49 &gt; valor do gerenciamento será 10% deste valor = R$ 24.081,64 pago em 5 parcelas</v>
      </c>
      <c r="I173" t="s">
        <v>26</v>
      </c>
      <c r="J173" s="4">
        <v>4816.32</v>
      </c>
      <c r="K173" s="4">
        <v>419677.08</v>
      </c>
      <c r="L173" t="s">
        <v>27</v>
      </c>
      <c r="M173" s="4">
        <v>4816.32</v>
      </c>
      <c r="N173" s="3">
        <v>0</v>
      </c>
      <c r="O173" t="s">
        <v>414</v>
      </c>
      <c r="P173" t="s">
        <v>393</v>
      </c>
      <c r="Q173" t="s">
        <v>414</v>
      </c>
      <c r="R173" t="str">
        <f t="shared" si="5"/>
        <v>Sim</v>
      </c>
      <c r="S173" t="s">
        <v>414</v>
      </c>
      <c r="T173" t="s">
        <v>394</v>
      </c>
      <c r="U173" t="s">
        <v>274</v>
      </c>
      <c r="V173" s="3">
        <v>4816.32</v>
      </c>
      <c r="W173" t="s">
        <v>166</v>
      </c>
      <c r="X173" s="3">
        <v>4816.32</v>
      </c>
    </row>
    <row r="174" spans="1:24" s="2" customFormat="1" x14ac:dyDescent="0.2">
      <c r="A174" s="2">
        <v>174</v>
      </c>
      <c r="B174" t="s">
        <v>461</v>
      </c>
      <c r="C174" t="s">
        <v>462</v>
      </c>
      <c r="D174" t="s">
        <v>462</v>
      </c>
      <c r="E174" t="s">
        <v>30</v>
      </c>
      <c r="F174" t="s">
        <v>24</v>
      </c>
      <c r="G174" t="s">
        <v>25</v>
      </c>
      <c r="H174" t="str">
        <f t="shared" si="4"/>
        <v xml:space="preserve">MARCELLO K BERTONI | Recorrência: | Observações: </v>
      </c>
      <c r="I174" t="s">
        <v>26</v>
      </c>
      <c r="J174" s="4">
        <v>836.6</v>
      </c>
      <c r="K174" s="4">
        <v>420513.68</v>
      </c>
      <c r="L174" t="s">
        <v>27</v>
      </c>
      <c r="M174" s="4">
        <v>836.6</v>
      </c>
      <c r="N174" s="3">
        <v>0</v>
      </c>
      <c r="O174" t="s">
        <v>414</v>
      </c>
      <c r="P174" t="s">
        <v>431</v>
      </c>
      <c r="Q174" t="s">
        <v>414</v>
      </c>
      <c r="R174" t="str">
        <f t="shared" si="5"/>
        <v>Sim</v>
      </c>
      <c r="S174" t="s">
        <v>414</v>
      </c>
      <c r="T174" t="s">
        <v>30</v>
      </c>
      <c r="U174" t="s">
        <v>463</v>
      </c>
      <c r="V174" s="3">
        <v>836.6</v>
      </c>
    </row>
    <row r="175" spans="1:24" s="2" customFormat="1" x14ac:dyDescent="0.2">
      <c r="A175">
        <v>175</v>
      </c>
      <c r="B175" t="s">
        <v>106</v>
      </c>
      <c r="C175" t="s">
        <v>107</v>
      </c>
      <c r="D175" t="s">
        <v>47</v>
      </c>
      <c r="E175" t="s">
        <v>465</v>
      </c>
      <c r="F175" t="s">
        <v>24</v>
      </c>
      <c r="G175" t="s">
        <v>25</v>
      </c>
      <c r="H175" t="str">
        <f t="shared" si="4"/>
        <v xml:space="preserve">SILVESTRE VIDROS | Recorrência:4/4 | Observações: </v>
      </c>
      <c r="I175" t="s">
        <v>26</v>
      </c>
      <c r="J175" s="4">
        <v>124.27</v>
      </c>
      <c r="K175" s="4">
        <v>420637.95</v>
      </c>
      <c r="L175" t="s">
        <v>27</v>
      </c>
      <c r="M175" s="4">
        <v>124.27</v>
      </c>
      <c r="N175" s="3">
        <v>0</v>
      </c>
      <c r="O175" t="s">
        <v>464</v>
      </c>
      <c r="P175" t="s">
        <v>384</v>
      </c>
      <c r="Q175" t="s">
        <v>464</v>
      </c>
      <c r="R175" t="str">
        <f t="shared" si="5"/>
        <v>Sim</v>
      </c>
      <c r="S175" t="s">
        <v>464</v>
      </c>
      <c r="T175" t="s">
        <v>30</v>
      </c>
      <c r="U175" t="s">
        <v>49</v>
      </c>
      <c r="V175" s="3">
        <v>124.27</v>
      </c>
      <c r="W175" t="s">
        <v>49</v>
      </c>
      <c r="X175" s="3">
        <v>124.27</v>
      </c>
    </row>
    <row r="176" spans="1:24" s="2" customFormat="1" x14ac:dyDescent="0.2">
      <c r="A176" s="2">
        <v>176</v>
      </c>
      <c r="B176"/>
      <c r="C176" t="s">
        <v>341</v>
      </c>
      <c r="D176" t="s">
        <v>341</v>
      </c>
      <c r="E176" t="s">
        <v>148</v>
      </c>
      <c r="F176" t="s">
        <v>24</v>
      </c>
      <c r="G176" t="s">
        <v>25</v>
      </c>
      <c r="H176" t="str">
        <f t="shared" si="4"/>
        <v xml:space="preserve">CARDIAL ALIMENTOS | Recorrência:3/3 | Observações: </v>
      </c>
      <c r="I176" t="s">
        <v>26</v>
      </c>
      <c r="J176" s="4">
        <v>500</v>
      </c>
      <c r="K176" s="4">
        <v>421137.95</v>
      </c>
      <c r="L176" t="s">
        <v>27</v>
      </c>
      <c r="M176" s="4">
        <v>500</v>
      </c>
      <c r="N176" s="3">
        <v>0</v>
      </c>
      <c r="O176" t="s">
        <v>464</v>
      </c>
      <c r="P176" t="s">
        <v>457</v>
      </c>
      <c r="Q176" t="s">
        <v>464</v>
      </c>
      <c r="R176" t="str">
        <f t="shared" si="5"/>
        <v>Sim</v>
      </c>
      <c r="S176" t="s">
        <v>464</v>
      </c>
      <c r="T176" t="s">
        <v>30</v>
      </c>
      <c r="U176" t="s">
        <v>31</v>
      </c>
      <c r="V176" s="3">
        <v>500</v>
      </c>
      <c r="W176" t="s">
        <v>32</v>
      </c>
      <c r="X176" s="3">
        <v>500</v>
      </c>
    </row>
    <row r="177" spans="1:24" s="2" customFormat="1" x14ac:dyDescent="0.2">
      <c r="A177">
        <v>177</v>
      </c>
      <c r="B177" t="s">
        <v>106</v>
      </c>
      <c r="C177" t="s">
        <v>107</v>
      </c>
      <c r="D177" t="s">
        <v>39</v>
      </c>
      <c r="E177" t="s">
        <v>30</v>
      </c>
      <c r="F177" t="s">
        <v>24</v>
      </c>
      <c r="G177" t="s">
        <v>25</v>
      </c>
      <c r="H177" t="str">
        <f t="shared" si="4"/>
        <v xml:space="preserve">FAUSTO VARGAS BOLDRINI _MARIEL ROMANI  | Recorrência: | Observações: </v>
      </c>
      <c r="I177" t="s">
        <v>26</v>
      </c>
      <c r="J177" s="4">
        <v>5000</v>
      </c>
      <c r="K177" s="4">
        <v>426137.95</v>
      </c>
      <c r="L177" t="s">
        <v>27</v>
      </c>
      <c r="M177" s="4">
        <v>5000</v>
      </c>
      <c r="N177" s="3">
        <v>0</v>
      </c>
      <c r="O177" t="s">
        <v>466</v>
      </c>
      <c r="P177" t="s">
        <v>415</v>
      </c>
      <c r="Q177" t="s">
        <v>415</v>
      </c>
      <c r="R177" t="str">
        <f t="shared" si="5"/>
        <v>Sim</v>
      </c>
      <c r="S177" t="s">
        <v>415</v>
      </c>
      <c r="T177" t="s">
        <v>30</v>
      </c>
      <c r="U177" t="s">
        <v>274</v>
      </c>
      <c r="V177" s="3">
        <v>5000</v>
      </c>
      <c r="W177" t="s">
        <v>166</v>
      </c>
      <c r="X177" s="3">
        <v>5000</v>
      </c>
    </row>
    <row r="178" spans="1:24" s="2" customFormat="1" x14ac:dyDescent="0.2">
      <c r="A178" s="2">
        <v>178</v>
      </c>
      <c r="B178"/>
      <c r="C178"/>
      <c r="D178" t="s">
        <v>467</v>
      </c>
      <c r="E178" t="s">
        <v>30</v>
      </c>
      <c r="F178" t="s">
        <v>63</v>
      </c>
      <c r="G178" t="s">
        <v>25</v>
      </c>
      <c r="H178" t="str">
        <f t="shared" si="4"/>
        <v xml:space="preserve">DARF | Recorrência: | Observações: </v>
      </c>
      <c r="I178" t="s">
        <v>26</v>
      </c>
      <c r="J178" s="5">
        <v>-250</v>
      </c>
      <c r="K178" s="4">
        <v>425887.95</v>
      </c>
      <c r="L178" t="s">
        <v>27</v>
      </c>
      <c r="M178" s="5">
        <v>-250</v>
      </c>
      <c r="N178" s="3">
        <v>0</v>
      </c>
      <c r="O178" t="s">
        <v>466</v>
      </c>
      <c r="P178" t="s">
        <v>468</v>
      </c>
      <c r="Q178" t="s">
        <v>469</v>
      </c>
      <c r="R178" t="str">
        <f t="shared" si="5"/>
        <v>Sim</v>
      </c>
      <c r="S178" t="s">
        <v>469</v>
      </c>
      <c r="T178" t="s">
        <v>30</v>
      </c>
      <c r="U178" t="s">
        <v>280</v>
      </c>
      <c r="V178" s="3">
        <v>-250</v>
      </c>
    </row>
    <row r="179" spans="1:24" s="2" customFormat="1" x14ac:dyDescent="0.2">
      <c r="A179">
        <v>179</v>
      </c>
      <c r="B179"/>
      <c r="C179" t="s">
        <v>153</v>
      </c>
      <c r="D179" t="s">
        <v>472</v>
      </c>
      <c r="E179" t="s">
        <v>471</v>
      </c>
      <c r="F179" t="s">
        <v>63</v>
      </c>
      <c r="G179" t="s">
        <v>25</v>
      </c>
      <c r="H179" t="str">
        <f t="shared" si="4"/>
        <v xml:space="preserve">POLIANA PAULINO_SALÁRIO | Recorrência:3/12 | Observações: ESTAGIÁRIA </v>
      </c>
      <c r="I179" t="s">
        <v>26</v>
      </c>
      <c r="J179" s="5">
        <v>-1200</v>
      </c>
      <c r="K179" s="4">
        <v>424687.95</v>
      </c>
      <c r="L179" t="s">
        <v>27</v>
      </c>
      <c r="M179" s="5">
        <v>-1200</v>
      </c>
      <c r="N179" s="3">
        <v>0</v>
      </c>
      <c r="O179" t="s">
        <v>470</v>
      </c>
      <c r="P179" t="s">
        <v>438</v>
      </c>
      <c r="Q179" t="s">
        <v>470</v>
      </c>
      <c r="R179" t="str">
        <f t="shared" si="5"/>
        <v>Sim</v>
      </c>
      <c r="S179" t="s">
        <v>470</v>
      </c>
      <c r="T179" t="s">
        <v>322</v>
      </c>
      <c r="U179" t="s">
        <v>323</v>
      </c>
      <c r="V179" s="3">
        <v>-1200</v>
      </c>
      <c r="W179" t="s">
        <v>324</v>
      </c>
      <c r="X179" s="3">
        <v>-1200</v>
      </c>
    </row>
    <row r="180" spans="1:24" s="2" customFormat="1" x14ac:dyDescent="0.2">
      <c r="A180" s="2">
        <v>180</v>
      </c>
      <c r="B180"/>
      <c r="C180"/>
      <c r="D180" t="s">
        <v>467</v>
      </c>
      <c r="E180" t="s">
        <v>30</v>
      </c>
      <c r="F180" t="s">
        <v>63</v>
      </c>
      <c r="G180" t="s">
        <v>25</v>
      </c>
      <c r="H180" t="str">
        <f t="shared" si="4"/>
        <v xml:space="preserve">DARF | Recorrência: | Observações: </v>
      </c>
      <c r="I180" t="s">
        <v>26</v>
      </c>
      <c r="J180" s="5">
        <v>-250</v>
      </c>
      <c r="K180" s="4">
        <v>424437.95</v>
      </c>
      <c r="L180" t="s">
        <v>27</v>
      </c>
      <c r="M180" s="5">
        <v>-250</v>
      </c>
      <c r="N180" s="3">
        <v>0</v>
      </c>
      <c r="O180" t="s">
        <v>473</v>
      </c>
      <c r="P180" t="s">
        <v>474</v>
      </c>
      <c r="Q180" t="s">
        <v>469</v>
      </c>
      <c r="R180" t="str">
        <f t="shared" si="5"/>
        <v>Sim</v>
      </c>
      <c r="S180" t="s">
        <v>469</v>
      </c>
      <c r="T180" t="s">
        <v>30</v>
      </c>
      <c r="U180" t="s">
        <v>280</v>
      </c>
      <c r="V180" s="3">
        <v>-250</v>
      </c>
    </row>
    <row r="181" spans="1:24" s="2" customFormat="1" x14ac:dyDescent="0.2">
      <c r="A181">
        <v>181</v>
      </c>
      <c r="B181"/>
      <c r="C181" t="s">
        <v>409</v>
      </c>
      <c r="D181" t="s">
        <v>409</v>
      </c>
      <c r="E181" t="s">
        <v>95</v>
      </c>
      <c r="F181" t="s">
        <v>24</v>
      </c>
      <c r="G181" t="s">
        <v>25</v>
      </c>
      <c r="H181" t="str">
        <f t="shared" si="4"/>
        <v>MARIA E HÉLVIO ROCHOLLI | Recorrência:2/2 | Observações: PROJETO IBIÚNA</v>
      </c>
      <c r="I181" t="s">
        <v>26</v>
      </c>
      <c r="J181" s="6">
        <v>0</v>
      </c>
      <c r="K181" s="4">
        <v>424437.95</v>
      </c>
      <c r="L181" t="s">
        <v>476</v>
      </c>
      <c r="M181" s="4">
        <v>6000</v>
      </c>
      <c r="N181" s="3">
        <v>0</v>
      </c>
      <c r="O181" t="s">
        <v>475</v>
      </c>
      <c r="P181" t="s">
        <v>414</v>
      </c>
      <c r="Q181" t="s">
        <v>475</v>
      </c>
      <c r="R181" t="str">
        <f t="shared" si="5"/>
        <v>Sim</v>
      </c>
      <c r="S181" t="s">
        <v>475</v>
      </c>
      <c r="T181" t="s">
        <v>410</v>
      </c>
      <c r="U181" t="s">
        <v>31</v>
      </c>
      <c r="V181" s="3">
        <v>0</v>
      </c>
      <c r="W181" t="s">
        <v>32</v>
      </c>
      <c r="X181" s="3">
        <v>0</v>
      </c>
    </row>
    <row r="182" spans="1:24" s="2" customFormat="1" x14ac:dyDescent="0.2">
      <c r="A182" s="2">
        <v>182</v>
      </c>
      <c r="B182"/>
      <c r="C182" t="s">
        <v>416</v>
      </c>
      <c r="D182" t="s">
        <v>416</v>
      </c>
      <c r="E182" t="s">
        <v>195</v>
      </c>
      <c r="F182" t="s">
        <v>24</v>
      </c>
      <c r="G182" t="s">
        <v>25</v>
      </c>
      <c r="H182" t="str">
        <f t="shared" si="4"/>
        <v xml:space="preserve">ANA CAROLINA BERTONI_FELIPE REALE CIVIDANE | Recorrência:2/3 | Observações: 3ª PARC AO TÉRMINO DO PROJETO </v>
      </c>
      <c r="I182" t="s">
        <v>26</v>
      </c>
      <c r="J182" s="4">
        <v>6500</v>
      </c>
      <c r="K182" s="4">
        <v>430937.95</v>
      </c>
      <c r="L182" t="s">
        <v>27</v>
      </c>
      <c r="M182" s="4">
        <v>6500</v>
      </c>
      <c r="N182" s="3">
        <v>0</v>
      </c>
      <c r="O182" t="s">
        <v>477</v>
      </c>
      <c r="P182" t="s">
        <v>478</v>
      </c>
      <c r="Q182" t="s">
        <v>477</v>
      </c>
      <c r="R182" t="str">
        <f t="shared" si="5"/>
        <v>Sim</v>
      </c>
      <c r="S182" t="s">
        <v>477</v>
      </c>
      <c r="T182" t="s">
        <v>479</v>
      </c>
      <c r="U182" t="s">
        <v>31</v>
      </c>
      <c r="V182" s="3">
        <v>6500</v>
      </c>
      <c r="W182" t="s">
        <v>32</v>
      </c>
      <c r="X182" s="3">
        <v>6500</v>
      </c>
    </row>
    <row r="183" spans="1:24" s="2" customFormat="1" x14ac:dyDescent="0.2">
      <c r="A183">
        <v>183</v>
      </c>
      <c r="B183"/>
      <c r="C183"/>
      <c r="D183" t="s">
        <v>481</v>
      </c>
      <c r="E183" t="s">
        <v>30</v>
      </c>
      <c r="F183" t="s">
        <v>63</v>
      </c>
      <c r="G183" t="s">
        <v>25</v>
      </c>
      <c r="H183" t="str">
        <f t="shared" si="4"/>
        <v>DARF_COFINS | Recorrência: | Observações: 10 /12</v>
      </c>
      <c r="I183" t="s">
        <v>26</v>
      </c>
      <c r="J183" s="5">
        <v>-16.8</v>
      </c>
      <c r="K183" s="4">
        <v>430921.15</v>
      </c>
      <c r="L183" t="s">
        <v>27</v>
      </c>
      <c r="M183" s="5">
        <v>-16.8</v>
      </c>
      <c r="N183" s="3">
        <v>0</v>
      </c>
      <c r="O183" t="s">
        <v>480</v>
      </c>
      <c r="P183" t="s">
        <v>414</v>
      </c>
      <c r="Q183" t="s">
        <v>460</v>
      </c>
      <c r="R183" t="str">
        <f t="shared" si="5"/>
        <v>Sim</v>
      </c>
      <c r="S183" t="s">
        <v>460</v>
      </c>
      <c r="T183" t="s">
        <v>482</v>
      </c>
      <c r="U183" t="s">
        <v>483</v>
      </c>
      <c r="V183" s="3">
        <v>-16.8</v>
      </c>
      <c r="W183" t="s">
        <v>190</v>
      </c>
      <c r="X183" s="3">
        <v>-16.8</v>
      </c>
    </row>
    <row r="184" spans="1:24" s="2" customFormat="1" x14ac:dyDescent="0.2">
      <c r="A184" s="2">
        <v>184</v>
      </c>
      <c r="B184" t="s">
        <v>106</v>
      </c>
      <c r="C184" t="s">
        <v>107</v>
      </c>
      <c r="D184" t="s">
        <v>226</v>
      </c>
      <c r="E184" t="s">
        <v>266</v>
      </c>
      <c r="F184" t="s">
        <v>24</v>
      </c>
      <c r="G184" t="s">
        <v>25</v>
      </c>
      <c r="H184" t="str">
        <f t="shared" si="4"/>
        <v xml:space="preserve">ESPAÇO REFORMAR (DMP REFORMAS ) | Recorrência:4/5 | Observações: </v>
      </c>
      <c r="I184" t="s">
        <v>26</v>
      </c>
      <c r="J184" s="4">
        <v>730.85</v>
      </c>
      <c r="K184" s="4">
        <v>431652</v>
      </c>
      <c r="L184" t="s">
        <v>27</v>
      </c>
      <c r="M184" s="4">
        <v>730.85</v>
      </c>
      <c r="N184" s="3">
        <v>0</v>
      </c>
      <c r="O184" t="s">
        <v>484</v>
      </c>
      <c r="P184" t="s">
        <v>427</v>
      </c>
      <c r="Q184" t="s">
        <v>466</v>
      </c>
      <c r="R184" t="str">
        <f t="shared" si="5"/>
        <v>Sim</v>
      </c>
      <c r="S184" t="s">
        <v>466</v>
      </c>
      <c r="T184" t="s">
        <v>30</v>
      </c>
      <c r="U184" t="s">
        <v>49</v>
      </c>
      <c r="V184" s="3">
        <v>730.85</v>
      </c>
      <c r="W184" t="s">
        <v>49</v>
      </c>
      <c r="X184" s="3">
        <v>730.85</v>
      </c>
    </row>
    <row r="185" spans="1:24" s="2" customFormat="1" x14ac:dyDescent="0.2">
      <c r="A185">
        <v>185</v>
      </c>
      <c r="B185"/>
      <c r="C185" t="s">
        <v>258</v>
      </c>
      <c r="D185" t="s">
        <v>486</v>
      </c>
      <c r="E185" t="s">
        <v>30</v>
      </c>
      <c r="F185" t="s">
        <v>24</v>
      </c>
      <c r="G185" t="s">
        <v>25</v>
      </c>
      <c r="H185" t="str">
        <f t="shared" si="4"/>
        <v xml:space="preserve">POTENZA  (MARCELA CRISTINA MONTEMURRO) | Recorrência: | Observações: </v>
      </c>
      <c r="I185" t="s">
        <v>26</v>
      </c>
      <c r="J185" s="4">
        <v>2800</v>
      </c>
      <c r="K185" s="4">
        <v>434452</v>
      </c>
      <c r="L185" t="s">
        <v>27</v>
      </c>
      <c r="M185" s="4">
        <v>2800</v>
      </c>
      <c r="N185" s="3">
        <v>0</v>
      </c>
      <c r="O185" t="s">
        <v>485</v>
      </c>
      <c r="P185" t="s">
        <v>417</v>
      </c>
      <c r="Q185" t="s">
        <v>487</v>
      </c>
      <c r="R185" t="str">
        <f t="shared" si="5"/>
        <v>Sim</v>
      </c>
      <c r="S185" t="s">
        <v>487</v>
      </c>
      <c r="T185" t="s">
        <v>30</v>
      </c>
      <c r="U185" t="s">
        <v>49</v>
      </c>
      <c r="V185" s="3">
        <v>2800</v>
      </c>
      <c r="W185" t="s">
        <v>49</v>
      </c>
      <c r="X185" s="3">
        <v>2800</v>
      </c>
    </row>
    <row r="186" spans="1:24" s="2" customFormat="1" x14ac:dyDescent="0.2">
      <c r="A186" s="2">
        <v>186</v>
      </c>
      <c r="B186" t="s">
        <v>488</v>
      </c>
      <c r="C186" t="s">
        <v>489</v>
      </c>
      <c r="D186" t="s">
        <v>490</v>
      </c>
      <c r="E186" t="s">
        <v>30</v>
      </c>
      <c r="F186" t="s">
        <v>24</v>
      </c>
      <c r="G186" t="s">
        <v>25</v>
      </c>
      <c r="H186" t="str">
        <f t="shared" si="4"/>
        <v>RT GABRIELA E MÁRCIO BORGES | Recorrência: | Observações: RT - 5% - DO PRODUTO ( EXCETO INSTALAÇÃO)
Pagamento só entra na programação do financeiro após pagamento/compensação do ultimo boleto/depósito do cliente</v>
      </c>
      <c r="I186" t="s">
        <v>491</v>
      </c>
      <c r="J186" s="4">
        <v>325</v>
      </c>
      <c r="K186" s="4">
        <v>434777</v>
      </c>
      <c r="L186" t="s">
        <v>27</v>
      </c>
      <c r="M186" s="4">
        <v>325</v>
      </c>
      <c r="N186" s="3">
        <v>0</v>
      </c>
      <c r="O186" t="s">
        <v>485</v>
      </c>
      <c r="P186" t="s">
        <v>492</v>
      </c>
      <c r="Q186" t="s">
        <v>484</v>
      </c>
      <c r="R186" t="str">
        <f t="shared" si="5"/>
        <v>Sim</v>
      </c>
      <c r="S186" t="s">
        <v>484</v>
      </c>
      <c r="T186" t="s">
        <v>493</v>
      </c>
      <c r="U186" t="s">
        <v>49</v>
      </c>
      <c r="V186" s="3">
        <v>325</v>
      </c>
      <c r="W186" t="s">
        <v>494</v>
      </c>
      <c r="X186" s="3">
        <v>325</v>
      </c>
    </row>
    <row r="187" spans="1:24" s="2" customFormat="1" x14ac:dyDescent="0.2">
      <c r="A187">
        <v>187</v>
      </c>
      <c r="B187"/>
      <c r="C187" t="s">
        <v>258</v>
      </c>
      <c r="D187" t="s">
        <v>496</v>
      </c>
      <c r="E187" t="s">
        <v>30</v>
      </c>
      <c r="F187" t="s">
        <v>24</v>
      </c>
      <c r="G187" t="s">
        <v>25</v>
      </c>
      <c r="H187" t="str">
        <f t="shared" si="4"/>
        <v>PORTOBELLO _ PINHEIROS _EUCER | Recorrência: | Observações: Razão Social: Eucer Com. e Serviços</v>
      </c>
      <c r="I187" t="s">
        <v>26</v>
      </c>
      <c r="J187" s="4">
        <v>1667.31</v>
      </c>
      <c r="K187" s="4">
        <v>436444.31</v>
      </c>
      <c r="L187" t="s">
        <v>27</v>
      </c>
      <c r="M187" s="4">
        <v>1667.31</v>
      </c>
      <c r="N187" s="3">
        <v>0</v>
      </c>
      <c r="O187" t="s">
        <v>495</v>
      </c>
      <c r="P187" t="s">
        <v>381</v>
      </c>
      <c r="Q187" t="s">
        <v>497</v>
      </c>
      <c r="R187" t="str">
        <f t="shared" si="5"/>
        <v>Sim</v>
      </c>
      <c r="S187" t="s">
        <v>497</v>
      </c>
      <c r="T187" t="s">
        <v>498</v>
      </c>
      <c r="U187" t="s">
        <v>49</v>
      </c>
      <c r="V187" s="3">
        <v>1667.31</v>
      </c>
      <c r="W187" t="s">
        <v>49</v>
      </c>
      <c r="X187" s="3">
        <v>1667.31</v>
      </c>
    </row>
    <row r="188" spans="1:24" s="2" customFormat="1" x14ac:dyDescent="0.2">
      <c r="A188" s="2">
        <v>188</v>
      </c>
      <c r="B188"/>
      <c r="C188" t="s">
        <v>258</v>
      </c>
      <c r="D188" t="s">
        <v>499</v>
      </c>
      <c r="E188" t="s">
        <v>30</v>
      </c>
      <c r="F188" t="s">
        <v>24</v>
      </c>
      <c r="G188" t="s">
        <v>25</v>
      </c>
      <c r="H188" t="str">
        <f t="shared" si="4"/>
        <v xml:space="preserve">LIGNA (MARCENARIA SONHO SOB MEDIDAS) | Recorrência: | Observações: </v>
      </c>
      <c r="I188" t="s">
        <v>26</v>
      </c>
      <c r="J188" s="4">
        <v>647.55999999999995</v>
      </c>
      <c r="K188" s="4">
        <v>437091.87</v>
      </c>
      <c r="L188" t="s">
        <v>27</v>
      </c>
      <c r="M188" s="4">
        <v>647.55999999999995</v>
      </c>
      <c r="N188" s="3">
        <v>0</v>
      </c>
      <c r="O188" t="s">
        <v>495</v>
      </c>
      <c r="P188" t="s">
        <v>500</v>
      </c>
      <c r="Q188" t="s">
        <v>495</v>
      </c>
      <c r="R188" t="str">
        <f t="shared" si="5"/>
        <v>Sim</v>
      </c>
      <c r="S188" t="s">
        <v>495</v>
      </c>
      <c r="T188" t="s">
        <v>30</v>
      </c>
      <c r="U188" t="s">
        <v>49</v>
      </c>
      <c r="V188" s="3">
        <v>647.55999999999995</v>
      </c>
      <c r="W188" t="s">
        <v>49</v>
      </c>
      <c r="X188" s="3">
        <v>647.55999999999995</v>
      </c>
    </row>
    <row r="189" spans="1:24" s="2" customFormat="1" x14ac:dyDescent="0.2">
      <c r="A189">
        <v>189</v>
      </c>
      <c r="B189"/>
      <c r="C189" t="s">
        <v>304</v>
      </c>
      <c r="D189" t="s">
        <v>47</v>
      </c>
      <c r="E189" t="s">
        <v>247</v>
      </c>
      <c r="F189" t="s">
        <v>24</v>
      </c>
      <c r="G189" t="s">
        <v>25</v>
      </c>
      <c r="H189" t="str">
        <f t="shared" si="4"/>
        <v>SILVESTRE VIDROS | Recorrência:4/6 | Observações: Pedido 44192</v>
      </c>
      <c r="I189" t="s">
        <v>26</v>
      </c>
      <c r="J189" s="4">
        <v>184.01</v>
      </c>
      <c r="K189" s="4">
        <v>437275.88</v>
      </c>
      <c r="L189" t="s">
        <v>27</v>
      </c>
      <c r="M189" s="4">
        <v>184.01</v>
      </c>
      <c r="N189" s="3">
        <v>0</v>
      </c>
      <c r="O189" t="s">
        <v>487</v>
      </c>
      <c r="P189" t="s">
        <v>501</v>
      </c>
      <c r="Q189" t="s">
        <v>487</v>
      </c>
      <c r="R189" t="str">
        <f t="shared" si="5"/>
        <v>Sim</v>
      </c>
      <c r="S189" t="s">
        <v>487</v>
      </c>
      <c r="T189" t="s">
        <v>305</v>
      </c>
      <c r="U189" t="s">
        <v>49</v>
      </c>
      <c r="V189" s="3">
        <v>184.01</v>
      </c>
      <c r="W189" t="s">
        <v>49</v>
      </c>
      <c r="X189" s="3">
        <v>184.01</v>
      </c>
    </row>
    <row r="190" spans="1:24" s="2" customFormat="1" x14ac:dyDescent="0.2">
      <c r="A190" s="2">
        <v>190</v>
      </c>
      <c r="B190"/>
      <c r="C190" t="s">
        <v>258</v>
      </c>
      <c r="D190" t="s">
        <v>502</v>
      </c>
      <c r="E190" t="s">
        <v>30</v>
      </c>
      <c r="F190" t="s">
        <v>24</v>
      </c>
      <c r="G190" t="s">
        <v>25</v>
      </c>
      <c r="H190" t="str">
        <f t="shared" si="4"/>
        <v>STR_AR CONDICIONADO  | Recorrência: | Observações: VITORIA REZENDE DE CARVALHO_AABAEG 0301-000483751</v>
      </c>
      <c r="I190" t="s">
        <v>26</v>
      </c>
      <c r="J190" s="4">
        <v>628.04</v>
      </c>
      <c r="K190" s="4">
        <v>437903.92</v>
      </c>
      <c r="L190" t="s">
        <v>27</v>
      </c>
      <c r="M190" s="4">
        <v>628.04</v>
      </c>
      <c r="N190" s="3">
        <v>0</v>
      </c>
      <c r="O190" t="s">
        <v>487</v>
      </c>
      <c r="P190" t="s">
        <v>401</v>
      </c>
      <c r="Q190" t="s">
        <v>503</v>
      </c>
      <c r="R190" t="str">
        <f t="shared" si="5"/>
        <v>Sim</v>
      </c>
      <c r="S190" t="s">
        <v>503</v>
      </c>
      <c r="T190" t="s">
        <v>504</v>
      </c>
      <c r="U190" t="s">
        <v>49</v>
      </c>
      <c r="V190" s="3">
        <v>628.04</v>
      </c>
      <c r="W190" t="s">
        <v>49</v>
      </c>
      <c r="X190" s="3">
        <v>628.04</v>
      </c>
    </row>
    <row r="191" spans="1:24" s="2" customFormat="1" x14ac:dyDescent="0.2">
      <c r="A191">
        <v>191</v>
      </c>
      <c r="B191"/>
      <c r="C191"/>
      <c r="D191" t="s">
        <v>506</v>
      </c>
      <c r="E191" t="s">
        <v>30</v>
      </c>
      <c r="F191" t="s">
        <v>63</v>
      </c>
      <c r="G191" t="s">
        <v>25</v>
      </c>
      <c r="H191" t="str">
        <f t="shared" si="4"/>
        <v xml:space="preserve">GASTOS EXTRAS - CHAVEIRO | Recorrência: | Observações: </v>
      </c>
      <c r="I191" t="s">
        <v>26</v>
      </c>
      <c r="J191" s="5">
        <v>-30</v>
      </c>
      <c r="K191" s="4">
        <v>437873.91999999998</v>
      </c>
      <c r="L191" t="s">
        <v>27</v>
      </c>
      <c r="M191" s="5">
        <v>-30</v>
      </c>
      <c r="N191" s="3">
        <v>0</v>
      </c>
      <c r="O191" t="s">
        <v>505</v>
      </c>
      <c r="P191" t="s">
        <v>495</v>
      </c>
      <c r="Q191" t="s">
        <v>505</v>
      </c>
      <c r="R191" t="str">
        <f t="shared" si="5"/>
        <v>Sim</v>
      </c>
      <c r="S191" t="s">
        <v>505</v>
      </c>
      <c r="T191" t="s">
        <v>30</v>
      </c>
      <c r="U191" t="s">
        <v>158</v>
      </c>
      <c r="V191" s="3">
        <v>-30</v>
      </c>
    </row>
    <row r="192" spans="1:24" s="2" customFormat="1" x14ac:dyDescent="0.2">
      <c r="A192" s="2">
        <v>192</v>
      </c>
      <c r="B192" t="s">
        <v>71</v>
      </c>
      <c r="C192" t="s">
        <v>72</v>
      </c>
      <c r="D192" t="s">
        <v>286</v>
      </c>
      <c r="E192" t="s">
        <v>30</v>
      </c>
      <c r="F192" t="s">
        <v>24</v>
      </c>
      <c r="G192" t="s">
        <v>25</v>
      </c>
      <c r="H192" t="str">
        <f t="shared" si="4"/>
        <v xml:space="preserve">LATÃO E ARTE (José Donizete Domingos) | Recorrência: | Observações: </v>
      </c>
      <c r="I192" t="s">
        <v>26</v>
      </c>
      <c r="J192" s="4">
        <v>895</v>
      </c>
      <c r="K192" s="4">
        <v>438768.92</v>
      </c>
      <c r="L192" t="s">
        <v>27</v>
      </c>
      <c r="M192" s="4">
        <v>895</v>
      </c>
      <c r="N192" s="3">
        <v>0</v>
      </c>
      <c r="O192" t="s">
        <v>505</v>
      </c>
      <c r="P192" t="s">
        <v>505</v>
      </c>
      <c r="Q192" t="s">
        <v>505</v>
      </c>
      <c r="R192" t="str">
        <f t="shared" si="5"/>
        <v>Sim</v>
      </c>
      <c r="S192" t="s">
        <v>505</v>
      </c>
      <c r="T192" t="s">
        <v>30</v>
      </c>
      <c r="U192" t="s">
        <v>49</v>
      </c>
      <c r="V192" s="3">
        <v>895</v>
      </c>
      <c r="W192" t="s">
        <v>49</v>
      </c>
      <c r="X192" s="3">
        <v>895</v>
      </c>
    </row>
    <row r="193" spans="1:24" s="2" customFormat="1" x14ac:dyDescent="0.2">
      <c r="A193">
        <v>193</v>
      </c>
      <c r="B193"/>
      <c r="C193" t="s">
        <v>153</v>
      </c>
      <c r="D193" t="s">
        <v>508</v>
      </c>
      <c r="E193" t="s">
        <v>320</v>
      </c>
      <c r="F193" t="s">
        <v>63</v>
      </c>
      <c r="G193" t="s">
        <v>25</v>
      </c>
      <c r="H193" t="str">
        <f t="shared" si="4"/>
        <v>DIARISTA_JULIANA COSTA SOARES | Recorrência:1/12 | Observações: 06-13-20-27/10</v>
      </c>
      <c r="I193" t="s">
        <v>26</v>
      </c>
      <c r="J193" s="5">
        <v>-320</v>
      </c>
      <c r="K193" s="4">
        <v>438448.92</v>
      </c>
      <c r="L193" t="s">
        <v>27</v>
      </c>
      <c r="M193" s="5">
        <v>-320</v>
      </c>
      <c r="N193" s="3">
        <v>0</v>
      </c>
      <c r="O193" t="s">
        <v>507</v>
      </c>
      <c r="P193" t="s">
        <v>509</v>
      </c>
      <c r="Q193" t="s">
        <v>507</v>
      </c>
      <c r="R193" t="str">
        <f t="shared" si="5"/>
        <v>Sim</v>
      </c>
      <c r="S193" t="s">
        <v>507</v>
      </c>
      <c r="T193" t="s">
        <v>510</v>
      </c>
      <c r="U193" t="s">
        <v>511</v>
      </c>
      <c r="V193" s="3">
        <v>-320</v>
      </c>
      <c r="W193" t="s">
        <v>190</v>
      </c>
      <c r="X193" s="3">
        <v>-320</v>
      </c>
    </row>
    <row r="194" spans="1:24" s="2" customFormat="1" x14ac:dyDescent="0.2">
      <c r="A194" s="2">
        <v>194</v>
      </c>
      <c r="B194"/>
      <c r="C194" t="s">
        <v>512</v>
      </c>
      <c r="D194" t="s">
        <v>325</v>
      </c>
      <c r="E194" t="s">
        <v>73</v>
      </c>
      <c r="F194" t="s">
        <v>24</v>
      </c>
      <c r="G194" t="s">
        <v>25</v>
      </c>
      <c r="H194" t="str">
        <f t="shared" si="4"/>
        <v>VIA MADEIRA (HAEHLING) | Recorrência:1/5 | Observações: pedido 18/10 - 92.000,00</v>
      </c>
      <c r="I194" t="s">
        <v>26</v>
      </c>
      <c r="J194" s="4">
        <v>1840</v>
      </c>
      <c r="K194" s="4">
        <v>440288.92</v>
      </c>
      <c r="L194" t="s">
        <v>27</v>
      </c>
      <c r="M194" s="4">
        <v>1840</v>
      </c>
      <c r="N194" s="3">
        <v>0</v>
      </c>
      <c r="O194" t="s">
        <v>507</v>
      </c>
      <c r="P194" t="s">
        <v>485</v>
      </c>
      <c r="Q194" t="s">
        <v>507</v>
      </c>
      <c r="R194" t="str">
        <f t="shared" si="5"/>
        <v>Sim</v>
      </c>
      <c r="S194" t="s">
        <v>507</v>
      </c>
      <c r="T194" t="s">
        <v>513</v>
      </c>
      <c r="U194" t="s">
        <v>49</v>
      </c>
      <c r="V194" s="3">
        <v>1840</v>
      </c>
      <c r="W194" t="s">
        <v>49</v>
      </c>
      <c r="X194" s="3">
        <v>1840</v>
      </c>
    </row>
    <row r="195" spans="1:24" s="2" customFormat="1" x14ac:dyDescent="0.2">
      <c r="A195">
        <v>195</v>
      </c>
      <c r="B195"/>
      <c r="C195" t="s">
        <v>258</v>
      </c>
      <c r="D195" t="s">
        <v>207</v>
      </c>
      <c r="E195" t="s">
        <v>30</v>
      </c>
      <c r="F195" t="s">
        <v>24</v>
      </c>
      <c r="G195" t="s">
        <v>25</v>
      </c>
      <c r="H195" t="str">
        <f t="shared" ref="H195:H258" si="6">D195&amp;" | "&amp;$E$1&amp;E195&amp;" | Observações: "&amp;T195</f>
        <v xml:space="preserve">OBRA FÁCIL (MARK UP PART) | Recorrência: | Observações: </v>
      </c>
      <c r="I195" t="s">
        <v>26</v>
      </c>
      <c r="J195" s="4">
        <v>484.76</v>
      </c>
      <c r="K195" s="4">
        <v>440773.68</v>
      </c>
      <c r="L195" t="s">
        <v>27</v>
      </c>
      <c r="M195" s="4">
        <v>484.76</v>
      </c>
      <c r="N195" s="3">
        <v>0</v>
      </c>
      <c r="O195" t="s">
        <v>507</v>
      </c>
      <c r="P195" t="s">
        <v>495</v>
      </c>
      <c r="Q195" t="s">
        <v>507</v>
      </c>
      <c r="R195" t="str">
        <f t="shared" ref="R195:R258" si="7">IF(Q195=S195,"Sim","nao")</f>
        <v>Sim</v>
      </c>
      <c r="S195" t="s">
        <v>507</v>
      </c>
      <c r="T195" t="s">
        <v>30</v>
      </c>
      <c r="U195" t="s">
        <v>49</v>
      </c>
      <c r="V195" s="3">
        <v>484.76</v>
      </c>
      <c r="W195" t="s">
        <v>49</v>
      </c>
      <c r="X195" s="3">
        <v>484.76</v>
      </c>
    </row>
    <row r="196" spans="1:24" s="2" customFormat="1" x14ac:dyDescent="0.2">
      <c r="A196" s="2">
        <v>196</v>
      </c>
      <c r="B196"/>
      <c r="C196" t="s">
        <v>453</v>
      </c>
      <c r="D196" t="s">
        <v>453</v>
      </c>
      <c r="E196" t="s">
        <v>34</v>
      </c>
      <c r="F196" t="s">
        <v>24</v>
      </c>
      <c r="G196" t="s">
        <v>25</v>
      </c>
      <c r="H196" t="str">
        <f t="shared" si="6"/>
        <v>VANESSA  E ADO | Recorrência:2/4 | Observações: TBI 6549.04065-4</v>
      </c>
      <c r="I196" t="s">
        <v>26</v>
      </c>
      <c r="J196" s="4">
        <v>6750</v>
      </c>
      <c r="K196" s="4">
        <v>447523.68</v>
      </c>
      <c r="L196" t="s">
        <v>27</v>
      </c>
      <c r="M196" s="4">
        <v>6750</v>
      </c>
      <c r="N196" s="3">
        <v>0</v>
      </c>
      <c r="O196" t="s">
        <v>514</v>
      </c>
      <c r="P196" t="s">
        <v>455</v>
      </c>
      <c r="Q196" t="s">
        <v>433</v>
      </c>
      <c r="R196" t="str">
        <f t="shared" si="7"/>
        <v>Sim</v>
      </c>
      <c r="S196" t="s">
        <v>433</v>
      </c>
      <c r="T196" t="s">
        <v>515</v>
      </c>
      <c r="U196" t="s">
        <v>31</v>
      </c>
      <c r="V196" s="3">
        <v>6750</v>
      </c>
      <c r="W196" t="s">
        <v>32</v>
      </c>
      <c r="X196" s="3">
        <v>6750</v>
      </c>
    </row>
    <row r="197" spans="1:24" s="2" customFormat="1" x14ac:dyDescent="0.2">
      <c r="A197">
        <v>197</v>
      </c>
      <c r="B197"/>
      <c r="C197" t="s">
        <v>232</v>
      </c>
      <c r="D197" t="s">
        <v>516</v>
      </c>
      <c r="E197" t="s">
        <v>38</v>
      </c>
      <c r="F197" t="s">
        <v>24</v>
      </c>
      <c r="G197" t="s">
        <v>25</v>
      </c>
      <c r="H197" t="str">
        <f t="shared" si="6"/>
        <v>GERENCIAMENTO_MARÍLIA ZINGARI ROCHOLLI GRANJEIRO | Recorrência:1/3 | Observações: 03 Parcelas iguais  - TBI 9348.04920-7</v>
      </c>
      <c r="I197" t="s">
        <v>26</v>
      </c>
      <c r="J197" s="4">
        <v>3000</v>
      </c>
      <c r="K197" s="4">
        <v>450523.68</v>
      </c>
      <c r="L197" t="s">
        <v>27</v>
      </c>
      <c r="M197" s="4">
        <v>3000</v>
      </c>
      <c r="N197" s="3">
        <v>0</v>
      </c>
      <c r="O197" t="s">
        <v>503</v>
      </c>
      <c r="P197" t="s">
        <v>291</v>
      </c>
      <c r="Q197" t="s">
        <v>487</v>
      </c>
      <c r="R197" t="str">
        <f t="shared" si="7"/>
        <v>Sim</v>
      </c>
      <c r="S197" t="s">
        <v>487</v>
      </c>
      <c r="T197" t="s">
        <v>517</v>
      </c>
      <c r="U197" t="s">
        <v>274</v>
      </c>
      <c r="V197" s="3">
        <v>3000</v>
      </c>
      <c r="W197" t="s">
        <v>166</v>
      </c>
      <c r="X197" s="3">
        <v>3000</v>
      </c>
    </row>
    <row r="198" spans="1:24" s="2" customFormat="1" x14ac:dyDescent="0.2">
      <c r="A198" s="2">
        <v>198</v>
      </c>
      <c r="B198"/>
      <c r="C198" t="s">
        <v>153</v>
      </c>
      <c r="D198" t="s">
        <v>519</v>
      </c>
      <c r="E198" t="s">
        <v>518</v>
      </c>
      <c r="F198" t="s">
        <v>63</v>
      </c>
      <c r="G198" t="s">
        <v>25</v>
      </c>
      <c r="H198" t="str">
        <f t="shared" si="6"/>
        <v>SALÁRIO POLIANA  | Recorrência:4/12 | Observações: referente Outubro</v>
      </c>
      <c r="I198" t="s">
        <v>26</v>
      </c>
      <c r="J198" s="5">
        <v>-1754.2</v>
      </c>
      <c r="K198" s="4">
        <v>448769.48</v>
      </c>
      <c r="L198" t="s">
        <v>27</v>
      </c>
      <c r="M198" s="5">
        <v>-1754.2</v>
      </c>
      <c r="N198" s="3">
        <v>0</v>
      </c>
      <c r="O198" t="s">
        <v>503</v>
      </c>
      <c r="P198" t="s">
        <v>433</v>
      </c>
      <c r="Q198" t="s">
        <v>520</v>
      </c>
      <c r="R198" t="str">
        <f t="shared" si="7"/>
        <v>Sim</v>
      </c>
      <c r="S198" t="s">
        <v>520</v>
      </c>
      <c r="T198" t="s">
        <v>521</v>
      </c>
      <c r="U198" t="s">
        <v>323</v>
      </c>
      <c r="V198" s="3">
        <v>-1754.2</v>
      </c>
      <c r="W198" t="s">
        <v>324</v>
      </c>
      <c r="X198" s="3">
        <v>-1754.2</v>
      </c>
    </row>
    <row r="199" spans="1:24" s="2" customFormat="1" x14ac:dyDescent="0.2">
      <c r="A199">
        <v>199</v>
      </c>
      <c r="B199"/>
      <c r="C199" t="s">
        <v>153</v>
      </c>
      <c r="D199" t="s">
        <v>151</v>
      </c>
      <c r="E199" t="s">
        <v>30</v>
      </c>
      <c r="F199" t="s">
        <v>63</v>
      </c>
      <c r="G199" t="s">
        <v>25</v>
      </c>
      <c r="H199" t="str">
        <f t="shared" si="6"/>
        <v xml:space="preserve">SODEXO - Eliane  | Recorrência: | Observações: </v>
      </c>
      <c r="I199" t="s">
        <v>26</v>
      </c>
      <c r="J199" s="5">
        <v>-513</v>
      </c>
      <c r="K199" s="4">
        <v>448256.48</v>
      </c>
      <c r="L199" t="s">
        <v>27</v>
      </c>
      <c r="M199" s="5">
        <v>-513</v>
      </c>
      <c r="N199" s="3">
        <v>0</v>
      </c>
      <c r="O199" t="s">
        <v>503</v>
      </c>
      <c r="P199" t="s">
        <v>514</v>
      </c>
      <c r="Q199" t="s">
        <v>522</v>
      </c>
      <c r="R199" t="str">
        <f t="shared" si="7"/>
        <v>Sim</v>
      </c>
      <c r="S199" t="s">
        <v>522</v>
      </c>
      <c r="T199" t="s">
        <v>30</v>
      </c>
      <c r="U199" t="s">
        <v>93</v>
      </c>
      <c r="V199" s="3">
        <v>-513</v>
      </c>
      <c r="W199" t="s">
        <v>331</v>
      </c>
      <c r="X199" s="3">
        <v>-513</v>
      </c>
    </row>
    <row r="200" spans="1:24" s="2" customFormat="1" x14ac:dyDescent="0.2">
      <c r="A200" s="2">
        <v>200</v>
      </c>
      <c r="B200"/>
      <c r="C200" t="s">
        <v>395</v>
      </c>
      <c r="D200" t="s">
        <v>395</v>
      </c>
      <c r="E200" t="s">
        <v>41</v>
      </c>
      <c r="F200" t="s">
        <v>24</v>
      </c>
      <c r="G200" t="s">
        <v>25</v>
      </c>
      <c r="H200" t="str">
        <f t="shared" si="6"/>
        <v xml:space="preserve">ROGÉRIO E ANA PAULA CALFÁ | Recorrência:3/4 | Observações: </v>
      </c>
      <c r="I200" t="s">
        <v>26</v>
      </c>
      <c r="J200" s="4">
        <v>4375</v>
      </c>
      <c r="K200" s="4">
        <v>452631.48</v>
      </c>
      <c r="L200" t="s">
        <v>27</v>
      </c>
      <c r="M200" s="4">
        <v>4375</v>
      </c>
      <c r="N200" s="3">
        <v>0</v>
      </c>
      <c r="O200" t="s">
        <v>503</v>
      </c>
      <c r="P200" t="s">
        <v>485</v>
      </c>
      <c r="Q200" t="s">
        <v>503</v>
      </c>
      <c r="R200" t="str">
        <f t="shared" si="7"/>
        <v>Sim</v>
      </c>
      <c r="S200" t="s">
        <v>503</v>
      </c>
      <c r="T200" t="s">
        <v>30</v>
      </c>
      <c r="U200" t="s">
        <v>31</v>
      </c>
      <c r="V200" s="3">
        <v>4375</v>
      </c>
      <c r="W200" t="s">
        <v>32</v>
      </c>
      <c r="X200" s="3">
        <v>4375</v>
      </c>
    </row>
    <row r="201" spans="1:24" s="2" customFormat="1" x14ac:dyDescent="0.2">
      <c r="A201">
        <v>201</v>
      </c>
      <c r="B201" t="s">
        <v>71</v>
      </c>
      <c r="C201" t="s">
        <v>72</v>
      </c>
      <c r="D201" t="s">
        <v>72</v>
      </c>
      <c r="E201" t="s">
        <v>199</v>
      </c>
      <c r="F201" t="s">
        <v>24</v>
      </c>
      <c r="G201" t="s">
        <v>25</v>
      </c>
      <c r="H201" t="str">
        <f t="shared" si="6"/>
        <v>GAPAZ | Recorrência:3/5 | Observações: R$ 240.816,49 &gt; valor do gerenciamento será 10% deste valor = R$ 24.081,64 pago em 5 parcelas</v>
      </c>
      <c r="I201" t="s">
        <v>26</v>
      </c>
      <c r="J201" s="4">
        <v>4816.32</v>
      </c>
      <c r="K201" s="4">
        <v>457447.8</v>
      </c>
      <c r="L201" t="s">
        <v>27</v>
      </c>
      <c r="M201" s="4">
        <v>4816.32</v>
      </c>
      <c r="N201" s="3">
        <v>0</v>
      </c>
      <c r="O201" t="s">
        <v>469</v>
      </c>
      <c r="P201" t="s">
        <v>414</v>
      </c>
      <c r="Q201" t="s">
        <v>523</v>
      </c>
      <c r="R201" t="str">
        <f t="shared" si="7"/>
        <v>Sim</v>
      </c>
      <c r="S201" t="s">
        <v>523</v>
      </c>
      <c r="T201" t="s">
        <v>394</v>
      </c>
      <c r="U201" t="s">
        <v>274</v>
      </c>
      <c r="V201" s="3">
        <v>4816.32</v>
      </c>
      <c r="W201" t="s">
        <v>166</v>
      </c>
      <c r="X201" s="3">
        <v>4816.32</v>
      </c>
    </row>
    <row r="202" spans="1:24" s="2" customFormat="1" x14ac:dyDescent="0.2">
      <c r="A202" s="2">
        <v>202</v>
      </c>
      <c r="B202"/>
      <c r="C202" t="s">
        <v>153</v>
      </c>
      <c r="D202" t="s">
        <v>525</v>
      </c>
      <c r="E202" t="s">
        <v>30</v>
      </c>
      <c r="F202" t="s">
        <v>63</v>
      </c>
      <c r="G202" t="s">
        <v>25</v>
      </c>
      <c r="H202" t="str">
        <f t="shared" si="6"/>
        <v xml:space="preserve">CONTA AZUL -  RENOVAÇÃO | Recorrência: | Observações: Renovação Automática </v>
      </c>
      <c r="I202" t="s">
        <v>26</v>
      </c>
      <c r="J202" s="5">
        <v>-1078.8</v>
      </c>
      <c r="K202" s="4">
        <v>456369</v>
      </c>
      <c r="L202" t="s">
        <v>27</v>
      </c>
      <c r="M202" s="5">
        <v>-1078.8</v>
      </c>
      <c r="N202" s="3">
        <v>0</v>
      </c>
      <c r="O202" t="s">
        <v>524</v>
      </c>
      <c r="P202" t="s">
        <v>29</v>
      </c>
      <c r="Q202" t="s">
        <v>526</v>
      </c>
      <c r="R202" t="str">
        <f t="shared" si="7"/>
        <v>Sim</v>
      </c>
      <c r="S202" t="s">
        <v>526</v>
      </c>
      <c r="T202" t="s">
        <v>527</v>
      </c>
      <c r="U202" t="s">
        <v>158</v>
      </c>
      <c r="V202" s="3">
        <v>-1078.8</v>
      </c>
      <c r="W202" t="s">
        <v>158</v>
      </c>
      <c r="X202" s="3">
        <v>-1078.8</v>
      </c>
    </row>
    <row r="203" spans="1:24" s="2" customFormat="1" x14ac:dyDescent="0.2">
      <c r="A203">
        <v>203</v>
      </c>
      <c r="B203"/>
      <c r="C203"/>
      <c r="D203" t="s">
        <v>39</v>
      </c>
      <c r="E203" t="s">
        <v>30</v>
      </c>
      <c r="F203" t="s">
        <v>24</v>
      </c>
      <c r="G203" t="s">
        <v>25</v>
      </c>
      <c r="H203" t="str">
        <f t="shared" si="6"/>
        <v xml:space="preserve">FAUSTO VARGAS BOLDRINI _MARIEL ROMANI  | Recorrência: | Observações: </v>
      </c>
      <c r="I203" t="s">
        <v>26</v>
      </c>
      <c r="J203" s="4">
        <v>3000</v>
      </c>
      <c r="K203" s="4">
        <v>459369</v>
      </c>
      <c r="L203" t="s">
        <v>27</v>
      </c>
      <c r="M203" s="4">
        <v>3000</v>
      </c>
      <c r="N203" s="3">
        <v>0</v>
      </c>
      <c r="O203" t="s">
        <v>524</v>
      </c>
      <c r="P203" t="s">
        <v>520</v>
      </c>
      <c r="Q203" t="s">
        <v>520</v>
      </c>
      <c r="R203" t="str">
        <f t="shared" si="7"/>
        <v>Sim</v>
      </c>
      <c r="S203" t="s">
        <v>520</v>
      </c>
      <c r="T203" t="s">
        <v>30</v>
      </c>
      <c r="U203" t="s">
        <v>274</v>
      </c>
      <c r="V203" s="3">
        <v>3000</v>
      </c>
    </row>
    <row r="204" spans="1:24" s="2" customFormat="1" x14ac:dyDescent="0.2">
      <c r="A204" s="2">
        <v>204</v>
      </c>
      <c r="B204"/>
      <c r="C204" t="s">
        <v>153</v>
      </c>
      <c r="D204" t="s">
        <v>528</v>
      </c>
      <c r="E204" t="s">
        <v>30</v>
      </c>
      <c r="F204" t="s">
        <v>63</v>
      </c>
      <c r="G204" t="s">
        <v>25</v>
      </c>
      <c r="H204" t="str">
        <f t="shared" si="6"/>
        <v xml:space="preserve">GASTOS EXTRAS - KALUNGA | Recorrência: | Observações: CARTUCHOS </v>
      </c>
      <c r="I204" t="s">
        <v>26</v>
      </c>
      <c r="J204" s="5">
        <v>-401.8</v>
      </c>
      <c r="K204" s="4">
        <v>458967.2</v>
      </c>
      <c r="L204" t="s">
        <v>27</v>
      </c>
      <c r="M204" s="5">
        <v>-401.8</v>
      </c>
      <c r="N204" s="3">
        <v>0</v>
      </c>
      <c r="O204" t="s">
        <v>524</v>
      </c>
      <c r="P204" t="s">
        <v>524</v>
      </c>
      <c r="Q204" t="s">
        <v>524</v>
      </c>
      <c r="R204" t="str">
        <f t="shared" si="7"/>
        <v>Sim</v>
      </c>
      <c r="S204" t="s">
        <v>524</v>
      </c>
      <c r="T204" t="s">
        <v>529</v>
      </c>
      <c r="U204" t="s">
        <v>158</v>
      </c>
      <c r="V204" s="3">
        <v>-401.8</v>
      </c>
      <c r="W204" t="s">
        <v>190</v>
      </c>
      <c r="X204" s="3">
        <v>-401.8</v>
      </c>
    </row>
    <row r="205" spans="1:24" s="2" customFormat="1" x14ac:dyDescent="0.2">
      <c r="A205">
        <v>205</v>
      </c>
      <c r="B205"/>
      <c r="C205" t="s">
        <v>153</v>
      </c>
      <c r="D205" t="s">
        <v>530</v>
      </c>
      <c r="E205" t="s">
        <v>30</v>
      </c>
      <c r="F205" t="s">
        <v>63</v>
      </c>
      <c r="G205" t="s">
        <v>25</v>
      </c>
      <c r="H205" t="str">
        <f t="shared" si="6"/>
        <v xml:space="preserve">GASTOS EXTRAS - SANTA GEMMA  | Recorrência: | Observações: </v>
      </c>
      <c r="I205" t="s">
        <v>26</v>
      </c>
      <c r="J205" s="5">
        <v>-85.98</v>
      </c>
      <c r="K205" s="4">
        <v>458881.22</v>
      </c>
      <c r="L205" t="s">
        <v>27</v>
      </c>
      <c r="M205" s="5">
        <v>-85.98</v>
      </c>
      <c r="N205" s="3">
        <v>0</v>
      </c>
      <c r="O205" t="s">
        <v>524</v>
      </c>
      <c r="P205" t="s">
        <v>524</v>
      </c>
      <c r="Q205" t="s">
        <v>524</v>
      </c>
      <c r="R205" t="str">
        <f t="shared" si="7"/>
        <v>Sim</v>
      </c>
      <c r="S205" t="s">
        <v>524</v>
      </c>
      <c r="T205" t="s">
        <v>30</v>
      </c>
      <c r="U205" t="s">
        <v>158</v>
      </c>
      <c r="V205" s="3">
        <v>-85.98</v>
      </c>
      <c r="W205" t="s">
        <v>190</v>
      </c>
      <c r="X205" s="3">
        <v>-85.98</v>
      </c>
    </row>
    <row r="206" spans="1:24" s="2" customFormat="1" x14ac:dyDescent="0.2">
      <c r="A206" s="2">
        <v>206</v>
      </c>
      <c r="B206" t="s">
        <v>106</v>
      </c>
      <c r="C206" t="s">
        <v>107</v>
      </c>
      <c r="D206" t="s">
        <v>39</v>
      </c>
      <c r="E206" t="s">
        <v>30</v>
      </c>
      <c r="F206" t="s">
        <v>24</v>
      </c>
      <c r="G206" t="s">
        <v>25</v>
      </c>
      <c r="H206" t="str">
        <f t="shared" si="6"/>
        <v xml:space="preserve">FAUSTO VARGAS BOLDRINI _MARIEL ROMANI  | Recorrência: | Observações: </v>
      </c>
      <c r="I206" t="s">
        <v>26</v>
      </c>
      <c r="J206" s="4">
        <v>3000</v>
      </c>
      <c r="K206" s="4">
        <v>461881.22</v>
      </c>
      <c r="L206" t="s">
        <v>27</v>
      </c>
      <c r="M206" s="4">
        <v>3000</v>
      </c>
      <c r="N206" s="3">
        <v>0</v>
      </c>
      <c r="O206" t="s">
        <v>520</v>
      </c>
      <c r="P206" t="s">
        <v>265</v>
      </c>
      <c r="Q206" t="s">
        <v>520</v>
      </c>
      <c r="R206" t="str">
        <f t="shared" si="7"/>
        <v>Sim</v>
      </c>
      <c r="S206" t="s">
        <v>520</v>
      </c>
      <c r="T206" t="s">
        <v>30</v>
      </c>
      <c r="U206" t="s">
        <v>274</v>
      </c>
      <c r="V206" s="3">
        <v>3000</v>
      </c>
      <c r="W206" t="s">
        <v>166</v>
      </c>
      <c r="X206" s="3">
        <v>3000</v>
      </c>
    </row>
    <row r="207" spans="1:24" s="2" customFormat="1" x14ac:dyDescent="0.2">
      <c r="A207">
        <v>207</v>
      </c>
      <c r="B207" t="s">
        <v>106</v>
      </c>
      <c r="C207" t="s">
        <v>107</v>
      </c>
      <c r="D207" t="s">
        <v>532</v>
      </c>
      <c r="E207" t="s">
        <v>30</v>
      </c>
      <c r="F207" t="s">
        <v>24</v>
      </c>
      <c r="G207" t="s">
        <v>25</v>
      </c>
      <c r="H207" t="str">
        <f t="shared" si="6"/>
        <v xml:space="preserve">: KNOT HOME COMERCIO DE PRODUTOS | Recorrência: | Observações: </v>
      </c>
      <c r="I207" t="s">
        <v>26</v>
      </c>
      <c r="J207" s="4">
        <v>140</v>
      </c>
      <c r="K207" s="4">
        <v>462021.22</v>
      </c>
      <c r="L207" t="s">
        <v>27</v>
      </c>
      <c r="M207" s="4">
        <v>140</v>
      </c>
      <c r="N207" s="3">
        <v>0</v>
      </c>
      <c r="O207" t="s">
        <v>531</v>
      </c>
      <c r="P207" t="s">
        <v>533</v>
      </c>
      <c r="Q207" t="s">
        <v>497</v>
      </c>
      <c r="R207" t="str">
        <f t="shared" si="7"/>
        <v>Sim</v>
      </c>
      <c r="S207" t="s">
        <v>497</v>
      </c>
      <c r="T207" t="s">
        <v>30</v>
      </c>
      <c r="U207" t="s">
        <v>49</v>
      </c>
      <c r="V207" s="3">
        <v>140</v>
      </c>
    </row>
    <row r="208" spans="1:24" s="2" customFormat="1" x14ac:dyDescent="0.2">
      <c r="A208" s="2">
        <v>208</v>
      </c>
      <c r="B208"/>
      <c r="C208" t="s">
        <v>304</v>
      </c>
      <c r="D208" t="s">
        <v>47</v>
      </c>
      <c r="E208" t="s">
        <v>356</v>
      </c>
      <c r="F208" t="s">
        <v>24</v>
      </c>
      <c r="G208" t="s">
        <v>25</v>
      </c>
      <c r="H208" t="str">
        <f t="shared" si="6"/>
        <v>SILVESTRE VIDROS | Recorrência:5/6 | Observações: Pedido 44192</v>
      </c>
      <c r="I208" t="s">
        <v>26</v>
      </c>
      <c r="J208" s="4">
        <v>184.01</v>
      </c>
      <c r="K208" s="4">
        <v>462205.23</v>
      </c>
      <c r="L208" t="s">
        <v>27</v>
      </c>
      <c r="M208" s="4">
        <v>184.01</v>
      </c>
      <c r="N208" s="3">
        <v>0</v>
      </c>
      <c r="O208" t="s">
        <v>534</v>
      </c>
      <c r="P208" t="s">
        <v>443</v>
      </c>
      <c r="Q208" t="s">
        <v>535</v>
      </c>
      <c r="R208" t="str">
        <f t="shared" si="7"/>
        <v>Sim</v>
      </c>
      <c r="S208" t="s">
        <v>535</v>
      </c>
      <c r="T208" t="s">
        <v>305</v>
      </c>
      <c r="U208" t="s">
        <v>49</v>
      </c>
      <c r="V208" s="3">
        <v>184.01</v>
      </c>
      <c r="W208" t="s">
        <v>49</v>
      </c>
      <c r="X208" s="3">
        <v>184.01</v>
      </c>
    </row>
    <row r="209" spans="1:24" s="2" customFormat="1" x14ac:dyDescent="0.2">
      <c r="A209">
        <v>209</v>
      </c>
      <c r="B209"/>
      <c r="C209" t="s">
        <v>21</v>
      </c>
      <c r="D209" t="s">
        <v>23</v>
      </c>
      <c r="E209" t="s">
        <v>465</v>
      </c>
      <c r="F209" t="s">
        <v>24</v>
      </c>
      <c r="G209" t="s">
        <v>25</v>
      </c>
      <c r="H209" t="str">
        <f t="shared" si="6"/>
        <v xml:space="preserve">FAMILIA NAJM | Recorrência:4/4 | Observações: </v>
      </c>
      <c r="I209" t="s">
        <v>26</v>
      </c>
      <c r="J209" s="4">
        <v>10568.12</v>
      </c>
      <c r="K209" s="4">
        <v>472773.35</v>
      </c>
      <c r="L209" t="s">
        <v>27</v>
      </c>
      <c r="M209" s="4">
        <v>10568.12</v>
      </c>
      <c r="N209" s="3">
        <v>0</v>
      </c>
      <c r="O209" t="s">
        <v>534</v>
      </c>
      <c r="P209" t="s">
        <v>536</v>
      </c>
      <c r="Q209" t="s">
        <v>88</v>
      </c>
      <c r="R209" t="str">
        <f t="shared" si="7"/>
        <v>Sim</v>
      </c>
      <c r="S209" t="s">
        <v>88</v>
      </c>
      <c r="T209" t="s">
        <v>30</v>
      </c>
      <c r="U209" t="s">
        <v>31</v>
      </c>
      <c r="V209" s="3">
        <v>10568.12</v>
      </c>
      <c r="W209" t="s">
        <v>32</v>
      </c>
      <c r="X209" s="3">
        <v>10568.12</v>
      </c>
    </row>
    <row r="210" spans="1:24" s="2" customFormat="1" x14ac:dyDescent="0.2">
      <c r="A210" s="2">
        <v>210</v>
      </c>
      <c r="B210"/>
      <c r="C210" t="s">
        <v>153</v>
      </c>
      <c r="D210" t="s">
        <v>538</v>
      </c>
      <c r="E210" t="s">
        <v>30</v>
      </c>
      <c r="F210" t="s">
        <v>63</v>
      </c>
      <c r="G210" t="s">
        <v>25</v>
      </c>
      <c r="H210" t="str">
        <f t="shared" si="6"/>
        <v xml:space="preserve">FOTÓGRAFO_RAFAEL RENZO MARQUES  | Recorrência: | Observações: </v>
      </c>
      <c r="I210" t="s">
        <v>26</v>
      </c>
      <c r="J210" s="5">
        <v>-1600</v>
      </c>
      <c r="K210" s="4">
        <v>471173.35</v>
      </c>
      <c r="L210" t="s">
        <v>27</v>
      </c>
      <c r="M210" s="5">
        <v>-1600</v>
      </c>
      <c r="N210" s="3">
        <v>0</v>
      </c>
      <c r="O210" t="s">
        <v>537</v>
      </c>
      <c r="P210" t="s">
        <v>537</v>
      </c>
      <c r="Q210" t="s">
        <v>537</v>
      </c>
      <c r="R210" t="str">
        <f t="shared" si="7"/>
        <v>Sim</v>
      </c>
      <c r="S210" t="s">
        <v>537</v>
      </c>
      <c r="T210" t="s">
        <v>30</v>
      </c>
      <c r="U210" t="s">
        <v>158</v>
      </c>
      <c r="V210" s="3">
        <v>-1600</v>
      </c>
      <c r="W210" t="s">
        <v>158</v>
      </c>
      <c r="X210" s="3">
        <v>-1600</v>
      </c>
    </row>
    <row r="211" spans="1:24" s="2" customFormat="1" x14ac:dyDescent="0.2">
      <c r="A211">
        <v>211</v>
      </c>
      <c r="B211"/>
      <c r="C211" t="s">
        <v>539</v>
      </c>
      <c r="D211" t="s">
        <v>226</v>
      </c>
      <c r="E211" t="s">
        <v>30</v>
      </c>
      <c r="F211" t="s">
        <v>24</v>
      </c>
      <c r="G211" t="s">
        <v>25</v>
      </c>
      <c r="H211" t="str">
        <f t="shared" si="6"/>
        <v xml:space="preserve">ESPAÇO REFORMAR (DMP REFORMAS ) | Recorrência: | Observações: </v>
      </c>
      <c r="I211" t="s">
        <v>26</v>
      </c>
      <c r="J211" s="4">
        <v>3744.94</v>
      </c>
      <c r="K211" s="4">
        <v>474918.29</v>
      </c>
      <c r="L211" t="s">
        <v>27</v>
      </c>
      <c r="M211" s="4">
        <v>3744.94</v>
      </c>
      <c r="N211" s="3">
        <v>0</v>
      </c>
      <c r="O211" t="s">
        <v>537</v>
      </c>
      <c r="P211" t="s">
        <v>537</v>
      </c>
      <c r="Q211" t="s">
        <v>537</v>
      </c>
      <c r="R211" t="str">
        <f t="shared" si="7"/>
        <v>Sim</v>
      </c>
      <c r="S211" t="s">
        <v>537</v>
      </c>
      <c r="T211" t="s">
        <v>30</v>
      </c>
      <c r="U211" t="s">
        <v>49</v>
      </c>
      <c r="V211" s="3">
        <v>3744.94</v>
      </c>
      <c r="W211" t="s">
        <v>49</v>
      </c>
      <c r="X211" s="3">
        <v>3744.94</v>
      </c>
    </row>
    <row r="212" spans="1:24" s="2" customFormat="1" x14ac:dyDescent="0.2">
      <c r="A212" s="2">
        <v>212</v>
      </c>
      <c r="B212"/>
      <c r="C212" t="s">
        <v>232</v>
      </c>
      <c r="D212" t="s">
        <v>516</v>
      </c>
      <c r="E212" t="s">
        <v>195</v>
      </c>
      <c r="F212" t="s">
        <v>24</v>
      </c>
      <c r="G212" t="s">
        <v>25</v>
      </c>
      <c r="H212" t="str">
        <f t="shared" si="6"/>
        <v>GERENCIAMENTO_MARÍLIA ZINGARI ROCHOLLI GRANJEIRO | Recorrência:2/3 | Observações: 03 Parcelas iguais  - TBI 9348.04920-7</v>
      </c>
      <c r="I212" t="s">
        <v>26</v>
      </c>
      <c r="J212" s="4">
        <v>3000</v>
      </c>
      <c r="K212" s="4">
        <v>477918.29</v>
      </c>
      <c r="L212" t="s">
        <v>27</v>
      </c>
      <c r="M212" s="4">
        <v>3000</v>
      </c>
      <c r="N212" s="3">
        <v>0</v>
      </c>
      <c r="O212" t="s">
        <v>535</v>
      </c>
      <c r="P212" t="s">
        <v>367</v>
      </c>
      <c r="Q212" t="s">
        <v>535</v>
      </c>
      <c r="R212" t="str">
        <f t="shared" si="7"/>
        <v>Sim</v>
      </c>
      <c r="S212" t="s">
        <v>535</v>
      </c>
      <c r="T212" t="s">
        <v>517</v>
      </c>
      <c r="U212" t="s">
        <v>274</v>
      </c>
      <c r="V212" s="3">
        <v>3000</v>
      </c>
      <c r="W212" t="s">
        <v>166</v>
      </c>
      <c r="X212" s="3">
        <v>3000</v>
      </c>
    </row>
    <row r="213" spans="1:24" s="2" customFormat="1" x14ac:dyDescent="0.2">
      <c r="A213">
        <v>213</v>
      </c>
      <c r="B213"/>
      <c r="C213" t="s">
        <v>315</v>
      </c>
      <c r="D213" t="s">
        <v>332</v>
      </c>
      <c r="E213" t="s">
        <v>30</v>
      </c>
      <c r="F213" t="s">
        <v>24</v>
      </c>
      <c r="G213" t="s">
        <v>25</v>
      </c>
      <c r="H213" t="str">
        <f t="shared" si="6"/>
        <v xml:space="preserve">BRETON ( Total Home Comercio de Móveis Eireli) | Recorrência: | Observações: </v>
      </c>
      <c r="I213" t="s">
        <v>26</v>
      </c>
      <c r="J213" s="4">
        <v>3034.65</v>
      </c>
      <c r="K213" s="4">
        <v>480952.94</v>
      </c>
      <c r="L213" t="s">
        <v>27</v>
      </c>
      <c r="M213" s="4">
        <v>3034.65</v>
      </c>
      <c r="N213" s="3">
        <v>0</v>
      </c>
      <c r="O213" t="s">
        <v>533</v>
      </c>
      <c r="P213" t="s">
        <v>540</v>
      </c>
      <c r="Q213" t="s">
        <v>533</v>
      </c>
      <c r="R213" t="str">
        <f t="shared" si="7"/>
        <v>Sim</v>
      </c>
      <c r="S213" t="s">
        <v>533</v>
      </c>
      <c r="T213" t="s">
        <v>30</v>
      </c>
      <c r="U213" t="s">
        <v>49</v>
      </c>
      <c r="V213" s="3">
        <v>3034.65</v>
      </c>
      <c r="W213" t="s">
        <v>49</v>
      </c>
      <c r="X213" s="3">
        <v>3034.65</v>
      </c>
    </row>
    <row r="214" spans="1:24" s="2" customFormat="1" x14ac:dyDescent="0.2">
      <c r="A214" s="2">
        <v>214</v>
      </c>
      <c r="B214"/>
      <c r="C214"/>
      <c r="D214" t="s">
        <v>541</v>
      </c>
      <c r="E214" t="s">
        <v>30</v>
      </c>
      <c r="F214" t="s">
        <v>63</v>
      </c>
      <c r="G214" t="s">
        <v>25</v>
      </c>
      <c r="H214" t="str">
        <f t="shared" si="6"/>
        <v>MAFRAL _ALUGUEL+CONDOMINIO+IPTU | Recorrência: | Observações: JOAQUIM FLORIANO</v>
      </c>
      <c r="I214" t="s">
        <v>26</v>
      </c>
      <c r="J214" s="5">
        <v>-2292.66</v>
      </c>
      <c r="K214" s="4">
        <v>478660.28</v>
      </c>
      <c r="L214" t="s">
        <v>27</v>
      </c>
      <c r="M214" s="5">
        <v>-2292.66</v>
      </c>
      <c r="N214" s="3">
        <v>0</v>
      </c>
      <c r="O214" t="s">
        <v>533</v>
      </c>
      <c r="P214" t="s">
        <v>542</v>
      </c>
      <c r="Q214" t="s">
        <v>543</v>
      </c>
      <c r="R214" t="str">
        <f t="shared" si="7"/>
        <v>Sim</v>
      </c>
      <c r="S214" t="s">
        <v>543</v>
      </c>
      <c r="T214" t="s">
        <v>544</v>
      </c>
      <c r="U214" t="s">
        <v>545</v>
      </c>
      <c r="V214" s="3">
        <v>-2292.66</v>
      </c>
    </row>
    <row r="215" spans="1:24" s="2" customFormat="1" x14ac:dyDescent="0.2">
      <c r="A215">
        <v>215</v>
      </c>
      <c r="B215"/>
      <c r="C215" t="s">
        <v>153</v>
      </c>
      <c r="D215" t="s">
        <v>159</v>
      </c>
      <c r="E215" t="s">
        <v>30</v>
      </c>
      <c r="F215" t="s">
        <v>63</v>
      </c>
      <c r="G215" t="s">
        <v>25</v>
      </c>
      <c r="H215" t="str">
        <f t="shared" si="6"/>
        <v>DIARISTA JULIANA  | Recorrência: | Observações: Ref: 04 diárias &gt; 03/11 a 24/11</v>
      </c>
      <c r="I215" t="s">
        <v>26</v>
      </c>
      <c r="J215" s="5">
        <v>-320</v>
      </c>
      <c r="K215" s="4">
        <v>478340.28</v>
      </c>
      <c r="L215" t="s">
        <v>27</v>
      </c>
      <c r="M215" s="5">
        <v>-320</v>
      </c>
      <c r="N215" s="3">
        <v>0</v>
      </c>
      <c r="O215" t="s">
        <v>546</v>
      </c>
      <c r="P215" t="s">
        <v>469</v>
      </c>
      <c r="Q215" t="s">
        <v>546</v>
      </c>
      <c r="R215" t="str">
        <f t="shared" si="7"/>
        <v>Sim</v>
      </c>
      <c r="S215" t="s">
        <v>546</v>
      </c>
      <c r="T215" t="s">
        <v>547</v>
      </c>
      <c r="U215" t="s">
        <v>158</v>
      </c>
      <c r="V215" s="3">
        <v>-320</v>
      </c>
      <c r="W215" t="s">
        <v>158</v>
      </c>
      <c r="X215" s="3">
        <v>-320</v>
      </c>
    </row>
    <row r="216" spans="1:24" s="2" customFormat="1" x14ac:dyDescent="0.2">
      <c r="A216" s="2">
        <v>216</v>
      </c>
      <c r="B216"/>
      <c r="C216"/>
      <c r="D216" t="s">
        <v>548</v>
      </c>
      <c r="E216" t="s">
        <v>30</v>
      </c>
      <c r="F216" t="s">
        <v>63</v>
      </c>
      <c r="G216" t="s">
        <v>25</v>
      </c>
      <c r="H216" t="str">
        <f t="shared" si="6"/>
        <v xml:space="preserve">13º SALÁRIO ELIANE | Recorrência: | Observações: </v>
      </c>
      <c r="I216" t="s">
        <v>26</v>
      </c>
      <c r="J216" s="5">
        <v>-688.11</v>
      </c>
      <c r="K216" s="4">
        <v>477652.17</v>
      </c>
      <c r="L216" t="s">
        <v>27</v>
      </c>
      <c r="M216" s="5">
        <v>-688.11</v>
      </c>
      <c r="N216" s="3">
        <v>0</v>
      </c>
      <c r="O216" t="s">
        <v>546</v>
      </c>
      <c r="P216" t="s">
        <v>546</v>
      </c>
      <c r="Q216" t="s">
        <v>549</v>
      </c>
      <c r="R216" t="str">
        <f t="shared" si="7"/>
        <v>Sim</v>
      </c>
      <c r="S216" t="s">
        <v>549</v>
      </c>
      <c r="T216" t="s">
        <v>30</v>
      </c>
      <c r="U216" t="s">
        <v>550</v>
      </c>
      <c r="V216" s="3">
        <v>-688.11</v>
      </c>
    </row>
    <row r="217" spans="1:24" s="2" customFormat="1" x14ac:dyDescent="0.2">
      <c r="A217">
        <v>217</v>
      </c>
      <c r="B217"/>
      <c r="C217"/>
      <c r="D217" t="s">
        <v>552</v>
      </c>
      <c r="E217" t="s">
        <v>320</v>
      </c>
      <c r="F217" t="s">
        <v>63</v>
      </c>
      <c r="G217" t="s">
        <v>25</v>
      </c>
      <c r="H217" t="str">
        <f t="shared" si="6"/>
        <v xml:space="preserve">SALÁRIO FELIPE ESTÁGIÁRIO | Recorrência:1/12 | Observações: </v>
      </c>
      <c r="I217" t="s">
        <v>26</v>
      </c>
      <c r="J217" s="5">
        <v>-875.75</v>
      </c>
      <c r="K217" s="4">
        <v>476776.42</v>
      </c>
      <c r="L217" t="s">
        <v>27</v>
      </c>
      <c r="M217" s="5">
        <v>-875.75</v>
      </c>
      <c r="N217" s="3">
        <v>0</v>
      </c>
      <c r="O217" t="s">
        <v>551</v>
      </c>
      <c r="P217" t="s">
        <v>460</v>
      </c>
      <c r="Q217" t="s">
        <v>551</v>
      </c>
      <c r="R217" t="str">
        <f t="shared" si="7"/>
        <v>Sim</v>
      </c>
      <c r="S217" t="s">
        <v>551</v>
      </c>
      <c r="T217" t="s">
        <v>30</v>
      </c>
      <c r="U217" t="s">
        <v>323</v>
      </c>
      <c r="V217" s="3">
        <v>-875.75</v>
      </c>
      <c r="W217" t="s">
        <v>323</v>
      </c>
      <c r="X217" s="3">
        <v>-875.75</v>
      </c>
    </row>
    <row r="218" spans="1:24" s="2" customFormat="1" x14ac:dyDescent="0.2">
      <c r="A218" s="2">
        <v>218</v>
      </c>
      <c r="B218"/>
      <c r="C218" t="s">
        <v>258</v>
      </c>
      <c r="D218" t="s">
        <v>554</v>
      </c>
      <c r="E218" t="s">
        <v>30</v>
      </c>
      <c r="F218" t="s">
        <v>24</v>
      </c>
      <c r="G218" t="s">
        <v>25</v>
      </c>
      <c r="H218" t="str">
        <f t="shared" si="6"/>
        <v>LELIS DESIGN  | Recorrência: | Observações: 5% RT - Pedido  81284</v>
      </c>
      <c r="I218" t="s">
        <v>26</v>
      </c>
      <c r="J218" s="4">
        <v>89.02</v>
      </c>
      <c r="K218" s="4">
        <v>476865.44</v>
      </c>
      <c r="L218" t="s">
        <v>27</v>
      </c>
      <c r="M218" s="4">
        <v>89.02</v>
      </c>
      <c r="N218" s="3">
        <v>0</v>
      </c>
      <c r="O218" t="s">
        <v>553</v>
      </c>
      <c r="P218" t="s">
        <v>442</v>
      </c>
      <c r="Q218" t="s">
        <v>443</v>
      </c>
      <c r="R218" t="str">
        <f t="shared" si="7"/>
        <v>Sim</v>
      </c>
      <c r="S218" t="s">
        <v>443</v>
      </c>
      <c r="T218" t="s">
        <v>555</v>
      </c>
      <c r="U218" t="s">
        <v>49</v>
      </c>
      <c r="V218" s="3">
        <v>89.02</v>
      </c>
      <c r="W218" t="s">
        <v>49</v>
      </c>
      <c r="X218" s="3">
        <v>89.02</v>
      </c>
    </row>
    <row r="219" spans="1:24" s="2" customFormat="1" x14ac:dyDescent="0.2">
      <c r="A219">
        <v>219</v>
      </c>
      <c r="B219"/>
      <c r="C219" t="s">
        <v>512</v>
      </c>
      <c r="D219" t="s">
        <v>325</v>
      </c>
      <c r="E219" t="s">
        <v>73</v>
      </c>
      <c r="F219" t="s">
        <v>24</v>
      </c>
      <c r="G219" t="s">
        <v>25</v>
      </c>
      <c r="H219" t="str">
        <f t="shared" si="6"/>
        <v>VIA MADEIRA (HAEHLING) | Recorrência:1/5 | Observações: pedido 18/10 - 92.000,00</v>
      </c>
      <c r="I219" t="s">
        <v>26</v>
      </c>
      <c r="J219" s="4">
        <v>1840</v>
      </c>
      <c r="K219" s="4">
        <v>478705.44</v>
      </c>
      <c r="L219" t="s">
        <v>27</v>
      </c>
      <c r="M219" s="4">
        <v>1840</v>
      </c>
      <c r="N219" s="3">
        <v>0</v>
      </c>
      <c r="O219" t="s">
        <v>553</v>
      </c>
      <c r="P219" t="s">
        <v>485</v>
      </c>
      <c r="Q219" t="s">
        <v>556</v>
      </c>
      <c r="R219" t="str">
        <f t="shared" si="7"/>
        <v>Sim</v>
      </c>
      <c r="S219" t="s">
        <v>556</v>
      </c>
      <c r="T219" t="s">
        <v>513</v>
      </c>
      <c r="U219" t="s">
        <v>49</v>
      </c>
      <c r="V219" s="3">
        <v>1840</v>
      </c>
      <c r="W219" t="s">
        <v>49</v>
      </c>
      <c r="X219" s="3">
        <v>1840</v>
      </c>
    </row>
    <row r="220" spans="1:24" s="2" customFormat="1" x14ac:dyDescent="0.2">
      <c r="A220" s="2">
        <v>220</v>
      </c>
      <c r="B220"/>
      <c r="C220" t="s">
        <v>395</v>
      </c>
      <c r="D220" t="s">
        <v>395</v>
      </c>
      <c r="E220" t="s">
        <v>465</v>
      </c>
      <c r="F220" t="s">
        <v>24</v>
      </c>
      <c r="G220" t="s">
        <v>25</v>
      </c>
      <c r="H220" t="str">
        <f t="shared" si="6"/>
        <v xml:space="preserve">ROGÉRIO E ANA PAULA CALFÁ | Recorrência:4/4 | Observações: </v>
      </c>
      <c r="I220" t="s">
        <v>26</v>
      </c>
      <c r="J220" s="4">
        <v>4437.5</v>
      </c>
      <c r="K220" s="4">
        <v>483142.94</v>
      </c>
      <c r="L220" t="s">
        <v>27</v>
      </c>
      <c r="M220" s="4">
        <v>4437.5</v>
      </c>
      <c r="N220" s="3">
        <v>0</v>
      </c>
      <c r="O220" t="s">
        <v>557</v>
      </c>
      <c r="P220" t="s">
        <v>558</v>
      </c>
      <c r="Q220" t="s">
        <v>549</v>
      </c>
      <c r="R220" t="str">
        <f t="shared" si="7"/>
        <v>Sim</v>
      </c>
      <c r="S220" t="s">
        <v>549</v>
      </c>
      <c r="T220" t="s">
        <v>30</v>
      </c>
      <c r="U220" t="s">
        <v>31</v>
      </c>
      <c r="V220" s="3">
        <v>4437.5</v>
      </c>
      <c r="W220" t="s">
        <v>32</v>
      </c>
      <c r="X220" s="3">
        <v>4437.5</v>
      </c>
    </row>
    <row r="221" spans="1:24" s="2" customFormat="1" x14ac:dyDescent="0.2">
      <c r="A221">
        <v>221</v>
      </c>
      <c r="B221"/>
      <c r="C221" t="s">
        <v>292</v>
      </c>
      <c r="D221" t="s">
        <v>81</v>
      </c>
      <c r="E221" t="s">
        <v>30</v>
      </c>
      <c r="F221" t="s">
        <v>24</v>
      </c>
      <c r="G221" t="s">
        <v>25</v>
      </c>
      <c r="H221" t="str">
        <f t="shared" si="6"/>
        <v xml:space="preserve">STACCATO | Recorrência: | Observações: NF 152 </v>
      </c>
      <c r="I221" t="s">
        <v>26</v>
      </c>
      <c r="J221" s="4">
        <v>312.19</v>
      </c>
      <c r="K221" s="4">
        <v>483455.13</v>
      </c>
      <c r="L221" t="s">
        <v>27</v>
      </c>
      <c r="M221" s="4">
        <v>312.19</v>
      </c>
      <c r="N221" s="3">
        <v>0</v>
      </c>
      <c r="O221" t="s">
        <v>522</v>
      </c>
      <c r="P221" t="s">
        <v>559</v>
      </c>
      <c r="Q221" t="s">
        <v>367</v>
      </c>
      <c r="R221" t="str">
        <f t="shared" si="7"/>
        <v>Sim</v>
      </c>
      <c r="S221" t="s">
        <v>367</v>
      </c>
      <c r="T221" t="s">
        <v>560</v>
      </c>
      <c r="U221" t="s">
        <v>49</v>
      </c>
      <c r="V221" s="3">
        <v>312.19</v>
      </c>
      <c r="W221" t="s">
        <v>49</v>
      </c>
      <c r="X221" s="3">
        <v>312.19</v>
      </c>
    </row>
    <row r="222" spans="1:24" s="2" customFormat="1" x14ac:dyDescent="0.2">
      <c r="A222" s="2">
        <v>222</v>
      </c>
      <c r="B222"/>
      <c r="C222" t="s">
        <v>315</v>
      </c>
      <c r="D222" t="s">
        <v>561</v>
      </c>
      <c r="E222" t="s">
        <v>30</v>
      </c>
      <c r="F222" t="s">
        <v>24</v>
      </c>
      <c r="G222" t="s">
        <v>25</v>
      </c>
      <c r="H222" t="str">
        <f t="shared" si="6"/>
        <v xml:space="preserve">DEFINITIVA MÓVEIS (CEZAR&amp;SANTOS IND MOVEIS) | Recorrência: | Observações: </v>
      </c>
      <c r="I222" t="s">
        <v>26</v>
      </c>
      <c r="J222" s="4">
        <v>11423.05</v>
      </c>
      <c r="K222" s="4">
        <v>494878.18</v>
      </c>
      <c r="L222" t="s">
        <v>27</v>
      </c>
      <c r="M222" s="4">
        <v>11423.05</v>
      </c>
      <c r="N222" s="3">
        <v>0</v>
      </c>
      <c r="O222" t="s">
        <v>522</v>
      </c>
      <c r="P222" t="s">
        <v>553</v>
      </c>
      <c r="Q222" t="s">
        <v>522</v>
      </c>
      <c r="R222" t="str">
        <f t="shared" si="7"/>
        <v>Sim</v>
      </c>
      <c r="S222" t="s">
        <v>522</v>
      </c>
      <c r="T222" t="s">
        <v>30</v>
      </c>
      <c r="U222" t="s">
        <v>49</v>
      </c>
      <c r="V222" s="3">
        <v>11423.05</v>
      </c>
      <c r="W222" t="s">
        <v>49</v>
      </c>
      <c r="X222" s="3">
        <v>11423.05</v>
      </c>
    </row>
    <row r="223" spans="1:24" s="2" customFormat="1" x14ac:dyDescent="0.2">
      <c r="A223">
        <v>223</v>
      </c>
      <c r="B223"/>
      <c r="C223" t="s">
        <v>562</v>
      </c>
      <c r="D223" t="s">
        <v>563</v>
      </c>
      <c r="E223" t="s">
        <v>30</v>
      </c>
      <c r="F223" t="s">
        <v>63</v>
      </c>
      <c r="G223" t="s">
        <v>25</v>
      </c>
      <c r="H223" t="str">
        <f t="shared" si="6"/>
        <v>TOTALCAD COMERCIO S E I LTDA - SKETCHUP | Recorrência: | Observações: RENOVAÇÃO</v>
      </c>
      <c r="I223" t="s">
        <v>26</v>
      </c>
      <c r="J223" s="5">
        <v>-1433</v>
      </c>
      <c r="K223" s="4">
        <v>493445.18</v>
      </c>
      <c r="L223" t="s">
        <v>27</v>
      </c>
      <c r="M223" s="5">
        <v>-1433</v>
      </c>
      <c r="N223" s="3">
        <v>0</v>
      </c>
      <c r="O223" t="s">
        <v>522</v>
      </c>
      <c r="P223" t="s">
        <v>553</v>
      </c>
      <c r="Q223" t="s">
        <v>522</v>
      </c>
      <c r="R223" t="str">
        <f t="shared" si="7"/>
        <v>Sim</v>
      </c>
      <c r="S223" t="s">
        <v>522</v>
      </c>
      <c r="T223" t="s">
        <v>564</v>
      </c>
      <c r="U223" t="s">
        <v>158</v>
      </c>
      <c r="V223" s="3">
        <v>-1433</v>
      </c>
      <c r="W223" t="s">
        <v>158</v>
      </c>
      <c r="X223" s="3">
        <v>-1433</v>
      </c>
    </row>
    <row r="224" spans="1:24" s="2" customFormat="1" x14ac:dyDescent="0.2">
      <c r="A224" s="2">
        <v>224</v>
      </c>
      <c r="B224" t="s">
        <v>71</v>
      </c>
      <c r="C224" t="s">
        <v>72</v>
      </c>
      <c r="D224" t="s">
        <v>72</v>
      </c>
      <c r="E224" t="s">
        <v>266</v>
      </c>
      <c r="F224" t="s">
        <v>24</v>
      </c>
      <c r="G224" t="s">
        <v>25</v>
      </c>
      <c r="H224" t="str">
        <f t="shared" si="6"/>
        <v>GAPAZ | Recorrência:4/5 | Observações: R$ 240.816,49 &gt; valor do gerenciamento será 10% deste valor = R$ 24.081,64 pago em 5 parcelas</v>
      </c>
      <c r="I224" t="s">
        <v>26</v>
      </c>
      <c r="J224" s="4">
        <v>4816.32</v>
      </c>
      <c r="K224" s="4">
        <v>498261.5</v>
      </c>
      <c r="L224" t="s">
        <v>27</v>
      </c>
      <c r="M224" s="4">
        <v>4816.32</v>
      </c>
      <c r="N224" s="3">
        <v>0</v>
      </c>
      <c r="O224" t="s">
        <v>549</v>
      </c>
      <c r="P224" t="s">
        <v>523</v>
      </c>
      <c r="Q224" t="s">
        <v>549</v>
      </c>
      <c r="R224" t="str">
        <f t="shared" si="7"/>
        <v>Sim</v>
      </c>
      <c r="S224" t="s">
        <v>549</v>
      </c>
      <c r="T224" t="s">
        <v>394</v>
      </c>
      <c r="U224" t="s">
        <v>274</v>
      </c>
      <c r="V224" s="3">
        <v>4816.32</v>
      </c>
      <c r="W224" t="s">
        <v>166</v>
      </c>
      <c r="X224" s="3">
        <v>4816.32</v>
      </c>
    </row>
    <row r="225" spans="1:24" s="2" customFormat="1" x14ac:dyDescent="0.2">
      <c r="A225">
        <v>225</v>
      </c>
      <c r="B225"/>
      <c r="C225" t="s">
        <v>453</v>
      </c>
      <c r="D225" t="s">
        <v>453</v>
      </c>
      <c r="E225" t="s">
        <v>41</v>
      </c>
      <c r="F225" t="s">
        <v>24</v>
      </c>
      <c r="G225" t="s">
        <v>25</v>
      </c>
      <c r="H225" t="str">
        <f t="shared" si="6"/>
        <v xml:space="preserve">VANESSA  E ADO | Recorrência:3/4 | Observações: </v>
      </c>
      <c r="I225" t="s">
        <v>26</v>
      </c>
      <c r="J225" s="4">
        <v>6750</v>
      </c>
      <c r="K225" s="4">
        <v>505011.5</v>
      </c>
      <c r="L225" t="s">
        <v>27</v>
      </c>
      <c r="M225" s="4">
        <v>6750</v>
      </c>
      <c r="N225" s="3">
        <v>0</v>
      </c>
      <c r="O225" t="s">
        <v>549</v>
      </c>
      <c r="P225" t="s">
        <v>485</v>
      </c>
      <c r="Q225" t="s">
        <v>507</v>
      </c>
      <c r="R225" t="str">
        <f t="shared" si="7"/>
        <v>Sim</v>
      </c>
      <c r="S225" t="s">
        <v>507</v>
      </c>
      <c r="T225" t="s">
        <v>30</v>
      </c>
      <c r="U225" t="s">
        <v>31</v>
      </c>
      <c r="V225" s="3">
        <v>6750</v>
      </c>
      <c r="W225" t="s">
        <v>32</v>
      </c>
      <c r="X225" s="3">
        <v>6750</v>
      </c>
    </row>
    <row r="226" spans="1:24" s="2" customFormat="1" x14ac:dyDescent="0.2">
      <c r="A226" s="2">
        <v>226</v>
      </c>
      <c r="B226"/>
      <c r="C226" t="s">
        <v>153</v>
      </c>
      <c r="D226" t="s">
        <v>519</v>
      </c>
      <c r="E226" t="s">
        <v>566</v>
      </c>
      <c r="F226" t="s">
        <v>63</v>
      </c>
      <c r="G226" t="s">
        <v>25</v>
      </c>
      <c r="H226" t="str">
        <f t="shared" si="6"/>
        <v xml:space="preserve">SALÁRIO POLIANA  | Recorrência:5/12 | Observações: ESTAGIÁRIA </v>
      </c>
      <c r="I226" t="s">
        <v>26</v>
      </c>
      <c r="J226" s="5">
        <v>-1581.3</v>
      </c>
      <c r="K226" s="4">
        <v>503430.2</v>
      </c>
      <c r="L226" t="s">
        <v>27</v>
      </c>
      <c r="M226" s="5">
        <v>-1581.3</v>
      </c>
      <c r="N226" s="3">
        <v>0</v>
      </c>
      <c r="O226" t="s">
        <v>565</v>
      </c>
      <c r="P226" t="s">
        <v>460</v>
      </c>
      <c r="Q226" t="s">
        <v>567</v>
      </c>
      <c r="R226" t="str">
        <f t="shared" si="7"/>
        <v>Sim</v>
      </c>
      <c r="S226" t="s">
        <v>567</v>
      </c>
      <c r="T226" t="s">
        <v>322</v>
      </c>
      <c r="U226" t="s">
        <v>323</v>
      </c>
      <c r="V226" s="3">
        <v>-1581.3</v>
      </c>
      <c r="W226" t="s">
        <v>324</v>
      </c>
      <c r="X226" s="3">
        <v>-1581.3</v>
      </c>
    </row>
    <row r="227" spans="1:24" s="2" customFormat="1" x14ac:dyDescent="0.2">
      <c r="A227">
        <v>227</v>
      </c>
      <c r="B227"/>
      <c r="C227" t="s">
        <v>153</v>
      </c>
      <c r="D227" t="s">
        <v>568</v>
      </c>
      <c r="E227" t="s">
        <v>30</v>
      </c>
      <c r="F227" t="s">
        <v>63</v>
      </c>
      <c r="G227" t="s">
        <v>25</v>
      </c>
      <c r="H227" t="str">
        <f t="shared" si="6"/>
        <v xml:space="preserve">ESTACIONAMENTO_JR3 SERVIÇOS)_NOVA TRIUNFO ADM | Recorrência: | Observações: </v>
      </c>
      <c r="I227" t="s">
        <v>26</v>
      </c>
      <c r="J227" s="5">
        <v>-195.06</v>
      </c>
      <c r="K227" s="4">
        <v>503235.14</v>
      </c>
      <c r="L227" t="s">
        <v>27</v>
      </c>
      <c r="M227" s="5">
        <v>-195.06</v>
      </c>
      <c r="N227" s="3">
        <v>0</v>
      </c>
      <c r="O227" t="s">
        <v>565</v>
      </c>
      <c r="P227" t="s">
        <v>495</v>
      </c>
      <c r="Q227" t="s">
        <v>565</v>
      </c>
      <c r="R227" t="str">
        <f t="shared" si="7"/>
        <v>Sim</v>
      </c>
      <c r="S227" t="s">
        <v>565</v>
      </c>
      <c r="T227" t="s">
        <v>30</v>
      </c>
      <c r="U227" t="s">
        <v>340</v>
      </c>
      <c r="V227" s="3">
        <v>-195.06</v>
      </c>
    </row>
    <row r="228" spans="1:24" s="2" customFormat="1" x14ac:dyDescent="0.2">
      <c r="A228" s="2">
        <v>228</v>
      </c>
      <c r="B228" t="s">
        <v>106</v>
      </c>
      <c r="C228" t="s">
        <v>107</v>
      </c>
      <c r="D228" t="s">
        <v>118</v>
      </c>
      <c r="E228" t="s">
        <v>30</v>
      </c>
      <c r="F228" t="s">
        <v>24</v>
      </c>
      <c r="G228" t="s">
        <v>25</v>
      </c>
      <c r="H228" t="str">
        <f t="shared" si="6"/>
        <v>JRJ TECIDOS_ROTERGAN TECIDOS  | Recorrência: | Observações: PEDIDO 76082 - nf 164</v>
      </c>
      <c r="I228" t="s">
        <v>26</v>
      </c>
      <c r="J228" s="4">
        <v>96</v>
      </c>
      <c r="K228" s="4">
        <v>503331.14</v>
      </c>
      <c r="L228" t="s">
        <v>27</v>
      </c>
      <c r="M228" s="4">
        <v>96</v>
      </c>
      <c r="N228" s="3">
        <v>0</v>
      </c>
      <c r="O228" t="s">
        <v>565</v>
      </c>
      <c r="P228" t="s">
        <v>296</v>
      </c>
      <c r="Q228" t="s">
        <v>535</v>
      </c>
      <c r="R228" t="str">
        <f t="shared" si="7"/>
        <v>Sim</v>
      </c>
      <c r="S228" t="s">
        <v>535</v>
      </c>
      <c r="T228" t="s">
        <v>569</v>
      </c>
      <c r="U228" t="s">
        <v>49</v>
      </c>
      <c r="V228" s="3">
        <v>96</v>
      </c>
      <c r="W228" t="s">
        <v>49</v>
      </c>
      <c r="X228" s="3">
        <v>96</v>
      </c>
    </row>
    <row r="229" spans="1:24" s="2" customFormat="1" x14ac:dyDescent="0.2">
      <c r="A229">
        <v>229</v>
      </c>
      <c r="B229"/>
      <c r="C229"/>
      <c r="D229" t="s">
        <v>570</v>
      </c>
      <c r="E229" t="s">
        <v>320</v>
      </c>
      <c r="F229" t="s">
        <v>63</v>
      </c>
      <c r="G229" t="s">
        <v>25</v>
      </c>
      <c r="H229" t="str">
        <f t="shared" si="6"/>
        <v xml:space="preserve">CONDOMINIO | Recorrência:1/12 | Observações: </v>
      </c>
      <c r="I229" t="s">
        <v>26</v>
      </c>
      <c r="J229" s="5">
        <v>-473.61</v>
      </c>
      <c r="K229" s="4">
        <v>502857.53</v>
      </c>
      <c r="L229" t="s">
        <v>27</v>
      </c>
      <c r="M229" s="5">
        <v>-473.61</v>
      </c>
      <c r="N229" s="3">
        <v>0</v>
      </c>
      <c r="O229" t="s">
        <v>565</v>
      </c>
      <c r="P229" t="s">
        <v>520</v>
      </c>
      <c r="Q229" t="s">
        <v>567</v>
      </c>
      <c r="R229" t="str">
        <f t="shared" si="7"/>
        <v>Sim</v>
      </c>
      <c r="S229" t="s">
        <v>567</v>
      </c>
      <c r="T229" t="s">
        <v>30</v>
      </c>
      <c r="U229" t="s">
        <v>571</v>
      </c>
      <c r="V229" s="3">
        <v>-473.61</v>
      </c>
    </row>
    <row r="230" spans="1:24" s="2" customFormat="1" x14ac:dyDescent="0.2">
      <c r="A230" s="2">
        <v>230</v>
      </c>
      <c r="B230"/>
      <c r="C230" t="s">
        <v>153</v>
      </c>
      <c r="D230" t="s">
        <v>572</v>
      </c>
      <c r="E230" t="s">
        <v>320</v>
      </c>
      <c r="F230" t="s">
        <v>63</v>
      </c>
      <c r="G230" t="s">
        <v>25</v>
      </c>
      <c r="H230" t="str">
        <f t="shared" si="6"/>
        <v xml:space="preserve">SALARIO FELIPE | Recorrência:1/12 | Observações: </v>
      </c>
      <c r="I230" t="s">
        <v>26</v>
      </c>
      <c r="J230" s="5">
        <v>-875.75</v>
      </c>
      <c r="K230" s="4">
        <v>501981.78</v>
      </c>
      <c r="L230" t="s">
        <v>27</v>
      </c>
      <c r="M230" s="5">
        <v>-875.75</v>
      </c>
      <c r="N230" s="3">
        <v>0</v>
      </c>
      <c r="O230" t="s">
        <v>565</v>
      </c>
      <c r="P230" t="s">
        <v>573</v>
      </c>
      <c r="Q230" t="s">
        <v>565</v>
      </c>
      <c r="R230" t="str">
        <f t="shared" si="7"/>
        <v>Sim</v>
      </c>
      <c r="S230" t="s">
        <v>565</v>
      </c>
      <c r="T230" t="s">
        <v>30</v>
      </c>
      <c r="U230" t="s">
        <v>323</v>
      </c>
      <c r="V230" s="3">
        <v>-875.75</v>
      </c>
      <c r="W230" t="s">
        <v>324</v>
      </c>
      <c r="X230" s="3">
        <v>-875.75</v>
      </c>
    </row>
    <row r="231" spans="1:24" s="2" customFormat="1" x14ac:dyDescent="0.2">
      <c r="A231">
        <v>231</v>
      </c>
      <c r="B231"/>
      <c r="C231" t="s">
        <v>574</v>
      </c>
      <c r="D231" t="s">
        <v>575</v>
      </c>
      <c r="E231" t="s">
        <v>320</v>
      </c>
      <c r="F231" t="s">
        <v>63</v>
      </c>
      <c r="G231" t="s">
        <v>25</v>
      </c>
      <c r="H231" t="str">
        <f t="shared" si="6"/>
        <v>ALUGUEL+CONDOMINIO+IPTU | Recorrência:1/12 | Observações: REF: 11/21_VENC 05/12/21</v>
      </c>
      <c r="I231" t="s">
        <v>26</v>
      </c>
      <c r="J231" s="5">
        <v>-2507.92</v>
      </c>
      <c r="K231" s="4">
        <v>499473.86</v>
      </c>
      <c r="L231" t="s">
        <v>27</v>
      </c>
      <c r="M231" s="5">
        <v>-2507.92</v>
      </c>
      <c r="N231" s="3">
        <v>0</v>
      </c>
      <c r="O231" t="s">
        <v>565</v>
      </c>
      <c r="P231" t="s">
        <v>546</v>
      </c>
      <c r="Q231" t="s">
        <v>567</v>
      </c>
      <c r="R231" t="str">
        <f t="shared" si="7"/>
        <v>Sim</v>
      </c>
      <c r="S231" t="s">
        <v>567</v>
      </c>
      <c r="T231" t="s">
        <v>576</v>
      </c>
      <c r="U231" t="s">
        <v>571</v>
      </c>
      <c r="V231" s="3">
        <v>-2507.92</v>
      </c>
      <c r="W231" t="s">
        <v>577</v>
      </c>
      <c r="X231" s="3">
        <v>-2507.92</v>
      </c>
    </row>
    <row r="232" spans="1:24" s="2" customFormat="1" x14ac:dyDescent="0.2">
      <c r="A232" s="2">
        <v>232</v>
      </c>
      <c r="B232"/>
      <c r="C232" t="s">
        <v>578</v>
      </c>
      <c r="D232" t="s">
        <v>579</v>
      </c>
      <c r="E232" t="s">
        <v>30</v>
      </c>
      <c r="F232" t="s">
        <v>24</v>
      </c>
      <c r="G232" t="s">
        <v>25</v>
      </c>
      <c r="H232" t="str">
        <f t="shared" si="6"/>
        <v xml:space="preserve">HERTZ ESQUADRIAS  | Recorrência: | Observações: Pagamento será realizado após término da obra </v>
      </c>
      <c r="I232" t="s">
        <v>26</v>
      </c>
      <c r="J232" s="4">
        <v>1110</v>
      </c>
      <c r="K232" s="4">
        <v>500583.86</v>
      </c>
      <c r="L232" t="s">
        <v>27</v>
      </c>
      <c r="M232" s="4">
        <v>1110</v>
      </c>
      <c r="N232" s="3">
        <v>0</v>
      </c>
      <c r="O232" t="s">
        <v>337</v>
      </c>
      <c r="P232" t="s">
        <v>503</v>
      </c>
      <c r="Q232" t="s">
        <v>567</v>
      </c>
      <c r="R232" t="str">
        <f t="shared" si="7"/>
        <v>Sim</v>
      </c>
      <c r="S232" t="s">
        <v>567</v>
      </c>
      <c r="T232" t="s">
        <v>580</v>
      </c>
      <c r="U232" t="s">
        <v>49</v>
      </c>
      <c r="V232" s="3">
        <v>1110</v>
      </c>
      <c r="W232" t="s">
        <v>49</v>
      </c>
      <c r="X232" s="3">
        <v>1110</v>
      </c>
    </row>
    <row r="233" spans="1:24" s="2" customFormat="1" x14ac:dyDescent="0.2">
      <c r="A233">
        <v>233</v>
      </c>
      <c r="B233"/>
      <c r="C233" t="s">
        <v>412</v>
      </c>
      <c r="D233" t="s">
        <v>413</v>
      </c>
      <c r="E233" t="s">
        <v>95</v>
      </c>
      <c r="F233" t="s">
        <v>24</v>
      </c>
      <c r="G233" t="s">
        <v>25</v>
      </c>
      <c r="H233" t="str">
        <f t="shared" si="6"/>
        <v xml:space="preserve">ALDEMIRA E OTÁVIO | Recorrência:2/2 | Observações: </v>
      </c>
      <c r="I233" t="s">
        <v>26</v>
      </c>
      <c r="J233" s="6">
        <v>0</v>
      </c>
      <c r="K233" s="4">
        <v>500583.86</v>
      </c>
      <c r="L233" t="s">
        <v>476</v>
      </c>
      <c r="M233" s="4">
        <v>7000</v>
      </c>
      <c r="N233" s="3">
        <v>0</v>
      </c>
      <c r="O233" t="s">
        <v>337</v>
      </c>
      <c r="P233" t="s">
        <v>523</v>
      </c>
      <c r="Q233" t="s">
        <v>337</v>
      </c>
      <c r="R233" t="str">
        <f t="shared" si="7"/>
        <v>Sim</v>
      </c>
      <c r="S233" t="s">
        <v>337</v>
      </c>
      <c r="T233" t="s">
        <v>30</v>
      </c>
      <c r="U233" t="s">
        <v>31</v>
      </c>
      <c r="V233" s="3">
        <v>0</v>
      </c>
      <c r="W233" t="s">
        <v>32</v>
      </c>
      <c r="X233" s="3">
        <v>0</v>
      </c>
    </row>
    <row r="234" spans="1:24" s="2" customFormat="1" x14ac:dyDescent="0.2">
      <c r="A234" s="2">
        <v>234</v>
      </c>
      <c r="B234"/>
      <c r="C234" t="s">
        <v>153</v>
      </c>
      <c r="D234" t="s">
        <v>151</v>
      </c>
      <c r="E234" t="s">
        <v>30</v>
      </c>
      <c r="F234" t="s">
        <v>63</v>
      </c>
      <c r="G234" t="s">
        <v>25</v>
      </c>
      <c r="H234" t="str">
        <f t="shared" si="6"/>
        <v xml:space="preserve">SODEXO - Eliane  | Recorrência: | Observações: </v>
      </c>
      <c r="I234" t="s">
        <v>26</v>
      </c>
      <c r="J234" s="5">
        <v>-432</v>
      </c>
      <c r="K234" s="4">
        <v>500151.86</v>
      </c>
      <c r="L234" t="s">
        <v>27</v>
      </c>
      <c r="M234" s="5">
        <v>-432</v>
      </c>
      <c r="N234" s="3">
        <v>0</v>
      </c>
      <c r="O234" t="s">
        <v>581</v>
      </c>
      <c r="P234" t="s">
        <v>522</v>
      </c>
      <c r="Q234" t="s">
        <v>582</v>
      </c>
      <c r="R234" t="str">
        <f t="shared" si="7"/>
        <v>Sim</v>
      </c>
      <c r="S234" t="s">
        <v>582</v>
      </c>
      <c r="T234" t="s">
        <v>30</v>
      </c>
      <c r="U234" t="s">
        <v>93</v>
      </c>
      <c r="V234" s="3">
        <v>-432</v>
      </c>
      <c r="W234" t="s">
        <v>331</v>
      </c>
      <c r="X234" s="3">
        <v>-432</v>
      </c>
    </row>
    <row r="235" spans="1:24" s="2" customFormat="1" x14ac:dyDescent="0.2">
      <c r="A235">
        <v>235</v>
      </c>
      <c r="B235"/>
      <c r="C235"/>
      <c r="D235" t="s">
        <v>584</v>
      </c>
      <c r="E235" t="s">
        <v>30</v>
      </c>
      <c r="F235" t="s">
        <v>63</v>
      </c>
      <c r="G235" t="s">
        <v>25</v>
      </c>
      <c r="H235" t="str">
        <f t="shared" si="6"/>
        <v xml:space="preserve">INTERBUY CARDS CRIAÇÃO GRÁFICA  | Recorrência: | Observações: CARTÕES  PARA LEMBRANCINHA DE NATAL </v>
      </c>
      <c r="I235" t="s">
        <v>26</v>
      </c>
      <c r="J235" s="5">
        <v>-290</v>
      </c>
      <c r="K235" s="4">
        <v>499861.86</v>
      </c>
      <c r="L235" t="s">
        <v>27</v>
      </c>
      <c r="M235" s="5">
        <v>-290</v>
      </c>
      <c r="N235" s="3">
        <v>0</v>
      </c>
      <c r="O235" t="s">
        <v>583</v>
      </c>
      <c r="P235" t="s">
        <v>585</v>
      </c>
      <c r="Q235" t="s">
        <v>583</v>
      </c>
      <c r="R235" t="str">
        <f t="shared" si="7"/>
        <v>Sim</v>
      </c>
      <c r="S235" t="s">
        <v>583</v>
      </c>
      <c r="T235" t="s">
        <v>586</v>
      </c>
      <c r="U235" t="s">
        <v>158</v>
      </c>
      <c r="V235" s="3">
        <v>-290</v>
      </c>
      <c r="W235" t="s">
        <v>158</v>
      </c>
      <c r="X235" s="3">
        <v>-290</v>
      </c>
    </row>
    <row r="236" spans="1:24" s="2" customFormat="1" x14ac:dyDescent="0.2">
      <c r="A236" s="2">
        <v>236</v>
      </c>
      <c r="B236"/>
      <c r="C236" t="s">
        <v>101</v>
      </c>
      <c r="D236" t="s">
        <v>201</v>
      </c>
      <c r="E236" t="s">
        <v>30</v>
      </c>
      <c r="F236" t="s">
        <v>24</v>
      </c>
      <c r="G236" t="s">
        <v>25</v>
      </c>
      <c r="H236" t="str">
        <f t="shared" si="6"/>
        <v>PORMADE (DRZ PORTAS ECOLOGICAS) | Recorrência: | Observações: BONIFICAÇÃO</v>
      </c>
      <c r="I236" t="s">
        <v>26</v>
      </c>
      <c r="J236" s="4">
        <v>623.16999999999996</v>
      </c>
      <c r="K236" s="4">
        <v>500485.03</v>
      </c>
      <c r="L236" t="s">
        <v>27</v>
      </c>
      <c r="M236" s="4">
        <v>623.16999999999996</v>
      </c>
      <c r="N236" s="3">
        <v>0</v>
      </c>
      <c r="O236" t="s">
        <v>587</v>
      </c>
      <c r="P236" t="s">
        <v>522</v>
      </c>
      <c r="Q236" t="s">
        <v>588</v>
      </c>
      <c r="R236" t="str">
        <f t="shared" si="7"/>
        <v>Sim</v>
      </c>
      <c r="S236" t="s">
        <v>588</v>
      </c>
      <c r="T236" t="s">
        <v>203</v>
      </c>
      <c r="U236" t="s">
        <v>49</v>
      </c>
      <c r="V236" s="3">
        <v>623.16999999999996</v>
      </c>
      <c r="W236" t="s">
        <v>49</v>
      </c>
      <c r="X236" s="3">
        <v>623.16999999999996</v>
      </c>
    </row>
    <row r="237" spans="1:24" s="2" customFormat="1" x14ac:dyDescent="0.2">
      <c r="A237">
        <v>237</v>
      </c>
      <c r="B237"/>
      <c r="C237" t="s">
        <v>251</v>
      </c>
      <c r="D237" t="s">
        <v>590</v>
      </c>
      <c r="E237" t="s">
        <v>30</v>
      </c>
      <c r="F237" t="s">
        <v>24</v>
      </c>
      <c r="G237" t="s">
        <v>25</v>
      </c>
      <c r="H237" t="str">
        <f t="shared" si="6"/>
        <v xml:space="preserve">ANA E MARCOS FORTUNATO_SUITE ISABELLA | Recorrência: | Observações: </v>
      </c>
      <c r="I237" t="s">
        <v>26</v>
      </c>
      <c r="J237" s="4">
        <v>5625.5</v>
      </c>
      <c r="K237" s="4">
        <v>506110.53</v>
      </c>
      <c r="L237" t="s">
        <v>27</v>
      </c>
      <c r="M237" s="4">
        <v>5625.5</v>
      </c>
      <c r="N237" s="3">
        <v>0</v>
      </c>
      <c r="O237" t="s">
        <v>589</v>
      </c>
      <c r="P237" t="s">
        <v>534</v>
      </c>
      <c r="Q237" t="s">
        <v>589</v>
      </c>
      <c r="R237" t="str">
        <f t="shared" si="7"/>
        <v>Sim</v>
      </c>
      <c r="S237" t="s">
        <v>589</v>
      </c>
      <c r="T237" t="s">
        <v>30</v>
      </c>
      <c r="U237" t="s">
        <v>274</v>
      </c>
      <c r="V237" s="3">
        <v>5625.5</v>
      </c>
      <c r="W237" t="s">
        <v>166</v>
      </c>
      <c r="X237" s="3">
        <v>5625.5</v>
      </c>
    </row>
    <row r="238" spans="1:24" s="2" customFormat="1" x14ac:dyDescent="0.2">
      <c r="A238" s="2">
        <v>238</v>
      </c>
      <c r="B238"/>
      <c r="C238" t="s">
        <v>592</v>
      </c>
      <c r="D238" t="s">
        <v>175</v>
      </c>
      <c r="E238" t="s">
        <v>30</v>
      </c>
      <c r="F238" t="s">
        <v>24</v>
      </c>
      <c r="G238" t="s">
        <v>25</v>
      </c>
      <c r="H238" t="str">
        <f t="shared" si="6"/>
        <v xml:space="preserve">PORTOBELLO (PBTECH E SERV) | Recorrência: | Observações: REFERENTE RT MÊS DE OUTUBRO </v>
      </c>
      <c r="I238" t="s">
        <v>26</v>
      </c>
      <c r="J238" s="4">
        <v>999.47</v>
      </c>
      <c r="K238" s="4">
        <v>507110</v>
      </c>
      <c r="L238" t="s">
        <v>27</v>
      </c>
      <c r="M238" s="4">
        <v>999.47</v>
      </c>
      <c r="N238" s="3">
        <v>0</v>
      </c>
      <c r="O238" t="s">
        <v>591</v>
      </c>
      <c r="P238" t="s">
        <v>537</v>
      </c>
      <c r="Q238" t="s">
        <v>537</v>
      </c>
      <c r="R238" t="str">
        <f t="shared" si="7"/>
        <v>Sim</v>
      </c>
      <c r="S238" t="s">
        <v>537</v>
      </c>
      <c r="T238" t="s">
        <v>593</v>
      </c>
      <c r="U238" t="s">
        <v>49</v>
      </c>
      <c r="V238" s="3">
        <v>999.47</v>
      </c>
      <c r="W238" t="s">
        <v>49</v>
      </c>
      <c r="X238" s="3">
        <v>999.47</v>
      </c>
    </row>
    <row r="239" spans="1:24" s="2" customFormat="1" x14ac:dyDescent="0.2">
      <c r="A239">
        <v>239</v>
      </c>
      <c r="B239"/>
      <c r="C239" t="s">
        <v>595</v>
      </c>
      <c r="D239" t="s">
        <v>595</v>
      </c>
      <c r="E239" t="s">
        <v>30</v>
      </c>
      <c r="F239" t="s">
        <v>63</v>
      </c>
      <c r="G239" t="s">
        <v>25</v>
      </c>
      <c r="H239" t="str">
        <f t="shared" si="6"/>
        <v xml:space="preserve">DOMINGOS DE JESUS COLONHESI | Recorrência: | Observações: </v>
      </c>
      <c r="I239" t="s">
        <v>26</v>
      </c>
      <c r="J239" s="5">
        <v>-2308.5500000000002</v>
      </c>
      <c r="K239" s="4">
        <v>504801.45</v>
      </c>
      <c r="L239" t="s">
        <v>27</v>
      </c>
      <c r="M239" s="5">
        <v>-2308.5500000000002</v>
      </c>
      <c r="N239" s="3">
        <v>0</v>
      </c>
      <c r="O239" t="s">
        <v>594</v>
      </c>
      <c r="P239" t="s">
        <v>591</v>
      </c>
      <c r="Q239" t="s">
        <v>594</v>
      </c>
      <c r="R239" t="str">
        <f t="shared" si="7"/>
        <v>Sim</v>
      </c>
      <c r="S239" t="s">
        <v>594</v>
      </c>
      <c r="T239" t="s">
        <v>30</v>
      </c>
      <c r="U239" t="s">
        <v>344</v>
      </c>
      <c r="V239" s="3">
        <v>-2308.5500000000002</v>
      </c>
      <c r="W239" t="s">
        <v>190</v>
      </c>
      <c r="X239" s="3">
        <v>-2308.5500000000002</v>
      </c>
    </row>
    <row r="240" spans="1:24" s="2" customFormat="1" x14ac:dyDescent="0.2">
      <c r="A240" s="2">
        <v>240</v>
      </c>
      <c r="B240"/>
      <c r="C240"/>
      <c r="D240" t="s">
        <v>596</v>
      </c>
      <c r="E240" t="s">
        <v>30</v>
      </c>
      <c r="F240" t="s">
        <v>63</v>
      </c>
      <c r="G240" t="s">
        <v>25</v>
      </c>
      <c r="H240" t="str">
        <f t="shared" si="6"/>
        <v xml:space="preserve">SALÁRIO FECHAMENTO_ RENATA RISO  | Recorrência: | Observações: </v>
      </c>
      <c r="I240" t="s">
        <v>26</v>
      </c>
      <c r="J240" s="5">
        <v>-1941</v>
      </c>
      <c r="K240" s="4">
        <v>502860.45</v>
      </c>
      <c r="L240" t="s">
        <v>27</v>
      </c>
      <c r="M240" s="5">
        <v>-1941</v>
      </c>
      <c r="N240" s="3">
        <v>0</v>
      </c>
      <c r="O240" t="s">
        <v>594</v>
      </c>
      <c r="P240" t="s">
        <v>589</v>
      </c>
      <c r="Q240" t="s">
        <v>594</v>
      </c>
      <c r="R240" t="str">
        <f t="shared" si="7"/>
        <v>Sim</v>
      </c>
      <c r="S240" t="s">
        <v>594</v>
      </c>
      <c r="T240" t="s">
        <v>30</v>
      </c>
      <c r="U240" t="s">
        <v>550</v>
      </c>
      <c r="V240" s="3">
        <v>-1941</v>
      </c>
    </row>
    <row r="241" spans="1:24" s="2" customFormat="1" x14ac:dyDescent="0.2">
      <c r="A241">
        <v>241</v>
      </c>
      <c r="B241"/>
      <c r="C241"/>
      <c r="D241" t="s">
        <v>597</v>
      </c>
      <c r="E241" t="s">
        <v>30</v>
      </c>
      <c r="F241" t="s">
        <v>63</v>
      </c>
      <c r="G241" t="s">
        <v>25</v>
      </c>
      <c r="H241" t="str">
        <f t="shared" si="6"/>
        <v xml:space="preserve">13ºSALÁRIO - 2a Parcela | Recorrência: | Observações: </v>
      </c>
      <c r="I241" t="s">
        <v>26</v>
      </c>
      <c r="J241" s="5">
        <v>-580.75</v>
      </c>
      <c r="K241" s="4">
        <v>502279.7</v>
      </c>
      <c r="L241" t="s">
        <v>27</v>
      </c>
      <c r="M241" s="5">
        <v>-580.75</v>
      </c>
      <c r="N241" s="3">
        <v>0</v>
      </c>
      <c r="O241" t="s">
        <v>594</v>
      </c>
      <c r="P241" t="s">
        <v>565</v>
      </c>
      <c r="Q241" t="s">
        <v>598</v>
      </c>
      <c r="R241" t="str">
        <f t="shared" si="7"/>
        <v>Sim</v>
      </c>
      <c r="S241" t="s">
        <v>598</v>
      </c>
      <c r="T241" t="s">
        <v>30</v>
      </c>
      <c r="U241" t="s">
        <v>599</v>
      </c>
      <c r="V241" s="3">
        <v>-580.75</v>
      </c>
    </row>
    <row r="242" spans="1:24" s="2" customFormat="1" x14ac:dyDescent="0.2">
      <c r="A242" s="2">
        <v>242</v>
      </c>
      <c r="B242"/>
      <c r="C242"/>
      <c r="D242" t="s">
        <v>467</v>
      </c>
      <c r="E242" t="s">
        <v>30</v>
      </c>
      <c r="F242" t="s">
        <v>63</v>
      </c>
      <c r="G242" t="s">
        <v>25</v>
      </c>
      <c r="H242" t="str">
        <f t="shared" si="6"/>
        <v>DARF | Recorrência: | Observações: GUIA INSS = DARF</v>
      </c>
      <c r="I242" t="s">
        <v>26</v>
      </c>
      <c r="J242" s="5">
        <v>-503.67</v>
      </c>
      <c r="K242" s="4">
        <v>501776.03</v>
      </c>
      <c r="L242" t="s">
        <v>27</v>
      </c>
      <c r="M242" s="5">
        <v>-503.67</v>
      </c>
      <c r="N242" s="3">
        <v>0</v>
      </c>
      <c r="O242" t="s">
        <v>594</v>
      </c>
      <c r="P242" t="s">
        <v>598</v>
      </c>
      <c r="Q242" t="s">
        <v>598</v>
      </c>
      <c r="R242" t="str">
        <f t="shared" si="7"/>
        <v>Sim</v>
      </c>
      <c r="S242" t="s">
        <v>598</v>
      </c>
      <c r="T242" t="s">
        <v>600</v>
      </c>
      <c r="U242" t="s">
        <v>601</v>
      </c>
      <c r="V242" s="3">
        <v>-503.67</v>
      </c>
    </row>
    <row r="243" spans="1:24" s="2" customFormat="1" x14ac:dyDescent="0.2">
      <c r="A243">
        <v>243</v>
      </c>
      <c r="B243"/>
      <c r="C243" t="s">
        <v>304</v>
      </c>
      <c r="D243" t="s">
        <v>47</v>
      </c>
      <c r="E243" t="s">
        <v>425</v>
      </c>
      <c r="F243" t="s">
        <v>24</v>
      </c>
      <c r="G243" t="s">
        <v>25</v>
      </c>
      <c r="H243" t="str">
        <f t="shared" si="6"/>
        <v>SILVESTRE VIDROS | Recorrência:6/6 | Observações: Pedido 44192</v>
      </c>
      <c r="I243" t="s">
        <v>26</v>
      </c>
      <c r="J243" s="4">
        <v>184.05</v>
      </c>
      <c r="K243" s="4">
        <v>501960.08</v>
      </c>
      <c r="L243" t="s">
        <v>27</v>
      </c>
      <c r="M243" s="4">
        <v>184.05</v>
      </c>
      <c r="N243" s="3">
        <v>0</v>
      </c>
      <c r="O243" t="s">
        <v>602</v>
      </c>
      <c r="P243" t="s">
        <v>531</v>
      </c>
      <c r="Q243" t="s">
        <v>598</v>
      </c>
      <c r="R243" t="str">
        <f t="shared" si="7"/>
        <v>Sim</v>
      </c>
      <c r="S243" t="s">
        <v>598</v>
      </c>
      <c r="T243" t="s">
        <v>305</v>
      </c>
      <c r="U243" t="s">
        <v>49</v>
      </c>
      <c r="V243" s="3">
        <v>184.05</v>
      </c>
      <c r="W243" t="s">
        <v>49</v>
      </c>
      <c r="X243" s="3">
        <v>184.05</v>
      </c>
    </row>
    <row r="244" spans="1:24" s="2" customFormat="1" x14ac:dyDescent="0.2">
      <c r="A244" s="2">
        <v>244</v>
      </c>
      <c r="B244"/>
      <c r="C244"/>
      <c r="D244" t="s">
        <v>603</v>
      </c>
      <c r="E244" t="s">
        <v>30</v>
      </c>
      <c r="F244" t="s">
        <v>63</v>
      </c>
      <c r="G244" t="s">
        <v>25</v>
      </c>
      <c r="H244" t="str">
        <f t="shared" si="6"/>
        <v xml:space="preserve">MERCADO PAGO  | Recorrência: | Observações: </v>
      </c>
      <c r="I244" t="s">
        <v>26</v>
      </c>
      <c r="J244" s="5">
        <v>-873.69</v>
      </c>
      <c r="K244" s="4">
        <v>501086.39</v>
      </c>
      <c r="L244" t="s">
        <v>27</v>
      </c>
      <c r="M244" s="5">
        <v>-873.69</v>
      </c>
      <c r="N244" s="3">
        <v>0</v>
      </c>
      <c r="O244" t="s">
        <v>602</v>
      </c>
      <c r="P244" t="s">
        <v>598</v>
      </c>
      <c r="Q244" t="s">
        <v>598</v>
      </c>
      <c r="R244" t="str">
        <f t="shared" si="7"/>
        <v>Sim</v>
      </c>
      <c r="S244" t="s">
        <v>598</v>
      </c>
      <c r="T244" t="s">
        <v>30</v>
      </c>
      <c r="U244" t="s">
        <v>158</v>
      </c>
      <c r="V244" s="3">
        <v>-873.69</v>
      </c>
    </row>
    <row r="245" spans="1:24" s="2" customFormat="1" x14ac:dyDescent="0.2">
      <c r="A245">
        <v>245</v>
      </c>
      <c r="B245"/>
      <c r="C245"/>
      <c r="D245" t="s">
        <v>151</v>
      </c>
      <c r="E245" t="s">
        <v>320</v>
      </c>
      <c r="F245" t="s">
        <v>63</v>
      </c>
      <c r="G245" t="s">
        <v>25</v>
      </c>
      <c r="H245" t="str">
        <f t="shared" si="6"/>
        <v xml:space="preserve">SODEXO - Eliane  | Recorrência:1/12 | Observações: </v>
      </c>
      <c r="I245" t="s">
        <v>26</v>
      </c>
      <c r="J245" s="5">
        <v>-540</v>
      </c>
      <c r="K245" s="4">
        <v>500546.39</v>
      </c>
      <c r="L245" t="s">
        <v>27</v>
      </c>
      <c r="M245" s="5">
        <v>-540</v>
      </c>
      <c r="N245" s="3">
        <v>0</v>
      </c>
      <c r="O245" t="s">
        <v>598</v>
      </c>
      <c r="P245" t="s">
        <v>598</v>
      </c>
      <c r="Q245" t="s">
        <v>604</v>
      </c>
      <c r="R245" t="str">
        <f t="shared" si="7"/>
        <v>Sim</v>
      </c>
      <c r="S245" t="s">
        <v>604</v>
      </c>
      <c r="T245" t="s">
        <v>30</v>
      </c>
      <c r="U245" t="s">
        <v>93</v>
      </c>
      <c r="V245" s="3">
        <v>-540</v>
      </c>
    </row>
    <row r="246" spans="1:24" s="2" customFormat="1" x14ac:dyDescent="0.2">
      <c r="A246" s="2">
        <v>246</v>
      </c>
      <c r="B246"/>
      <c r="C246"/>
      <c r="D246" t="s">
        <v>605</v>
      </c>
      <c r="E246" t="s">
        <v>30</v>
      </c>
      <c r="F246" t="s">
        <v>63</v>
      </c>
      <c r="G246" t="s">
        <v>25</v>
      </c>
      <c r="H246" t="str">
        <f t="shared" si="6"/>
        <v xml:space="preserve">LUZ - NEW STATION_VILA CLEMENTINO | Recorrência: | Observações: ULTIMA CONTA LUZ NEW STATION </v>
      </c>
      <c r="I246" t="s">
        <v>26</v>
      </c>
      <c r="J246" s="5">
        <v>-323.23</v>
      </c>
      <c r="K246" s="4">
        <v>500223.16</v>
      </c>
      <c r="L246" t="s">
        <v>27</v>
      </c>
      <c r="M246" s="5">
        <v>-323.23</v>
      </c>
      <c r="N246" s="3">
        <v>0</v>
      </c>
      <c r="O246" t="s">
        <v>598</v>
      </c>
      <c r="P246" t="s">
        <v>598</v>
      </c>
      <c r="Q246" t="s">
        <v>582</v>
      </c>
      <c r="R246" t="str">
        <f t="shared" si="7"/>
        <v>Sim</v>
      </c>
      <c r="S246" t="s">
        <v>582</v>
      </c>
      <c r="T246" t="s">
        <v>606</v>
      </c>
      <c r="U246" t="s">
        <v>125</v>
      </c>
      <c r="V246" s="3">
        <v>-323.23</v>
      </c>
    </row>
    <row r="247" spans="1:24" s="2" customFormat="1" x14ac:dyDescent="0.2">
      <c r="A247">
        <v>247</v>
      </c>
      <c r="B247"/>
      <c r="C247"/>
      <c r="D247" t="s">
        <v>607</v>
      </c>
      <c r="E247" t="s">
        <v>30</v>
      </c>
      <c r="F247" t="s">
        <v>63</v>
      </c>
      <c r="G247" t="s">
        <v>25</v>
      </c>
      <c r="H247" t="str">
        <f t="shared" si="6"/>
        <v xml:space="preserve">CONTABILIDADE  | Recorrência: | Observações: </v>
      </c>
      <c r="I247" t="s">
        <v>26</v>
      </c>
      <c r="J247" s="5">
        <v>-740</v>
      </c>
      <c r="K247" s="4">
        <v>499483.16</v>
      </c>
      <c r="L247" t="s">
        <v>27</v>
      </c>
      <c r="M247" s="5">
        <v>-740</v>
      </c>
      <c r="N247" s="3">
        <v>0</v>
      </c>
      <c r="O247" t="s">
        <v>598</v>
      </c>
      <c r="P247" t="s">
        <v>567</v>
      </c>
      <c r="Q247" t="s">
        <v>598</v>
      </c>
      <c r="R247" t="str">
        <f t="shared" si="7"/>
        <v>Sim</v>
      </c>
      <c r="S247" t="s">
        <v>598</v>
      </c>
      <c r="T247" t="s">
        <v>30</v>
      </c>
      <c r="U247" t="s">
        <v>608</v>
      </c>
      <c r="V247" s="3">
        <v>-740</v>
      </c>
    </row>
    <row r="248" spans="1:24" s="2" customFormat="1" x14ac:dyDescent="0.2">
      <c r="A248" s="2">
        <v>248</v>
      </c>
      <c r="B248"/>
      <c r="C248" t="s">
        <v>386</v>
      </c>
      <c r="D248" t="s">
        <v>386</v>
      </c>
      <c r="E248" t="s">
        <v>58</v>
      </c>
      <c r="F248" t="s">
        <v>24</v>
      </c>
      <c r="G248" t="s">
        <v>25</v>
      </c>
      <c r="H248" t="str">
        <f t="shared" si="6"/>
        <v xml:space="preserve">GABRIELA BORGES | Recorrência:1/6 | Observações: Pago junto com Projeto </v>
      </c>
      <c r="I248" t="s">
        <v>26</v>
      </c>
      <c r="J248" s="4">
        <v>10100</v>
      </c>
      <c r="K248" s="4">
        <v>509583.16</v>
      </c>
      <c r="L248" t="s">
        <v>27</v>
      </c>
      <c r="M248" s="4">
        <v>10100</v>
      </c>
      <c r="N248" s="3">
        <v>0</v>
      </c>
      <c r="O248" t="s">
        <v>598</v>
      </c>
      <c r="P248" t="s">
        <v>598</v>
      </c>
      <c r="Q248" t="s">
        <v>609</v>
      </c>
      <c r="R248" t="str">
        <f t="shared" si="7"/>
        <v>Sim</v>
      </c>
      <c r="S248" t="s">
        <v>609</v>
      </c>
      <c r="T248" t="s">
        <v>610</v>
      </c>
      <c r="U248" t="s">
        <v>274</v>
      </c>
      <c r="V248" s="3">
        <v>10100</v>
      </c>
    </row>
    <row r="249" spans="1:24" s="2" customFormat="1" x14ac:dyDescent="0.2">
      <c r="A249">
        <v>249</v>
      </c>
      <c r="B249" t="s">
        <v>106</v>
      </c>
      <c r="C249" t="s">
        <v>107</v>
      </c>
      <c r="D249" t="s">
        <v>611</v>
      </c>
      <c r="E249" t="s">
        <v>30</v>
      </c>
      <c r="F249" t="s">
        <v>24</v>
      </c>
      <c r="G249" t="s">
        <v>25</v>
      </c>
      <c r="H249" t="str">
        <f t="shared" si="6"/>
        <v xml:space="preserve">BY KAMY | Recorrência: | Observações: </v>
      </c>
      <c r="I249" t="s">
        <v>26</v>
      </c>
      <c r="J249" s="4">
        <v>1191.8900000000001</v>
      </c>
      <c r="K249" s="4">
        <v>510775.05</v>
      </c>
      <c r="L249" t="s">
        <v>27</v>
      </c>
      <c r="M249" s="4">
        <v>1191.8900000000001</v>
      </c>
      <c r="N249" s="3">
        <v>0</v>
      </c>
      <c r="O249" t="s">
        <v>598</v>
      </c>
      <c r="P249" t="s">
        <v>427</v>
      </c>
      <c r="Q249" t="s">
        <v>585</v>
      </c>
      <c r="R249" t="str">
        <f t="shared" si="7"/>
        <v>Sim</v>
      </c>
      <c r="S249" t="s">
        <v>585</v>
      </c>
      <c r="T249" t="s">
        <v>30</v>
      </c>
      <c r="U249" t="s">
        <v>49</v>
      </c>
      <c r="V249" s="3">
        <v>1191.8900000000001</v>
      </c>
      <c r="W249" t="s">
        <v>49</v>
      </c>
      <c r="X249" s="3">
        <v>1191.8900000000001</v>
      </c>
    </row>
    <row r="250" spans="1:24" s="2" customFormat="1" x14ac:dyDescent="0.2">
      <c r="A250" s="2">
        <v>250</v>
      </c>
      <c r="B250"/>
      <c r="C250" t="s">
        <v>153</v>
      </c>
      <c r="D250" t="s">
        <v>159</v>
      </c>
      <c r="E250" t="s">
        <v>30</v>
      </c>
      <c r="F250" t="s">
        <v>63</v>
      </c>
      <c r="G250" t="s">
        <v>25</v>
      </c>
      <c r="H250" t="str">
        <f t="shared" si="6"/>
        <v>DIARISTA JULIANA  | Recorrência: | Observações: Ref:04 diárias &gt; 30nov-08-15-22dez</v>
      </c>
      <c r="I250" t="s">
        <v>26</v>
      </c>
      <c r="J250" s="5">
        <v>-470</v>
      </c>
      <c r="K250" s="4">
        <v>510305.05</v>
      </c>
      <c r="L250" t="s">
        <v>27</v>
      </c>
      <c r="M250" s="5">
        <v>-470</v>
      </c>
      <c r="N250" s="3">
        <v>0</v>
      </c>
      <c r="O250" t="s">
        <v>612</v>
      </c>
      <c r="P250" t="s">
        <v>565</v>
      </c>
      <c r="Q250" t="s">
        <v>613</v>
      </c>
      <c r="R250" t="str">
        <f t="shared" si="7"/>
        <v>Sim</v>
      </c>
      <c r="S250" t="s">
        <v>613</v>
      </c>
      <c r="T250" t="s">
        <v>614</v>
      </c>
      <c r="U250" t="s">
        <v>158</v>
      </c>
      <c r="V250" s="3">
        <v>-470</v>
      </c>
      <c r="W250" t="s">
        <v>158</v>
      </c>
      <c r="X250" s="3">
        <v>-470</v>
      </c>
    </row>
    <row r="251" spans="1:24" s="2" customFormat="1" x14ac:dyDescent="0.2">
      <c r="A251">
        <v>251</v>
      </c>
      <c r="B251"/>
      <c r="C251"/>
      <c r="D251" t="s">
        <v>615</v>
      </c>
      <c r="E251" t="s">
        <v>30</v>
      </c>
      <c r="F251" t="s">
        <v>63</v>
      </c>
      <c r="G251" t="s">
        <v>25</v>
      </c>
      <c r="H251" t="str">
        <f t="shared" si="6"/>
        <v xml:space="preserve">CONTABILIDADE - 13º Mensalidade | Recorrência: | Observações: </v>
      </c>
      <c r="I251" t="s">
        <v>26</v>
      </c>
      <c r="J251" s="5">
        <v>-740</v>
      </c>
      <c r="K251" s="4">
        <v>509565.05</v>
      </c>
      <c r="L251" t="s">
        <v>27</v>
      </c>
      <c r="M251" s="5">
        <v>-740</v>
      </c>
      <c r="N251" s="3">
        <v>0</v>
      </c>
      <c r="O251" t="s">
        <v>612</v>
      </c>
      <c r="P251" t="s">
        <v>612</v>
      </c>
      <c r="Q251" t="s">
        <v>616</v>
      </c>
      <c r="R251" t="str">
        <f t="shared" si="7"/>
        <v>Sim</v>
      </c>
      <c r="S251" t="s">
        <v>616</v>
      </c>
      <c r="T251" t="s">
        <v>30</v>
      </c>
      <c r="U251" t="s">
        <v>608</v>
      </c>
      <c r="V251" s="3">
        <v>-740</v>
      </c>
    </row>
    <row r="252" spans="1:24" s="2" customFormat="1" x14ac:dyDescent="0.2">
      <c r="A252" s="2">
        <v>252</v>
      </c>
      <c r="B252"/>
      <c r="C252"/>
      <c r="D252" t="s">
        <v>595</v>
      </c>
      <c r="E252" t="s">
        <v>30</v>
      </c>
      <c r="F252" t="s">
        <v>63</v>
      </c>
      <c r="G252" t="s">
        <v>25</v>
      </c>
      <c r="H252" t="str">
        <f t="shared" si="6"/>
        <v xml:space="preserve">DOMINGOS DE JESUS COLONHESI | Recorrência: | Observações: </v>
      </c>
      <c r="I252" t="s">
        <v>26</v>
      </c>
      <c r="J252" s="5">
        <v>-335</v>
      </c>
      <c r="K252" s="4">
        <v>509230.05</v>
      </c>
      <c r="L252" t="s">
        <v>27</v>
      </c>
      <c r="M252" s="5">
        <v>-335</v>
      </c>
      <c r="N252" s="3">
        <v>0</v>
      </c>
      <c r="O252" t="s">
        <v>612</v>
      </c>
      <c r="P252" t="s">
        <v>598</v>
      </c>
      <c r="Q252" t="s">
        <v>612</v>
      </c>
      <c r="R252" t="str">
        <f t="shared" si="7"/>
        <v>Sim</v>
      </c>
      <c r="S252" t="s">
        <v>612</v>
      </c>
      <c r="T252" t="s">
        <v>30</v>
      </c>
      <c r="U252" t="s">
        <v>344</v>
      </c>
      <c r="V252" s="3">
        <v>-335</v>
      </c>
    </row>
    <row r="253" spans="1:24" s="2" customFormat="1" x14ac:dyDescent="0.2">
      <c r="A253">
        <v>253</v>
      </c>
      <c r="B253"/>
      <c r="C253" t="s">
        <v>512</v>
      </c>
      <c r="D253" t="s">
        <v>325</v>
      </c>
      <c r="E253" t="s">
        <v>73</v>
      </c>
      <c r="F253" t="s">
        <v>24</v>
      </c>
      <c r="G253" t="s">
        <v>25</v>
      </c>
      <c r="H253" t="str">
        <f t="shared" si="6"/>
        <v>VIA MADEIRA (HAEHLING) | Recorrência:1/5 | Observações: pedido 18/10 - 92.000,00</v>
      </c>
      <c r="I253" t="s">
        <v>26</v>
      </c>
      <c r="J253" s="4">
        <v>1840</v>
      </c>
      <c r="K253" s="4">
        <v>511070.05</v>
      </c>
      <c r="L253" t="s">
        <v>27</v>
      </c>
      <c r="M253" s="4">
        <v>1840</v>
      </c>
      <c r="N253" s="3">
        <v>0</v>
      </c>
      <c r="O253" t="s">
        <v>616</v>
      </c>
      <c r="P253" t="s">
        <v>485</v>
      </c>
      <c r="Q253" t="s">
        <v>616</v>
      </c>
      <c r="R253" t="str">
        <f t="shared" si="7"/>
        <v>Sim</v>
      </c>
      <c r="S253" t="s">
        <v>616</v>
      </c>
      <c r="T253" t="s">
        <v>513</v>
      </c>
      <c r="U253" t="s">
        <v>49</v>
      </c>
      <c r="V253" s="3">
        <v>1840</v>
      </c>
      <c r="W253" t="s">
        <v>49</v>
      </c>
      <c r="X253" s="3">
        <v>1840</v>
      </c>
    </row>
    <row r="254" spans="1:24" s="2" customFormat="1" x14ac:dyDescent="0.2">
      <c r="A254" s="2">
        <v>254</v>
      </c>
      <c r="B254"/>
      <c r="C254"/>
      <c r="D254" t="s">
        <v>618</v>
      </c>
      <c r="E254" t="s">
        <v>30</v>
      </c>
      <c r="F254" t="s">
        <v>63</v>
      </c>
      <c r="G254" t="s">
        <v>25</v>
      </c>
      <c r="H254" t="str">
        <f t="shared" si="6"/>
        <v xml:space="preserve">MARCENARIA | Recorrência: | Observações: </v>
      </c>
      <c r="I254" t="s">
        <v>26</v>
      </c>
      <c r="J254" s="5">
        <v>-5500</v>
      </c>
      <c r="K254" s="4">
        <v>505570.05</v>
      </c>
      <c r="L254" t="s">
        <v>27</v>
      </c>
      <c r="M254" s="5">
        <v>-5500</v>
      </c>
      <c r="N254" s="3">
        <v>0</v>
      </c>
      <c r="O254" t="s">
        <v>617</v>
      </c>
      <c r="P254" t="s">
        <v>619</v>
      </c>
      <c r="Q254" t="s">
        <v>617</v>
      </c>
      <c r="R254" t="str">
        <f t="shared" si="7"/>
        <v>Sim</v>
      </c>
      <c r="S254" t="s">
        <v>617</v>
      </c>
      <c r="T254" t="s">
        <v>30</v>
      </c>
      <c r="U254" t="s">
        <v>620</v>
      </c>
      <c r="V254" s="3">
        <v>-5500</v>
      </c>
    </row>
    <row r="255" spans="1:24" s="2" customFormat="1" x14ac:dyDescent="0.2">
      <c r="A255">
        <v>255</v>
      </c>
      <c r="B255"/>
      <c r="C255" t="s">
        <v>622</v>
      </c>
      <c r="D255" t="s">
        <v>175</v>
      </c>
      <c r="E255" t="s">
        <v>30</v>
      </c>
      <c r="F255" t="s">
        <v>24</v>
      </c>
      <c r="G255" t="s">
        <v>25</v>
      </c>
      <c r="H255" t="str">
        <f t="shared" si="6"/>
        <v>PORTOBELLO (PBTECH E SERV) | Recorrência: | Observações: NF EMITIDA 167</v>
      </c>
      <c r="I255" t="s">
        <v>26</v>
      </c>
      <c r="J255" s="4">
        <v>100.77</v>
      </c>
      <c r="K255" s="4">
        <v>505670.82</v>
      </c>
      <c r="L255" t="s">
        <v>27</v>
      </c>
      <c r="M255" s="4">
        <v>100.77</v>
      </c>
      <c r="N255" s="3">
        <v>0</v>
      </c>
      <c r="O255" t="s">
        <v>621</v>
      </c>
      <c r="P255" t="s">
        <v>583</v>
      </c>
      <c r="Q255" t="s">
        <v>617</v>
      </c>
      <c r="R255" t="str">
        <f t="shared" si="7"/>
        <v>Sim</v>
      </c>
      <c r="S255" t="s">
        <v>617</v>
      </c>
      <c r="T255" t="s">
        <v>623</v>
      </c>
      <c r="U255" t="s">
        <v>49</v>
      </c>
      <c r="V255" s="3">
        <v>100.77</v>
      </c>
      <c r="W255" t="s">
        <v>49</v>
      </c>
      <c r="X255" s="3">
        <v>100.77</v>
      </c>
    </row>
    <row r="256" spans="1:24" s="2" customFormat="1" x14ac:dyDescent="0.2">
      <c r="A256" s="2">
        <v>256</v>
      </c>
      <c r="B256"/>
      <c r="C256" t="s">
        <v>232</v>
      </c>
      <c r="D256" t="s">
        <v>516</v>
      </c>
      <c r="E256" t="s">
        <v>148</v>
      </c>
      <c r="F256" t="s">
        <v>24</v>
      </c>
      <c r="G256" t="s">
        <v>25</v>
      </c>
      <c r="H256" t="str">
        <f t="shared" si="6"/>
        <v>GERENCIAMENTO_MARÍLIA ZINGARI ROCHOLLI GRANJEIRO | Recorrência:3/3 | Observações: 03 Parcelas iguais  - TBI 9348.04920-7</v>
      </c>
      <c r="I256" t="s">
        <v>26</v>
      </c>
      <c r="J256" s="4">
        <v>3000</v>
      </c>
      <c r="K256" s="4">
        <v>508670.82</v>
      </c>
      <c r="L256" t="s">
        <v>27</v>
      </c>
      <c r="M256" s="4">
        <v>3000</v>
      </c>
      <c r="N256" s="3">
        <v>0</v>
      </c>
      <c r="O256" t="s">
        <v>613</v>
      </c>
      <c r="P256" t="s">
        <v>407</v>
      </c>
      <c r="Q256" t="s">
        <v>613</v>
      </c>
      <c r="R256" t="str">
        <f t="shared" si="7"/>
        <v>Sim</v>
      </c>
      <c r="S256" t="s">
        <v>613</v>
      </c>
      <c r="T256" t="s">
        <v>517</v>
      </c>
      <c r="U256" t="s">
        <v>274</v>
      </c>
      <c r="V256" s="3">
        <v>3000</v>
      </c>
      <c r="W256" t="s">
        <v>166</v>
      </c>
      <c r="X256" s="3">
        <v>3000</v>
      </c>
    </row>
    <row r="257" spans="1:24" s="2" customFormat="1" x14ac:dyDescent="0.2">
      <c r="A257">
        <v>257</v>
      </c>
      <c r="B257" t="s">
        <v>71</v>
      </c>
      <c r="C257" t="s">
        <v>72</v>
      </c>
      <c r="D257" t="s">
        <v>72</v>
      </c>
      <c r="E257" t="s">
        <v>624</v>
      </c>
      <c r="F257" t="s">
        <v>24</v>
      </c>
      <c r="G257" t="s">
        <v>25</v>
      </c>
      <c r="H257" t="str">
        <f t="shared" si="6"/>
        <v>GAPAZ | Recorrência:5/5 | Observações: R$ 240.816,49 &gt; valor do gerenciamento será 10% deste valor = R$ 24.081,64 pago em 5 parcelas</v>
      </c>
      <c r="I257" t="s">
        <v>26</v>
      </c>
      <c r="J257" s="4">
        <v>4816.32</v>
      </c>
      <c r="K257" s="4">
        <v>513487.14</v>
      </c>
      <c r="L257" t="s">
        <v>27</v>
      </c>
      <c r="M257" s="4">
        <v>4816.32</v>
      </c>
      <c r="N257" s="3">
        <v>0</v>
      </c>
      <c r="O257" t="s">
        <v>613</v>
      </c>
      <c r="P257" t="s">
        <v>549</v>
      </c>
      <c r="Q257" t="s">
        <v>588</v>
      </c>
      <c r="R257" t="str">
        <f t="shared" si="7"/>
        <v>Sim</v>
      </c>
      <c r="S257" t="s">
        <v>588</v>
      </c>
      <c r="T257" t="s">
        <v>394</v>
      </c>
      <c r="U257" t="s">
        <v>274</v>
      </c>
      <c r="V257" s="3">
        <v>4816.32</v>
      </c>
      <c r="W257" t="s">
        <v>166</v>
      </c>
      <c r="X257" s="3">
        <v>4816.32</v>
      </c>
    </row>
    <row r="258" spans="1:24" s="2" customFormat="1" x14ac:dyDescent="0.2">
      <c r="A258" s="2">
        <v>258</v>
      </c>
      <c r="B258"/>
      <c r="C258" t="s">
        <v>453</v>
      </c>
      <c r="D258" t="s">
        <v>453</v>
      </c>
      <c r="E258" t="s">
        <v>465</v>
      </c>
      <c r="F258" t="s">
        <v>24</v>
      </c>
      <c r="G258" t="s">
        <v>25</v>
      </c>
      <c r="H258" t="str">
        <f t="shared" si="6"/>
        <v xml:space="preserve">VANESSA  E ADO | Recorrência:4/4 | Observações: </v>
      </c>
      <c r="I258" t="s">
        <v>26</v>
      </c>
      <c r="J258" s="4">
        <v>6750</v>
      </c>
      <c r="K258" s="4">
        <v>520237.14</v>
      </c>
      <c r="L258" t="s">
        <v>27</v>
      </c>
      <c r="M258" s="4">
        <v>6750</v>
      </c>
      <c r="N258" s="3">
        <v>0</v>
      </c>
      <c r="O258" t="s">
        <v>613</v>
      </c>
      <c r="P258" t="s">
        <v>558</v>
      </c>
      <c r="Q258" t="s">
        <v>613</v>
      </c>
      <c r="R258" t="str">
        <f t="shared" si="7"/>
        <v>Sim</v>
      </c>
      <c r="S258" t="s">
        <v>613</v>
      </c>
      <c r="T258" t="s">
        <v>30</v>
      </c>
      <c r="U258" t="s">
        <v>31</v>
      </c>
      <c r="V258" s="3">
        <v>6750</v>
      </c>
      <c r="W258" t="s">
        <v>32</v>
      </c>
      <c r="X258" s="3">
        <v>6750</v>
      </c>
    </row>
    <row r="259" spans="1:24" s="2" customFormat="1" x14ac:dyDescent="0.2">
      <c r="A259">
        <v>259</v>
      </c>
      <c r="B259"/>
      <c r="C259" t="s">
        <v>153</v>
      </c>
      <c r="D259" t="s">
        <v>572</v>
      </c>
      <c r="E259" t="s">
        <v>398</v>
      </c>
      <c r="F259" t="s">
        <v>63</v>
      </c>
      <c r="G259" t="s">
        <v>25</v>
      </c>
      <c r="H259" t="str">
        <f t="shared" ref="H259:H322" si="8">D259&amp;" | "&amp;$E$1&amp;E259&amp;" | Observações: "&amp;T259</f>
        <v xml:space="preserve">SALARIO FELIPE | Recorrência:2/12 | Observações: </v>
      </c>
      <c r="I259" t="s">
        <v>26</v>
      </c>
      <c r="J259" s="5">
        <v>-964.95</v>
      </c>
      <c r="K259" s="4">
        <v>519272.19</v>
      </c>
      <c r="L259" t="s">
        <v>27</v>
      </c>
      <c r="M259" s="5">
        <v>-964.95</v>
      </c>
      <c r="N259" s="3">
        <v>0</v>
      </c>
      <c r="O259" t="s">
        <v>625</v>
      </c>
      <c r="P259" t="s">
        <v>565</v>
      </c>
      <c r="Q259" t="s">
        <v>625</v>
      </c>
      <c r="R259" t="str">
        <f t="shared" ref="R259:R322" si="9">IF(Q259=S259,"Sim","nao")</f>
        <v>Sim</v>
      </c>
      <c r="S259" t="s">
        <v>625</v>
      </c>
      <c r="T259" t="s">
        <v>30</v>
      </c>
      <c r="U259" t="s">
        <v>323</v>
      </c>
      <c r="V259" s="3">
        <v>-964.95</v>
      </c>
      <c r="W259" t="s">
        <v>324</v>
      </c>
      <c r="X259" s="3">
        <v>-964.95</v>
      </c>
    </row>
    <row r="260" spans="1:24" s="2" customFormat="1" x14ac:dyDescent="0.2">
      <c r="A260" s="2">
        <v>260</v>
      </c>
      <c r="B260"/>
      <c r="C260"/>
      <c r="D260" t="s">
        <v>627</v>
      </c>
      <c r="E260" t="s">
        <v>30</v>
      </c>
      <c r="F260" t="s">
        <v>63</v>
      </c>
      <c r="G260" t="s">
        <v>25</v>
      </c>
      <c r="H260" t="str">
        <f t="shared" si="8"/>
        <v xml:space="preserve">CARTAO CRÉDITO MN | Recorrência: | Observações: </v>
      </c>
      <c r="I260" t="s">
        <v>26</v>
      </c>
      <c r="J260" s="5">
        <v>-4990.4399999999996</v>
      </c>
      <c r="K260" s="4">
        <v>514281.75</v>
      </c>
      <c r="L260" t="s">
        <v>27</v>
      </c>
      <c r="M260" s="5">
        <v>-4990.4399999999996</v>
      </c>
      <c r="N260" s="3">
        <v>0</v>
      </c>
      <c r="O260" t="s">
        <v>626</v>
      </c>
      <c r="P260" t="s">
        <v>337</v>
      </c>
      <c r="Q260" t="s">
        <v>626</v>
      </c>
      <c r="R260" t="str">
        <f t="shared" si="9"/>
        <v>Sim</v>
      </c>
      <c r="S260" t="s">
        <v>626</v>
      </c>
      <c r="T260" t="s">
        <v>30</v>
      </c>
      <c r="U260" t="s">
        <v>628</v>
      </c>
      <c r="V260" s="3">
        <v>-4990.4399999999996</v>
      </c>
    </row>
    <row r="261" spans="1:24" s="2" customFormat="1" x14ac:dyDescent="0.2">
      <c r="A261">
        <v>261</v>
      </c>
      <c r="B261"/>
      <c r="C261" t="s">
        <v>153</v>
      </c>
      <c r="D261" t="s">
        <v>630</v>
      </c>
      <c r="E261" t="s">
        <v>320</v>
      </c>
      <c r="F261" t="s">
        <v>63</v>
      </c>
      <c r="G261" t="s">
        <v>25</v>
      </c>
      <c r="H261" t="str">
        <f t="shared" si="8"/>
        <v xml:space="preserve">PRÓ-LABORE MAYARA | Recorrência:1/12 | Observações: </v>
      </c>
      <c r="I261" t="s">
        <v>26</v>
      </c>
      <c r="J261" s="5">
        <v>-20000</v>
      </c>
      <c r="K261" s="4">
        <v>494281.75</v>
      </c>
      <c r="L261" t="s">
        <v>27</v>
      </c>
      <c r="M261" s="5">
        <v>-20000</v>
      </c>
      <c r="N261" s="3">
        <v>0</v>
      </c>
      <c r="O261" t="s">
        <v>629</v>
      </c>
      <c r="P261" t="s">
        <v>581</v>
      </c>
      <c r="Q261" t="s">
        <v>629</v>
      </c>
      <c r="R261" t="str">
        <f t="shared" si="9"/>
        <v>Sim</v>
      </c>
      <c r="S261" t="s">
        <v>629</v>
      </c>
      <c r="T261" t="s">
        <v>30</v>
      </c>
      <c r="U261" t="s">
        <v>631</v>
      </c>
      <c r="V261" s="3">
        <v>-20000</v>
      </c>
      <c r="W261" t="s">
        <v>632</v>
      </c>
      <c r="X261" s="3">
        <v>-20000</v>
      </c>
    </row>
    <row r="262" spans="1:24" s="2" customFormat="1" x14ac:dyDescent="0.2">
      <c r="A262" s="2">
        <v>262</v>
      </c>
      <c r="B262"/>
      <c r="C262"/>
      <c r="D262" t="s">
        <v>633</v>
      </c>
      <c r="E262" t="s">
        <v>320</v>
      </c>
      <c r="F262" t="s">
        <v>63</v>
      </c>
      <c r="G262" t="s">
        <v>25</v>
      </c>
      <c r="H262" t="str">
        <f t="shared" si="8"/>
        <v xml:space="preserve">PRÓ-LABORE NATASHA | Recorrência:1/12 | Observações: </v>
      </c>
      <c r="I262" t="s">
        <v>26</v>
      </c>
      <c r="J262" s="5">
        <v>-20000</v>
      </c>
      <c r="K262" s="4">
        <v>474281.75</v>
      </c>
      <c r="L262" t="s">
        <v>27</v>
      </c>
      <c r="M262" s="5">
        <v>-20000</v>
      </c>
      <c r="N262" s="3">
        <v>0</v>
      </c>
      <c r="O262" t="s">
        <v>629</v>
      </c>
      <c r="P262" t="s">
        <v>565</v>
      </c>
      <c r="Q262" t="s">
        <v>629</v>
      </c>
      <c r="R262" t="str">
        <f t="shared" si="9"/>
        <v>Sim</v>
      </c>
      <c r="S262" t="s">
        <v>629</v>
      </c>
      <c r="T262" t="s">
        <v>30</v>
      </c>
      <c r="U262" t="s">
        <v>631</v>
      </c>
      <c r="V262" s="3">
        <v>-20000</v>
      </c>
    </row>
    <row r="263" spans="1:24" s="2" customFormat="1" x14ac:dyDescent="0.2">
      <c r="A263">
        <v>263</v>
      </c>
      <c r="B263"/>
      <c r="C263" t="s">
        <v>153</v>
      </c>
      <c r="D263" t="s">
        <v>519</v>
      </c>
      <c r="E263" t="s">
        <v>634</v>
      </c>
      <c r="F263" t="s">
        <v>63</v>
      </c>
      <c r="G263" t="s">
        <v>25</v>
      </c>
      <c r="H263" t="str">
        <f t="shared" si="8"/>
        <v xml:space="preserve">SALÁRIO POLIANA  | Recorrência:6/12 | Observações: ESTAGIÁRIA </v>
      </c>
      <c r="I263" t="s">
        <v>26</v>
      </c>
      <c r="J263" s="5">
        <v>-1505.35</v>
      </c>
      <c r="K263" s="4">
        <v>472776.4</v>
      </c>
      <c r="L263" t="s">
        <v>27</v>
      </c>
      <c r="M263" s="5">
        <v>-1505.35</v>
      </c>
      <c r="N263" s="3">
        <v>0</v>
      </c>
      <c r="O263" t="s">
        <v>629</v>
      </c>
      <c r="P263" t="s">
        <v>551</v>
      </c>
      <c r="Q263" t="s">
        <v>629</v>
      </c>
      <c r="R263" t="str">
        <f t="shared" si="9"/>
        <v>Sim</v>
      </c>
      <c r="S263" t="s">
        <v>629</v>
      </c>
      <c r="T263" t="s">
        <v>322</v>
      </c>
      <c r="U263" t="s">
        <v>323</v>
      </c>
      <c r="V263" s="3">
        <v>-1505.35</v>
      </c>
      <c r="W263" t="s">
        <v>324</v>
      </c>
      <c r="X263" s="3">
        <v>-1505.35</v>
      </c>
    </row>
    <row r="264" spans="1:24" s="2" customFormat="1" x14ac:dyDescent="0.2">
      <c r="A264" s="2">
        <v>264</v>
      </c>
      <c r="B264"/>
      <c r="C264" t="s">
        <v>153</v>
      </c>
      <c r="D264" t="s">
        <v>635</v>
      </c>
      <c r="E264" t="s">
        <v>320</v>
      </c>
      <c r="F264" t="s">
        <v>63</v>
      </c>
      <c r="G264" t="s">
        <v>25</v>
      </c>
      <c r="H264" t="str">
        <f t="shared" si="8"/>
        <v xml:space="preserve">SALÁRIO HELOISA | Recorrência:1/12 | Observações: </v>
      </c>
      <c r="I264" t="s">
        <v>26</v>
      </c>
      <c r="J264" s="5">
        <v>-2672.33</v>
      </c>
      <c r="K264" s="4">
        <v>470104.07</v>
      </c>
      <c r="L264" t="s">
        <v>27</v>
      </c>
      <c r="M264" s="5">
        <v>-2672.33</v>
      </c>
      <c r="N264" s="3">
        <v>0</v>
      </c>
      <c r="O264" t="s">
        <v>629</v>
      </c>
      <c r="P264" t="s">
        <v>567</v>
      </c>
      <c r="Q264" t="s">
        <v>629</v>
      </c>
      <c r="R264" t="str">
        <f t="shared" si="9"/>
        <v>Sim</v>
      </c>
      <c r="S264" t="s">
        <v>629</v>
      </c>
      <c r="T264" t="s">
        <v>30</v>
      </c>
      <c r="U264" t="s">
        <v>323</v>
      </c>
      <c r="V264" s="3">
        <v>-2672.33</v>
      </c>
      <c r="W264" t="s">
        <v>324</v>
      </c>
      <c r="X264" s="3">
        <v>-2672.33</v>
      </c>
    </row>
    <row r="265" spans="1:24" s="2" customFormat="1" x14ac:dyDescent="0.2">
      <c r="A265">
        <v>265</v>
      </c>
      <c r="B265"/>
      <c r="C265" t="s">
        <v>153</v>
      </c>
      <c r="D265" t="s">
        <v>636</v>
      </c>
      <c r="E265" t="s">
        <v>320</v>
      </c>
      <c r="F265" t="s">
        <v>63</v>
      </c>
      <c r="G265" t="s">
        <v>25</v>
      </c>
      <c r="H265" t="str">
        <f t="shared" si="8"/>
        <v xml:space="preserve">SALÁRIO ELIANE | Recorrência:1/12 | Observações: </v>
      </c>
      <c r="I265" t="s">
        <v>26</v>
      </c>
      <c r="J265" s="5">
        <v>-1382.71</v>
      </c>
      <c r="K265" s="4">
        <v>468721.36</v>
      </c>
      <c r="L265" t="s">
        <v>27</v>
      </c>
      <c r="M265" s="5">
        <v>-1382.71</v>
      </c>
      <c r="N265" s="3">
        <v>0</v>
      </c>
      <c r="O265" t="s">
        <v>629</v>
      </c>
      <c r="P265" t="s">
        <v>588</v>
      </c>
      <c r="Q265" t="s">
        <v>629</v>
      </c>
      <c r="R265" t="str">
        <f t="shared" si="9"/>
        <v>Sim</v>
      </c>
      <c r="S265" t="s">
        <v>629</v>
      </c>
      <c r="T265" t="s">
        <v>30</v>
      </c>
      <c r="U265" t="s">
        <v>323</v>
      </c>
      <c r="V265" s="3">
        <v>-1382.71</v>
      </c>
      <c r="W265" t="s">
        <v>324</v>
      </c>
      <c r="X265" s="3">
        <v>-1382.71</v>
      </c>
    </row>
    <row r="266" spans="1:24" s="2" customFormat="1" x14ac:dyDescent="0.2">
      <c r="A266" s="2">
        <v>266</v>
      </c>
      <c r="B266" t="s">
        <v>637</v>
      </c>
      <c r="C266" t="s">
        <v>638</v>
      </c>
      <c r="D266" t="s">
        <v>639</v>
      </c>
      <c r="E266" t="s">
        <v>30</v>
      </c>
      <c r="F266" t="s">
        <v>63</v>
      </c>
      <c r="G266" t="s">
        <v>25</v>
      </c>
      <c r="H266" t="str">
        <f t="shared" si="8"/>
        <v xml:space="preserve">DESPESAS COMERCIAIS | Recorrência: | Observações: REFERENTE 03 CADEIRAS </v>
      </c>
      <c r="I266" t="s">
        <v>26</v>
      </c>
      <c r="J266" s="5">
        <v>-2739.39</v>
      </c>
      <c r="K266" s="4">
        <v>465981.97</v>
      </c>
      <c r="L266" t="s">
        <v>27</v>
      </c>
      <c r="M266" s="5">
        <v>-2739.39</v>
      </c>
      <c r="N266" s="3">
        <v>0</v>
      </c>
      <c r="O266" t="s">
        <v>629</v>
      </c>
      <c r="P266" t="s">
        <v>616</v>
      </c>
      <c r="Q266" t="s">
        <v>629</v>
      </c>
      <c r="R266" t="str">
        <f t="shared" si="9"/>
        <v>Sim</v>
      </c>
      <c r="S266" t="s">
        <v>629</v>
      </c>
      <c r="T266" t="s">
        <v>640</v>
      </c>
      <c r="U266" t="s">
        <v>641</v>
      </c>
      <c r="V266" s="3">
        <v>-2739.39</v>
      </c>
      <c r="W266" t="s">
        <v>219</v>
      </c>
      <c r="X266" s="3">
        <v>-2739.39</v>
      </c>
    </row>
    <row r="267" spans="1:24" s="2" customFormat="1" x14ac:dyDescent="0.2">
      <c r="A267">
        <v>267</v>
      </c>
      <c r="B267"/>
      <c r="C267"/>
      <c r="D267" t="s">
        <v>642</v>
      </c>
      <c r="E267" t="s">
        <v>30</v>
      </c>
      <c r="F267" t="s">
        <v>63</v>
      </c>
      <c r="G267" t="s">
        <v>25</v>
      </c>
      <c r="H267" t="str">
        <f t="shared" si="8"/>
        <v xml:space="preserve">GASTOS EXTRAS - E P  STORE | Recorrência: | Observações: REF: ADAPTADOR E MOUSE SEM FIO </v>
      </c>
      <c r="I267" t="s">
        <v>26</v>
      </c>
      <c r="J267" s="5">
        <v>-179</v>
      </c>
      <c r="K267" s="4">
        <v>465802.97</v>
      </c>
      <c r="L267" t="s">
        <v>27</v>
      </c>
      <c r="M267" s="5">
        <v>-179</v>
      </c>
      <c r="N267" s="3">
        <v>0</v>
      </c>
      <c r="O267" t="s">
        <v>629</v>
      </c>
      <c r="P267" t="s">
        <v>629</v>
      </c>
      <c r="Q267" t="s">
        <v>629</v>
      </c>
      <c r="R267" t="str">
        <f t="shared" si="9"/>
        <v>Sim</v>
      </c>
      <c r="S267" t="s">
        <v>629</v>
      </c>
      <c r="T267" t="s">
        <v>643</v>
      </c>
      <c r="U267" t="s">
        <v>158</v>
      </c>
      <c r="V267" s="3">
        <v>-179</v>
      </c>
    </row>
    <row r="268" spans="1:24" s="2" customFormat="1" x14ac:dyDescent="0.2">
      <c r="A268" s="2">
        <v>268</v>
      </c>
      <c r="B268"/>
      <c r="C268" t="s">
        <v>574</v>
      </c>
      <c r="D268" t="s">
        <v>575</v>
      </c>
      <c r="E268" t="s">
        <v>398</v>
      </c>
      <c r="F268" t="s">
        <v>63</v>
      </c>
      <c r="G268" t="s">
        <v>25</v>
      </c>
      <c r="H268" t="str">
        <f t="shared" si="8"/>
        <v>ALUGUEL+CONDOMINIO+IPTU | Recorrência:2/12 | Observações: REF: 12/21 _VENC 01/22</v>
      </c>
      <c r="I268" t="s">
        <v>26</v>
      </c>
      <c r="J268" s="5">
        <v>-1732.87</v>
      </c>
      <c r="K268" s="4">
        <v>464070.1</v>
      </c>
      <c r="L268" t="s">
        <v>27</v>
      </c>
      <c r="M268" s="5">
        <v>-1732.87</v>
      </c>
      <c r="N268" s="3">
        <v>0</v>
      </c>
      <c r="O268" t="s">
        <v>629</v>
      </c>
      <c r="P268" t="s">
        <v>644</v>
      </c>
      <c r="Q268" t="s">
        <v>629</v>
      </c>
      <c r="R268" t="str">
        <f t="shared" si="9"/>
        <v>Sim</v>
      </c>
      <c r="S268" t="s">
        <v>629</v>
      </c>
      <c r="T268" t="s">
        <v>645</v>
      </c>
      <c r="U268" t="s">
        <v>571</v>
      </c>
      <c r="V268" s="3">
        <v>-1732.87</v>
      </c>
      <c r="W268" t="s">
        <v>577</v>
      </c>
      <c r="X268" s="3">
        <v>-1732.87</v>
      </c>
    </row>
    <row r="269" spans="1:24" s="2" customFormat="1" x14ac:dyDescent="0.2">
      <c r="A269">
        <v>269</v>
      </c>
      <c r="B269" t="s">
        <v>647</v>
      </c>
      <c r="C269" t="s">
        <v>648</v>
      </c>
      <c r="D269" t="s">
        <v>649</v>
      </c>
      <c r="E269" t="s">
        <v>320</v>
      </c>
      <c r="F269" t="s">
        <v>63</v>
      </c>
      <c r="G269" t="s">
        <v>25</v>
      </c>
      <c r="H269" t="str">
        <f t="shared" si="8"/>
        <v xml:space="preserve">HONORÁRIOS CONTÁBEIS | Recorrência:1/12 | Observações: </v>
      </c>
      <c r="I269" t="s">
        <v>26</v>
      </c>
      <c r="J269" s="5">
        <v>-740</v>
      </c>
      <c r="K269" s="4">
        <v>463330.1</v>
      </c>
      <c r="L269" t="s">
        <v>27</v>
      </c>
      <c r="M269" s="5">
        <v>-740</v>
      </c>
      <c r="N269" s="3">
        <v>0</v>
      </c>
      <c r="O269" t="s">
        <v>646</v>
      </c>
      <c r="P269" t="s">
        <v>581</v>
      </c>
      <c r="Q269" t="s">
        <v>646</v>
      </c>
      <c r="R269" t="str">
        <f t="shared" si="9"/>
        <v>Sim</v>
      </c>
      <c r="S269" t="s">
        <v>646</v>
      </c>
      <c r="T269" t="s">
        <v>30</v>
      </c>
      <c r="U269" t="s">
        <v>608</v>
      </c>
      <c r="V269" s="3">
        <v>-740</v>
      </c>
      <c r="W269" t="s">
        <v>577</v>
      </c>
      <c r="X269" s="3">
        <v>-740</v>
      </c>
    </row>
    <row r="270" spans="1:24" s="2" customFormat="1" x14ac:dyDescent="0.2">
      <c r="A270" s="2">
        <v>270</v>
      </c>
      <c r="B270"/>
      <c r="C270" t="s">
        <v>153</v>
      </c>
      <c r="D270" t="s">
        <v>650</v>
      </c>
      <c r="E270" t="s">
        <v>320</v>
      </c>
      <c r="F270" t="s">
        <v>63</v>
      </c>
      <c r="G270" t="s">
        <v>25</v>
      </c>
      <c r="H270" t="str">
        <f t="shared" si="8"/>
        <v xml:space="preserve">FGTS | Recorrência:1/12 | Observações: </v>
      </c>
      <c r="I270" t="s">
        <v>26</v>
      </c>
      <c r="J270" s="5">
        <v>-175.15</v>
      </c>
      <c r="K270" s="4">
        <v>463154.95</v>
      </c>
      <c r="L270" t="s">
        <v>27</v>
      </c>
      <c r="M270" s="5">
        <v>-175.15</v>
      </c>
      <c r="N270" s="3">
        <v>0</v>
      </c>
      <c r="O270" t="s">
        <v>646</v>
      </c>
      <c r="P270" t="s">
        <v>581</v>
      </c>
      <c r="Q270" t="s">
        <v>646</v>
      </c>
      <c r="R270" t="str">
        <f t="shared" si="9"/>
        <v>Sim</v>
      </c>
      <c r="S270" t="s">
        <v>646</v>
      </c>
      <c r="T270" t="s">
        <v>30</v>
      </c>
      <c r="U270" t="s">
        <v>651</v>
      </c>
      <c r="V270" s="3">
        <v>-175.15</v>
      </c>
      <c r="W270" t="s">
        <v>376</v>
      </c>
      <c r="X270" s="3">
        <v>-175.15</v>
      </c>
    </row>
    <row r="271" spans="1:24" s="2" customFormat="1" x14ac:dyDescent="0.2">
      <c r="A271">
        <v>271</v>
      </c>
      <c r="B271"/>
      <c r="C271" t="s">
        <v>297</v>
      </c>
      <c r="D271" t="s">
        <v>653</v>
      </c>
      <c r="E271" t="s">
        <v>320</v>
      </c>
      <c r="F271" t="s">
        <v>63</v>
      </c>
      <c r="G271" t="s">
        <v>25</v>
      </c>
      <c r="H271" t="str">
        <f t="shared" si="8"/>
        <v>ISS | Recorrência:1/12 | Observações: INCIDÊNCIA DEZEMBRO 2021</v>
      </c>
      <c r="I271" t="s">
        <v>26</v>
      </c>
      <c r="J271" s="5">
        <v>-5.03</v>
      </c>
      <c r="K271" s="4">
        <v>463149.92</v>
      </c>
      <c r="L271" t="s">
        <v>27</v>
      </c>
      <c r="M271" s="5">
        <v>-5.03</v>
      </c>
      <c r="N271" s="3">
        <v>0</v>
      </c>
      <c r="O271" t="s">
        <v>652</v>
      </c>
      <c r="P271" t="s">
        <v>602</v>
      </c>
      <c r="Q271" t="s">
        <v>654</v>
      </c>
      <c r="R271" t="str">
        <f t="shared" si="9"/>
        <v>Sim</v>
      </c>
      <c r="S271" t="s">
        <v>654</v>
      </c>
      <c r="T271" t="s">
        <v>655</v>
      </c>
      <c r="U271" t="s">
        <v>656</v>
      </c>
      <c r="V271" s="3">
        <v>-5.03</v>
      </c>
      <c r="W271" t="s">
        <v>376</v>
      </c>
      <c r="X271" s="3">
        <v>-5.03</v>
      </c>
    </row>
    <row r="272" spans="1:24" s="2" customFormat="1" x14ac:dyDescent="0.2">
      <c r="A272" s="2">
        <v>272</v>
      </c>
      <c r="B272"/>
      <c r="C272" t="s">
        <v>657</v>
      </c>
      <c r="D272" t="s">
        <v>657</v>
      </c>
      <c r="E272" t="s">
        <v>67</v>
      </c>
      <c r="F272" t="s">
        <v>24</v>
      </c>
      <c r="G272" t="s">
        <v>25</v>
      </c>
      <c r="H272" t="str">
        <f t="shared" si="8"/>
        <v xml:space="preserve">PATRICIA NAJM | Recorrência:1/2 | Observações: </v>
      </c>
      <c r="I272" t="s">
        <v>26</v>
      </c>
      <c r="J272" s="4">
        <v>3000</v>
      </c>
      <c r="K272" s="4">
        <v>466149.92</v>
      </c>
      <c r="L272" t="s">
        <v>27</v>
      </c>
      <c r="M272" s="4">
        <v>3000</v>
      </c>
      <c r="N272" s="3">
        <v>0</v>
      </c>
      <c r="O272" t="s">
        <v>654</v>
      </c>
      <c r="P272" t="s">
        <v>652</v>
      </c>
      <c r="Q272" t="s">
        <v>654</v>
      </c>
      <c r="R272" t="str">
        <f t="shared" si="9"/>
        <v>Sim</v>
      </c>
      <c r="S272" t="s">
        <v>654</v>
      </c>
      <c r="T272" t="s">
        <v>30</v>
      </c>
      <c r="U272" t="s">
        <v>31</v>
      </c>
      <c r="V272" s="3">
        <v>3000</v>
      </c>
      <c r="W272" t="s">
        <v>32</v>
      </c>
      <c r="X272" s="3">
        <v>3000</v>
      </c>
    </row>
    <row r="273" spans="1:24" s="2" customFormat="1" x14ac:dyDescent="0.2">
      <c r="A273">
        <v>273</v>
      </c>
      <c r="B273"/>
      <c r="C273" t="s">
        <v>153</v>
      </c>
      <c r="D273" t="s">
        <v>659</v>
      </c>
      <c r="E273" t="s">
        <v>30</v>
      </c>
      <c r="F273" t="s">
        <v>63</v>
      </c>
      <c r="G273" t="s">
        <v>25</v>
      </c>
      <c r="H273" t="str">
        <f t="shared" si="8"/>
        <v>VALE TRANSPORTE _ELIANE | Recorrência: | Observações: Valor unitário: 4,40
Condução diária: 8,80 ida &gt; 8,80 Volta
Total: 17,60 ida/volta</v>
      </c>
      <c r="I273" t="s">
        <v>26</v>
      </c>
      <c r="J273" s="5">
        <v>-140</v>
      </c>
      <c r="K273" s="4">
        <v>466009.92</v>
      </c>
      <c r="L273" t="s">
        <v>27</v>
      </c>
      <c r="M273" s="5">
        <v>-140</v>
      </c>
      <c r="N273" s="3">
        <v>0</v>
      </c>
      <c r="O273" t="s">
        <v>658</v>
      </c>
      <c r="P273" t="s">
        <v>629</v>
      </c>
      <c r="Q273" t="s">
        <v>660</v>
      </c>
      <c r="R273" t="str">
        <f t="shared" si="9"/>
        <v>Sim</v>
      </c>
      <c r="S273" t="s">
        <v>660</v>
      </c>
      <c r="T273" t="s">
        <v>661</v>
      </c>
      <c r="U273" t="s">
        <v>662</v>
      </c>
      <c r="V273" s="3">
        <v>-140</v>
      </c>
      <c r="W273" t="s">
        <v>324</v>
      </c>
      <c r="X273" s="3">
        <v>-140</v>
      </c>
    </row>
    <row r="274" spans="1:24" s="2" customFormat="1" x14ac:dyDescent="0.2">
      <c r="A274" s="2">
        <v>274</v>
      </c>
      <c r="B274"/>
      <c r="C274" t="s">
        <v>297</v>
      </c>
      <c r="D274" t="s">
        <v>664</v>
      </c>
      <c r="E274" t="s">
        <v>30</v>
      </c>
      <c r="F274" t="s">
        <v>63</v>
      </c>
      <c r="G274" t="s">
        <v>25</v>
      </c>
      <c r="H274" t="str">
        <f t="shared" si="8"/>
        <v xml:space="preserve">DARF_COMPETENCIA DEZEMBRO 21 | Recorrência: | Observações: </v>
      </c>
      <c r="I274" t="s">
        <v>26</v>
      </c>
      <c r="J274" s="5">
        <v>-1232</v>
      </c>
      <c r="K274" s="4">
        <v>464777.92</v>
      </c>
      <c r="L274" t="s">
        <v>27</v>
      </c>
      <c r="M274" s="5">
        <v>-1232</v>
      </c>
      <c r="N274" s="3">
        <v>0</v>
      </c>
      <c r="O274" t="s">
        <v>663</v>
      </c>
      <c r="P274" t="s">
        <v>598</v>
      </c>
      <c r="Q274" t="s">
        <v>665</v>
      </c>
      <c r="R274" t="str">
        <f t="shared" si="9"/>
        <v>Sim</v>
      </c>
      <c r="S274" t="s">
        <v>665</v>
      </c>
      <c r="T274" t="s">
        <v>30</v>
      </c>
      <c r="U274" t="s">
        <v>601</v>
      </c>
      <c r="V274" s="3">
        <v>-1232</v>
      </c>
      <c r="W274" t="s">
        <v>376</v>
      </c>
      <c r="X274" s="3">
        <v>-1232</v>
      </c>
    </row>
    <row r="275" spans="1:24" s="2" customFormat="1" x14ac:dyDescent="0.2">
      <c r="A275">
        <v>275</v>
      </c>
      <c r="B275"/>
      <c r="C275" t="s">
        <v>666</v>
      </c>
      <c r="D275" t="s">
        <v>667</v>
      </c>
      <c r="E275" t="s">
        <v>320</v>
      </c>
      <c r="F275" t="s">
        <v>63</v>
      </c>
      <c r="G275" t="s">
        <v>25</v>
      </c>
      <c r="H275" t="str">
        <f t="shared" si="8"/>
        <v>TELEFONIA E INTERNET | Recorrência:1/12 | Observações: conta Mayara paga pelo APP&gt; Lembrar o Pagamento</v>
      </c>
      <c r="I275" t="s">
        <v>26</v>
      </c>
      <c r="J275" s="5">
        <v>-103.97</v>
      </c>
      <c r="K275" s="4">
        <v>464673.95</v>
      </c>
      <c r="L275" t="s">
        <v>27</v>
      </c>
      <c r="M275" s="5">
        <v>-103.97</v>
      </c>
      <c r="N275" s="3">
        <v>0</v>
      </c>
      <c r="O275" t="s">
        <v>660</v>
      </c>
      <c r="P275" t="s">
        <v>591</v>
      </c>
      <c r="Q275" t="s">
        <v>668</v>
      </c>
      <c r="R275" t="str">
        <f t="shared" si="9"/>
        <v>Sim</v>
      </c>
      <c r="S275" t="s">
        <v>668</v>
      </c>
      <c r="T275" t="s">
        <v>669</v>
      </c>
      <c r="U275" t="s">
        <v>670</v>
      </c>
      <c r="V275" s="3">
        <v>-103.97</v>
      </c>
      <c r="W275" t="s">
        <v>324</v>
      </c>
      <c r="X275" s="3">
        <v>-103.97</v>
      </c>
    </row>
    <row r="276" spans="1:24" s="2" customFormat="1" x14ac:dyDescent="0.2">
      <c r="A276" s="2">
        <v>276</v>
      </c>
      <c r="B276"/>
      <c r="C276"/>
      <c r="D276" t="s">
        <v>672</v>
      </c>
      <c r="E276" t="s">
        <v>30</v>
      </c>
      <c r="F276" t="s">
        <v>63</v>
      </c>
      <c r="G276" t="s">
        <v>25</v>
      </c>
      <c r="H276" t="str">
        <f t="shared" si="8"/>
        <v xml:space="preserve">DARF _Competência 11 | Recorrência: | Observações: </v>
      </c>
      <c r="I276" t="s">
        <v>26</v>
      </c>
      <c r="J276" s="5">
        <v>-1367.27</v>
      </c>
      <c r="K276" s="4">
        <v>463306.68</v>
      </c>
      <c r="L276" t="s">
        <v>27</v>
      </c>
      <c r="M276" s="5">
        <v>-1367.27</v>
      </c>
      <c r="N276" s="3">
        <v>0</v>
      </c>
      <c r="O276" t="s">
        <v>671</v>
      </c>
      <c r="P276" t="s">
        <v>537</v>
      </c>
      <c r="Q276" t="s">
        <v>598</v>
      </c>
      <c r="R276" t="str">
        <f t="shared" si="9"/>
        <v>Sim</v>
      </c>
      <c r="S276" t="s">
        <v>598</v>
      </c>
      <c r="T276" t="s">
        <v>30</v>
      </c>
      <c r="U276" t="s">
        <v>601</v>
      </c>
      <c r="V276" s="3">
        <v>-1367.27</v>
      </c>
    </row>
    <row r="277" spans="1:24" s="2" customFormat="1" x14ac:dyDescent="0.2">
      <c r="A277">
        <v>277</v>
      </c>
      <c r="B277"/>
      <c r="C277"/>
      <c r="D277" t="s">
        <v>673</v>
      </c>
      <c r="E277" t="s">
        <v>30</v>
      </c>
      <c r="F277" t="s">
        <v>63</v>
      </c>
      <c r="G277" t="s">
        <v>25</v>
      </c>
      <c r="H277" t="str">
        <f t="shared" si="8"/>
        <v xml:space="preserve">DARF _Competência 10 | Recorrência: | Observações: </v>
      </c>
      <c r="I277" t="s">
        <v>26</v>
      </c>
      <c r="J277" s="5">
        <v>-1494.72</v>
      </c>
      <c r="K277" s="4">
        <v>461811.96</v>
      </c>
      <c r="L277" t="s">
        <v>27</v>
      </c>
      <c r="M277" s="5">
        <v>-1494.72</v>
      </c>
      <c r="N277" s="3">
        <v>0</v>
      </c>
      <c r="O277" t="s">
        <v>671</v>
      </c>
      <c r="P277" t="s">
        <v>495</v>
      </c>
      <c r="Q277" t="s">
        <v>537</v>
      </c>
      <c r="R277" t="str">
        <f t="shared" si="9"/>
        <v>Sim</v>
      </c>
      <c r="S277" t="s">
        <v>537</v>
      </c>
      <c r="T277" t="s">
        <v>30</v>
      </c>
      <c r="U277" t="s">
        <v>601</v>
      </c>
      <c r="V277" s="3">
        <v>-1494.72</v>
      </c>
    </row>
    <row r="278" spans="1:24" s="2" customFormat="1" x14ac:dyDescent="0.2">
      <c r="A278" s="2">
        <v>278</v>
      </c>
      <c r="B278"/>
      <c r="C278"/>
      <c r="D278" t="s">
        <v>674</v>
      </c>
      <c r="E278" t="s">
        <v>30</v>
      </c>
      <c r="F278" t="s">
        <v>63</v>
      </c>
      <c r="G278" t="s">
        <v>25</v>
      </c>
      <c r="H278" t="str">
        <f t="shared" si="8"/>
        <v>GPS_Diferença_Competência mês 07/21 | Recorrência: | Observações: Diferença de Pagamento Competência mês 07/21</v>
      </c>
      <c r="I278" t="s">
        <v>26</v>
      </c>
      <c r="J278" s="5">
        <v>-107.34</v>
      </c>
      <c r="K278" s="4">
        <v>461704.62</v>
      </c>
      <c r="L278" t="s">
        <v>27</v>
      </c>
      <c r="M278" s="5">
        <v>-107.34</v>
      </c>
      <c r="N278" s="3">
        <v>0</v>
      </c>
      <c r="O278" t="s">
        <v>671</v>
      </c>
      <c r="P278" t="s">
        <v>293</v>
      </c>
      <c r="Q278" t="s">
        <v>675</v>
      </c>
      <c r="R278" t="str">
        <f t="shared" si="9"/>
        <v>Sim</v>
      </c>
      <c r="S278" t="s">
        <v>675</v>
      </c>
      <c r="T278" t="s">
        <v>676</v>
      </c>
      <c r="U278" t="s">
        <v>677</v>
      </c>
      <c r="V278" s="3">
        <v>-107.34</v>
      </c>
    </row>
    <row r="279" spans="1:24" s="2" customFormat="1" x14ac:dyDescent="0.2">
      <c r="A279">
        <v>279</v>
      </c>
      <c r="B279"/>
      <c r="C279"/>
      <c r="D279" t="s">
        <v>678</v>
      </c>
      <c r="E279" t="s">
        <v>30</v>
      </c>
      <c r="F279" t="s">
        <v>63</v>
      </c>
      <c r="G279" t="s">
        <v>25</v>
      </c>
      <c r="H279" t="str">
        <f t="shared" si="8"/>
        <v>GASTOS EXTRAS - CIA BRAS DE DISTRIBUIÇÃO | Recorrência: | Observações: PRODUTOS DE LIMPEZA</v>
      </c>
      <c r="I279" t="s">
        <v>26</v>
      </c>
      <c r="J279" s="5">
        <v>-111.58</v>
      </c>
      <c r="K279" s="4">
        <v>461593.04</v>
      </c>
      <c r="L279" t="s">
        <v>27</v>
      </c>
      <c r="M279" s="5">
        <v>-111.58</v>
      </c>
      <c r="N279" s="3">
        <v>0</v>
      </c>
      <c r="O279" t="s">
        <v>665</v>
      </c>
      <c r="P279" t="s">
        <v>665</v>
      </c>
      <c r="Q279" t="s">
        <v>665</v>
      </c>
      <c r="R279" t="str">
        <f t="shared" si="9"/>
        <v>Sim</v>
      </c>
      <c r="S279" t="s">
        <v>665</v>
      </c>
      <c r="T279" t="s">
        <v>679</v>
      </c>
      <c r="U279" t="s">
        <v>158</v>
      </c>
      <c r="V279" s="3">
        <v>-111.58</v>
      </c>
    </row>
    <row r="280" spans="1:24" s="2" customFormat="1" x14ac:dyDescent="0.2">
      <c r="A280" s="2">
        <v>280</v>
      </c>
      <c r="B280"/>
      <c r="C280" t="s">
        <v>297</v>
      </c>
      <c r="D280" t="s">
        <v>481</v>
      </c>
      <c r="E280" t="s">
        <v>320</v>
      </c>
      <c r="F280" t="s">
        <v>63</v>
      </c>
      <c r="G280" t="s">
        <v>25</v>
      </c>
      <c r="H280" t="str">
        <f t="shared" si="8"/>
        <v>DARF_COFINS | Recorrência:1/12 | Observações: APURAÇÃO DEZEMBRO/2021</v>
      </c>
      <c r="I280" t="s">
        <v>26</v>
      </c>
      <c r="J280" s="5">
        <v>-259.10000000000002</v>
      </c>
      <c r="K280" s="4">
        <v>461333.94</v>
      </c>
      <c r="L280" t="s">
        <v>27</v>
      </c>
      <c r="M280" s="5">
        <v>-259.10000000000002</v>
      </c>
      <c r="N280" s="3">
        <v>0</v>
      </c>
      <c r="O280" t="s">
        <v>680</v>
      </c>
      <c r="P280" t="s">
        <v>681</v>
      </c>
      <c r="Q280" t="s">
        <v>682</v>
      </c>
      <c r="R280" t="str">
        <f t="shared" si="9"/>
        <v>Sim</v>
      </c>
      <c r="S280" t="s">
        <v>682</v>
      </c>
      <c r="T280" t="s">
        <v>683</v>
      </c>
      <c r="U280" t="s">
        <v>483</v>
      </c>
      <c r="V280" s="3">
        <v>-259.10000000000002</v>
      </c>
      <c r="W280" t="s">
        <v>190</v>
      </c>
      <c r="X280" s="3">
        <v>-259.10000000000002</v>
      </c>
    </row>
    <row r="281" spans="1:24" s="2" customFormat="1" x14ac:dyDescent="0.2">
      <c r="A281">
        <v>281</v>
      </c>
      <c r="B281"/>
      <c r="C281" t="s">
        <v>297</v>
      </c>
      <c r="D281" t="s">
        <v>684</v>
      </c>
      <c r="E281" t="s">
        <v>320</v>
      </c>
      <c r="F281" t="s">
        <v>63</v>
      </c>
      <c r="G281" t="s">
        <v>25</v>
      </c>
      <c r="H281" t="str">
        <f t="shared" si="8"/>
        <v>DARF_ PIS | Recorrência:1/12 | Observações: PERÍODO DE APURAÇÃO 31/12/2021</v>
      </c>
      <c r="I281" t="s">
        <v>26</v>
      </c>
      <c r="J281" s="5">
        <v>-59.76</v>
      </c>
      <c r="K281" s="4">
        <v>461274.18</v>
      </c>
      <c r="L281" t="s">
        <v>27</v>
      </c>
      <c r="M281" s="5">
        <v>-59.76</v>
      </c>
      <c r="N281" s="3">
        <v>0</v>
      </c>
      <c r="O281" t="s">
        <v>680</v>
      </c>
      <c r="P281" t="s">
        <v>588</v>
      </c>
      <c r="Q281" t="s">
        <v>665</v>
      </c>
      <c r="R281" t="str">
        <f t="shared" si="9"/>
        <v>Sim</v>
      </c>
      <c r="S281" t="s">
        <v>665</v>
      </c>
      <c r="T281" t="s">
        <v>685</v>
      </c>
      <c r="U281" t="s">
        <v>483</v>
      </c>
      <c r="V281" s="3">
        <v>-59.76</v>
      </c>
      <c r="W281" t="s">
        <v>376</v>
      </c>
      <c r="X281" s="3">
        <v>-59.76</v>
      </c>
    </row>
    <row r="282" spans="1:24" s="2" customFormat="1" x14ac:dyDescent="0.2">
      <c r="A282" s="2">
        <v>282</v>
      </c>
      <c r="B282"/>
      <c r="C282" t="s">
        <v>251</v>
      </c>
      <c r="D282" t="s">
        <v>686</v>
      </c>
      <c r="E282" t="s">
        <v>30</v>
      </c>
      <c r="F282" t="s">
        <v>24</v>
      </c>
      <c r="G282" t="s">
        <v>25</v>
      </c>
      <c r="H282" t="str">
        <f t="shared" si="8"/>
        <v xml:space="preserve">CELINA DIAS_ LALIQUE TECIDOS E PAPEIS  | Recorrência: | Observações: </v>
      </c>
      <c r="I282" t="s">
        <v>26</v>
      </c>
      <c r="J282" s="4">
        <v>132.32</v>
      </c>
      <c r="K282" s="4">
        <v>461406.5</v>
      </c>
      <c r="L282" t="s">
        <v>27</v>
      </c>
      <c r="M282" s="4">
        <v>132.32</v>
      </c>
      <c r="N282" s="3">
        <v>0</v>
      </c>
      <c r="O282" t="s">
        <v>680</v>
      </c>
      <c r="P282" t="s">
        <v>591</v>
      </c>
      <c r="Q282" t="s">
        <v>591</v>
      </c>
      <c r="R282" t="str">
        <f t="shared" si="9"/>
        <v>Sim</v>
      </c>
      <c r="S282" t="s">
        <v>591</v>
      </c>
      <c r="T282" t="s">
        <v>30</v>
      </c>
      <c r="U282" t="s">
        <v>49</v>
      </c>
      <c r="V282" s="3">
        <v>132.32</v>
      </c>
      <c r="W282" t="s">
        <v>49</v>
      </c>
      <c r="X282" s="3">
        <v>132.32</v>
      </c>
    </row>
    <row r="283" spans="1:24" s="2" customFormat="1" x14ac:dyDescent="0.2">
      <c r="A283">
        <v>283</v>
      </c>
      <c r="B283"/>
      <c r="C283" t="s">
        <v>153</v>
      </c>
      <c r="D283" t="s">
        <v>659</v>
      </c>
      <c r="E283" t="s">
        <v>30</v>
      </c>
      <c r="F283" t="s">
        <v>63</v>
      </c>
      <c r="G283" t="s">
        <v>25</v>
      </c>
      <c r="H283" t="str">
        <f t="shared" si="8"/>
        <v xml:space="preserve">VALE TRANSPORTE _ELIANE | Recorrência: | Observações: </v>
      </c>
      <c r="I283" t="s">
        <v>26</v>
      </c>
      <c r="J283" s="5">
        <v>-88</v>
      </c>
      <c r="K283" s="4">
        <v>461318.5</v>
      </c>
      <c r="L283" t="s">
        <v>27</v>
      </c>
      <c r="M283" s="5">
        <v>-88</v>
      </c>
      <c r="N283" s="3">
        <v>0</v>
      </c>
      <c r="O283" t="s">
        <v>680</v>
      </c>
      <c r="P283" t="s">
        <v>609</v>
      </c>
      <c r="Q283" t="s">
        <v>680</v>
      </c>
      <c r="R283" t="str">
        <f t="shared" si="9"/>
        <v>Sim</v>
      </c>
      <c r="S283" t="s">
        <v>680</v>
      </c>
      <c r="T283" t="s">
        <v>30</v>
      </c>
      <c r="U283" t="s">
        <v>662</v>
      </c>
      <c r="V283" s="3">
        <v>-88</v>
      </c>
    </row>
    <row r="284" spans="1:24" s="2" customFormat="1" x14ac:dyDescent="0.2">
      <c r="A284" s="2">
        <v>284</v>
      </c>
      <c r="B284"/>
      <c r="C284" t="s">
        <v>512</v>
      </c>
      <c r="D284" t="s">
        <v>325</v>
      </c>
      <c r="E284" t="s">
        <v>73</v>
      </c>
      <c r="F284" t="s">
        <v>24</v>
      </c>
      <c r="G284" t="s">
        <v>25</v>
      </c>
      <c r="H284" t="str">
        <f t="shared" si="8"/>
        <v>VIA MADEIRA (HAEHLING) | Recorrência:1/5 | Observações: pedido 18/10 - 92.000,00</v>
      </c>
      <c r="I284" t="s">
        <v>26</v>
      </c>
      <c r="J284" s="4">
        <v>1840</v>
      </c>
      <c r="K284" s="4">
        <v>463158.5</v>
      </c>
      <c r="L284" t="s">
        <v>27</v>
      </c>
      <c r="M284" s="4">
        <v>1840</v>
      </c>
      <c r="N284" s="3">
        <v>0</v>
      </c>
      <c r="O284" t="s">
        <v>687</v>
      </c>
      <c r="P284" t="s">
        <v>485</v>
      </c>
      <c r="Q284" t="s">
        <v>688</v>
      </c>
      <c r="R284" t="str">
        <f t="shared" si="9"/>
        <v>Sim</v>
      </c>
      <c r="S284" t="s">
        <v>688</v>
      </c>
      <c r="T284" t="s">
        <v>513</v>
      </c>
      <c r="U284" t="s">
        <v>49</v>
      </c>
      <c r="V284" s="3">
        <v>1840</v>
      </c>
      <c r="W284" t="s">
        <v>49</v>
      </c>
      <c r="X284" s="3">
        <v>1840</v>
      </c>
    </row>
    <row r="285" spans="1:24" s="2" customFormat="1" x14ac:dyDescent="0.2">
      <c r="A285">
        <v>285</v>
      </c>
      <c r="B285"/>
      <c r="C285" t="s">
        <v>153</v>
      </c>
      <c r="D285" t="s">
        <v>689</v>
      </c>
      <c r="E285" t="s">
        <v>320</v>
      </c>
      <c r="F285" t="s">
        <v>63</v>
      </c>
      <c r="G285" t="s">
        <v>25</v>
      </c>
      <c r="H285" t="str">
        <f t="shared" si="8"/>
        <v>LIMPEZA_JULIANA COSTA SOARES | Recorrência:1/12 | Observações: DIÁRIAS: 05-12-19-26</v>
      </c>
      <c r="I285" t="s">
        <v>26</v>
      </c>
      <c r="J285" s="5">
        <v>-480</v>
      </c>
      <c r="K285" s="4">
        <v>462678.5</v>
      </c>
      <c r="L285" t="s">
        <v>27</v>
      </c>
      <c r="M285" s="5">
        <v>-480</v>
      </c>
      <c r="N285" s="3">
        <v>0</v>
      </c>
      <c r="O285" t="s">
        <v>687</v>
      </c>
      <c r="P285" t="s">
        <v>629</v>
      </c>
      <c r="Q285" t="s">
        <v>687</v>
      </c>
      <c r="R285" t="str">
        <f t="shared" si="9"/>
        <v>Sim</v>
      </c>
      <c r="S285" t="s">
        <v>687</v>
      </c>
      <c r="T285" t="s">
        <v>690</v>
      </c>
      <c r="U285" t="s">
        <v>691</v>
      </c>
      <c r="V285" s="3">
        <v>-480</v>
      </c>
      <c r="W285" t="s">
        <v>324</v>
      </c>
      <c r="X285" s="3">
        <v>-480</v>
      </c>
    </row>
    <row r="286" spans="1:24" s="2" customFormat="1" x14ac:dyDescent="0.2">
      <c r="A286" s="2">
        <v>286</v>
      </c>
      <c r="B286"/>
      <c r="C286" t="s">
        <v>297</v>
      </c>
      <c r="D286" t="s">
        <v>692</v>
      </c>
      <c r="E286" t="s">
        <v>30</v>
      </c>
      <c r="F286" t="s">
        <v>63</v>
      </c>
      <c r="G286" t="s">
        <v>25</v>
      </c>
      <c r="H286" t="str">
        <f t="shared" si="8"/>
        <v xml:space="preserve">DARE  | Recorrência: | Observações: Referente Alteração de Cadastro MN </v>
      </c>
      <c r="I286" t="s">
        <v>26</v>
      </c>
      <c r="J286" s="5">
        <v>-227.63</v>
      </c>
      <c r="K286" s="4">
        <v>462450.87</v>
      </c>
      <c r="L286" t="s">
        <v>27</v>
      </c>
      <c r="M286" s="5">
        <v>-227.63</v>
      </c>
      <c r="N286" s="3">
        <v>0</v>
      </c>
      <c r="O286" t="s">
        <v>687</v>
      </c>
      <c r="P286" t="s">
        <v>682</v>
      </c>
      <c r="Q286" t="s">
        <v>693</v>
      </c>
      <c r="R286" t="str">
        <f t="shared" si="9"/>
        <v>Sim</v>
      </c>
      <c r="S286" t="s">
        <v>693</v>
      </c>
      <c r="T286" t="s">
        <v>694</v>
      </c>
      <c r="U286" t="s">
        <v>695</v>
      </c>
      <c r="V286" s="3">
        <v>-227.63</v>
      </c>
      <c r="W286" t="s">
        <v>577</v>
      </c>
      <c r="X286" s="3">
        <v>-227.63</v>
      </c>
    </row>
    <row r="287" spans="1:24" s="2" customFormat="1" x14ac:dyDescent="0.2">
      <c r="A287">
        <v>287</v>
      </c>
      <c r="B287"/>
      <c r="C287" t="s">
        <v>153</v>
      </c>
      <c r="D287" t="s">
        <v>659</v>
      </c>
      <c r="E287" t="s">
        <v>30</v>
      </c>
      <c r="F287" t="s">
        <v>63</v>
      </c>
      <c r="G287" t="s">
        <v>25</v>
      </c>
      <c r="H287" t="str">
        <f t="shared" si="8"/>
        <v>VALE TRANSPORTE _ELIANE | Recorrência: | Observações: 20 dias do mês de fevereiro</v>
      </c>
      <c r="I287" t="s">
        <v>26</v>
      </c>
      <c r="J287" s="5">
        <v>-352</v>
      </c>
      <c r="K287" s="4">
        <v>462098.87</v>
      </c>
      <c r="L287" t="s">
        <v>27</v>
      </c>
      <c r="M287" s="5">
        <v>-352</v>
      </c>
      <c r="N287" s="3">
        <v>0</v>
      </c>
      <c r="O287" t="s">
        <v>687</v>
      </c>
      <c r="P287" t="s">
        <v>696</v>
      </c>
      <c r="Q287" t="s">
        <v>688</v>
      </c>
      <c r="R287" t="str">
        <f t="shared" si="9"/>
        <v>Sim</v>
      </c>
      <c r="S287" t="s">
        <v>688</v>
      </c>
      <c r="T287" t="s">
        <v>697</v>
      </c>
      <c r="U287" t="s">
        <v>662</v>
      </c>
      <c r="V287" s="3">
        <v>-352</v>
      </c>
      <c r="W287" t="s">
        <v>698</v>
      </c>
      <c r="X287" s="3">
        <v>-352</v>
      </c>
    </row>
    <row r="288" spans="1:24" s="2" customFormat="1" x14ac:dyDescent="0.2">
      <c r="A288" s="2">
        <v>288</v>
      </c>
      <c r="B288"/>
      <c r="C288"/>
      <c r="D288" t="s">
        <v>700</v>
      </c>
      <c r="E288" t="s">
        <v>30</v>
      </c>
      <c r="F288" t="s">
        <v>63</v>
      </c>
      <c r="G288" t="s">
        <v>25</v>
      </c>
      <c r="H288" t="str">
        <f t="shared" si="8"/>
        <v>GASTOS EXTRAS - CONTABILIDADE | Recorrência: | Observações: CARTÓRIO E CORREIOS</v>
      </c>
      <c r="I288" t="s">
        <v>26</v>
      </c>
      <c r="J288" s="5">
        <v>-103.7</v>
      </c>
      <c r="K288" s="4">
        <v>461995.17</v>
      </c>
      <c r="L288" t="s">
        <v>27</v>
      </c>
      <c r="M288" s="5">
        <v>-103.7</v>
      </c>
      <c r="N288" s="3">
        <v>0</v>
      </c>
      <c r="O288" t="s">
        <v>699</v>
      </c>
      <c r="P288" t="s">
        <v>699</v>
      </c>
      <c r="Q288" t="s">
        <v>699</v>
      </c>
      <c r="R288" t="str">
        <f t="shared" si="9"/>
        <v>Sim</v>
      </c>
      <c r="S288" t="s">
        <v>699</v>
      </c>
      <c r="T288" t="s">
        <v>701</v>
      </c>
      <c r="U288" t="s">
        <v>158</v>
      </c>
      <c r="V288" s="3">
        <v>-103.7</v>
      </c>
      <c r="W288" t="s">
        <v>190</v>
      </c>
      <c r="X288" s="3">
        <v>-103.7</v>
      </c>
    </row>
    <row r="289" spans="1:24" s="2" customFormat="1" x14ac:dyDescent="0.2">
      <c r="A289">
        <v>289</v>
      </c>
      <c r="B289" t="s">
        <v>702</v>
      </c>
      <c r="C289" t="s">
        <v>703</v>
      </c>
      <c r="D289" t="s">
        <v>704</v>
      </c>
      <c r="E289" t="s">
        <v>30</v>
      </c>
      <c r="F289" t="s">
        <v>63</v>
      </c>
      <c r="G289" t="s">
        <v>25</v>
      </c>
      <c r="H289" t="str">
        <f t="shared" si="8"/>
        <v>MATERIAIS DE INFORMÁTICA | Recorrência: | Observações: PENDRIVE 16GB</v>
      </c>
      <c r="I289" t="s">
        <v>26</v>
      </c>
      <c r="J289" s="5">
        <v>-55</v>
      </c>
      <c r="K289" s="4">
        <v>461940.17</v>
      </c>
      <c r="L289" t="s">
        <v>27</v>
      </c>
      <c r="M289" s="5">
        <v>-55</v>
      </c>
      <c r="N289" s="3">
        <v>0</v>
      </c>
      <c r="O289" t="s">
        <v>699</v>
      </c>
      <c r="P289" t="s">
        <v>699</v>
      </c>
      <c r="Q289" t="s">
        <v>699</v>
      </c>
      <c r="R289" t="str">
        <f t="shared" si="9"/>
        <v>Sim</v>
      </c>
      <c r="S289" t="s">
        <v>699</v>
      </c>
      <c r="T289" t="s">
        <v>705</v>
      </c>
      <c r="U289" t="s">
        <v>641</v>
      </c>
      <c r="V289" s="3">
        <v>-55</v>
      </c>
      <c r="W289" t="s">
        <v>577</v>
      </c>
      <c r="X289" s="3">
        <v>-55</v>
      </c>
    </row>
    <row r="290" spans="1:24" s="2" customFormat="1" x14ac:dyDescent="0.2">
      <c r="A290" s="2">
        <v>290</v>
      </c>
      <c r="B290"/>
      <c r="C290" t="s">
        <v>153</v>
      </c>
      <c r="D290" t="s">
        <v>639</v>
      </c>
      <c r="E290" t="s">
        <v>30</v>
      </c>
      <c r="F290" t="s">
        <v>63</v>
      </c>
      <c r="G290" t="s">
        <v>25</v>
      </c>
      <c r="H290" t="str">
        <f t="shared" si="8"/>
        <v>DESPESAS COMERCIAIS | Recorrência: | Observações: REUNIÃO CLIENTE: GABRIELA BORGES
Coffee &gt; Despesas na Padaria Latine</v>
      </c>
      <c r="I290" t="s">
        <v>26</v>
      </c>
      <c r="J290" s="5">
        <v>-71.900000000000006</v>
      </c>
      <c r="K290" s="4">
        <v>461868.27</v>
      </c>
      <c r="L290" t="s">
        <v>27</v>
      </c>
      <c r="M290" s="5">
        <v>-71.900000000000006</v>
      </c>
      <c r="N290" s="3">
        <v>0</v>
      </c>
      <c r="O290" t="s">
        <v>706</v>
      </c>
      <c r="P290" t="s">
        <v>706</v>
      </c>
      <c r="Q290" t="s">
        <v>706</v>
      </c>
      <c r="R290" t="str">
        <f t="shared" si="9"/>
        <v>Sim</v>
      </c>
      <c r="S290" t="s">
        <v>706</v>
      </c>
      <c r="T290" t="s">
        <v>707</v>
      </c>
      <c r="U290" t="s">
        <v>708</v>
      </c>
      <c r="V290" s="3">
        <v>-71.900000000000006</v>
      </c>
      <c r="W290" t="s">
        <v>219</v>
      </c>
      <c r="X290" s="3">
        <v>-71.900000000000006</v>
      </c>
    </row>
    <row r="291" spans="1:24" s="2" customFormat="1" x14ac:dyDescent="0.2">
      <c r="A291">
        <v>291</v>
      </c>
      <c r="B291"/>
      <c r="C291" t="s">
        <v>710</v>
      </c>
      <c r="D291" t="s">
        <v>711</v>
      </c>
      <c r="E291" t="s">
        <v>320</v>
      </c>
      <c r="F291" t="s">
        <v>63</v>
      </c>
      <c r="G291" t="s">
        <v>25</v>
      </c>
      <c r="H291" t="str">
        <f t="shared" si="8"/>
        <v>ELETROPAULO_ENERGIA _ITAIM | Recorrência:1/12 | Observações: conta referente janeiro 2022</v>
      </c>
      <c r="I291" t="s">
        <v>26</v>
      </c>
      <c r="J291" s="5">
        <v>-479.01</v>
      </c>
      <c r="K291" s="4">
        <v>461389.26</v>
      </c>
      <c r="L291" t="s">
        <v>27</v>
      </c>
      <c r="M291" s="5">
        <v>-479.01</v>
      </c>
      <c r="N291" s="3">
        <v>0</v>
      </c>
      <c r="O291" t="s">
        <v>709</v>
      </c>
      <c r="P291" t="s">
        <v>581</v>
      </c>
      <c r="Q291" t="s">
        <v>712</v>
      </c>
      <c r="R291" t="str">
        <f t="shared" si="9"/>
        <v>Sim</v>
      </c>
      <c r="S291" t="s">
        <v>712</v>
      </c>
      <c r="T291" t="s">
        <v>713</v>
      </c>
      <c r="U291" t="s">
        <v>125</v>
      </c>
      <c r="V291" s="3">
        <v>-479.01</v>
      </c>
      <c r="W291" t="s">
        <v>324</v>
      </c>
      <c r="X291" s="3">
        <v>-479.01</v>
      </c>
    </row>
    <row r="292" spans="1:24" s="2" customFormat="1" x14ac:dyDescent="0.2">
      <c r="A292" s="2">
        <v>292</v>
      </c>
      <c r="B292"/>
      <c r="C292"/>
      <c r="D292" t="s">
        <v>151</v>
      </c>
      <c r="E292" t="s">
        <v>398</v>
      </c>
      <c r="F292" t="s">
        <v>63</v>
      </c>
      <c r="G292" t="s">
        <v>25</v>
      </c>
      <c r="H292" t="str">
        <f t="shared" si="8"/>
        <v xml:space="preserve">SODEXO - Eliane  | Recorrência:2/12 | Observações: </v>
      </c>
      <c r="I292" t="s">
        <v>26</v>
      </c>
      <c r="J292" s="5">
        <v>-594</v>
      </c>
      <c r="K292" s="4">
        <v>460795.26</v>
      </c>
      <c r="L292" t="s">
        <v>27</v>
      </c>
      <c r="M292" s="5">
        <v>-594</v>
      </c>
      <c r="N292" s="3">
        <v>0</v>
      </c>
      <c r="O292" t="s">
        <v>709</v>
      </c>
      <c r="P292" t="s">
        <v>665</v>
      </c>
      <c r="Q292" t="s">
        <v>714</v>
      </c>
      <c r="R292" t="str">
        <f t="shared" si="9"/>
        <v>Sim</v>
      </c>
      <c r="S292" t="s">
        <v>714</v>
      </c>
      <c r="T292" t="s">
        <v>30</v>
      </c>
      <c r="U292" t="s">
        <v>93</v>
      </c>
      <c r="V292" s="3">
        <v>-594</v>
      </c>
    </row>
    <row r="293" spans="1:24" s="2" customFormat="1" x14ac:dyDescent="0.2">
      <c r="A293">
        <v>293</v>
      </c>
      <c r="B293"/>
      <c r="C293" t="s">
        <v>297</v>
      </c>
      <c r="D293" t="s">
        <v>715</v>
      </c>
      <c r="E293" t="s">
        <v>320</v>
      </c>
      <c r="F293" t="s">
        <v>63</v>
      </c>
      <c r="G293" t="s">
        <v>25</v>
      </c>
      <c r="H293" t="str">
        <f t="shared" si="8"/>
        <v xml:space="preserve">DARF PREVIDENCIARIO (ANTIGO GPS) | Recorrência:1/12 | Observações: valor poderá ser alterado </v>
      </c>
      <c r="I293" t="s">
        <v>26</v>
      </c>
      <c r="J293" s="5">
        <v>-857.77</v>
      </c>
      <c r="K293" s="4">
        <v>459937.49</v>
      </c>
      <c r="L293" t="s">
        <v>27</v>
      </c>
      <c r="M293" s="5">
        <v>-857.77</v>
      </c>
      <c r="N293" s="3">
        <v>0</v>
      </c>
      <c r="O293" t="s">
        <v>709</v>
      </c>
      <c r="P293" t="s">
        <v>581</v>
      </c>
      <c r="Q293" t="s">
        <v>716</v>
      </c>
      <c r="R293" t="str">
        <f t="shared" si="9"/>
        <v>Sim</v>
      </c>
      <c r="S293" t="s">
        <v>716</v>
      </c>
      <c r="T293" t="s">
        <v>717</v>
      </c>
      <c r="U293" t="s">
        <v>677</v>
      </c>
      <c r="V293" s="3">
        <v>-857.77</v>
      </c>
      <c r="W293" t="s">
        <v>376</v>
      </c>
      <c r="X293" s="3">
        <v>-857.77</v>
      </c>
    </row>
    <row r="294" spans="1:24" s="2" customFormat="1" x14ac:dyDescent="0.2">
      <c r="A294" s="2">
        <v>294</v>
      </c>
      <c r="B294"/>
      <c r="C294" t="s">
        <v>153</v>
      </c>
      <c r="D294" t="s">
        <v>636</v>
      </c>
      <c r="E294" t="s">
        <v>398</v>
      </c>
      <c r="F294" t="s">
        <v>63</v>
      </c>
      <c r="G294" t="s">
        <v>25</v>
      </c>
      <c r="H294" t="str">
        <f t="shared" si="8"/>
        <v>SALÁRIO ELIANE | Recorrência:2/12 | Observações: REFERENTE A JANEIRO</v>
      </c>
      <c r="I294" t="s">
        <v>26</v>
      </c>
      <c r="J294" s="5">
        <v>-1384</v>
      </c>
      <c r="K294" s="4">
        <v>458553.49</v>
      </c>
      <c r="L294" t="s">
        <v>27</v>
      </c>
      <c r="M294" s="5">
        <v>-1384</v>
      </c>
      <c r="N294" s="3">
        <v>0</v>
      </c>
      <c r="O294" t="s">
        <v>709</v>
      </c>
      <c r="P294" t="s">
        <v>712</v>
      </c>
      <c r="Q294" t="s">
        <v>718</v>
      </c>
      <c r="R294" t="str">
        <f t="shared" si="9"/>
        <v>Sim</v>
      </c>
      <c r="S294" t="s">
        <v>718</v>
      </c>
      <c r="T294" t="s">
        <v>719</v>
      </c>
      <c r="U294" t="s">
        <v>323</v>
      </c>
      <c r="V294" s="3">
        <v>-1384</v>
      </c>
      <c r="W294" t="s">
        <v>324</v>
      </c>
      <c r="X294" s="3">
        <v>-1384</v>
      </c>
    </row>
    <row r="295" spans="1:24" s="2" customFormat="1" x14ac:dyDescent="0.2">
      <c r="A295">
        <v>295</v>
      </c>
      <c r="B295"/>
      <c r="C295"/>
      <c r="D295" t="s">
        <v>720</v>
      </c>
      <c r="E295" t="s">
        <v>320</v>
      </c>
      <c r="F295" t="s">
        <v>63</v>
      </c>
      <c r="G295" t="s">
        <v>25</v>
      </c>
      <c r="H295" t="str">
        <f t="shared" si="8"/>
        <v xml:space="preserve">ALUGUEL JOAQUIM FLORIANO | Recorrência:1/12 | Observações: </v>
      </c>
      <c r="I295" t="s">
        <v>26</v>
      </c>
      <c r="J295" s="5">
        <v>-1932.97</v>
      </c>
      <c r="K295" s="4">
        <v>456620.52</v>
      </c>
      <c r="L295" t="s">
        <v>27</v>
      </c>
      <c r="M295" s="5">
        <v>-1932.97</v>
      </c>
      <c r="N295" s="3">
        <v>0</v>
      </c>
      <c r="O295" t="s">
        <v>709</v>
      </c>
      <c r="P295" t="s">
        <v>626</v>
      </c>
      <c r="Q295" t="s">
        <v>718</v>
      </c>
      <c r="R295" t="str">
        <f t="shared" si="9"/>
        <v>Sim</v>
      </c>
      <c r="S295" t="s">
        <v>718</v>
      </c>
      <c r="T295" t="s">
        <v>30</v>
      </c>
      <c r="U295" t="s">
        <v>545</v>
      </c>
      <c r="V295" s="3">
        <v>-1932.97</v>
      </c>
    </row>
    <row r="296" spans="1:24" s="2" customFormat="1" x14ac:dyDescent="0.2">
      <c r="A296" s="2">
        <v>296</v>
      </c>
      <c r="B296"/>
      <c r="C296" t="s">
        <v>297</v>
      </c>
      <c r="D296" t="s">
        <v>721</v>
      </c>
      <c r="E296" t="s">
        <v>320</v>
      </c>
      <c r="F296" t="s">
        <v>63</v>
      </c>
      <c r="G296" t="s">
        <v>25</v>
      </c>
      <c r="H296" t="str">
        <f t="shared" si="8"/>
        <v>DARF_IRPJ | Recorrência:1/12 | Observações: PERIODO DE APURAÇÃO 31/12/2021</v>
      </c>
      <c r="I296" t="s">
        <v>26</v>
      </c>
      <c r="J296" s="5">
        <v>-963.89</v>
      </c>
      <c r="K296" s="4">
        <v>455656.63</v>
      </c>
      <c r="L296" t="s">
        <v>27</v>
      </c>
      <c r="M296" s="5">
        <v>-963.89</v>
      </c>
      <c r="N296" s="3">
        <v>0</v>
      </c>
      <c r="O296" t="s">
        <v>709</v>
      </c>
      <c r="P296" t="s">
        <v>681</v>
      </c>
      <c r="Q296" t="s">
        <v>709</v>
      </c>
      <c r="R296" t="str">
        <f t="shared" si="9"/>
        <v>Sim</v>
      </c>
      <c r="S296" t="s">
        <v>709</v>
      </c>
      <c r="T296" t="s">
        <v>722</v>
      </c>
      <c r="U296" t="s">
        <v>280</v>
      </c>
      <c r="V296" s="3">
        <v>-963.89</v>
      </c>
    </row>
    <row r="297" spans="1:24" s="2" customFormat="1" x14ac:dyDescent="0.2">
      <c r="A297">
        <v>297</v>
      </c>
      <c r="B297"/>
      <c r="C297"/>
      <c r="D297" t="s">
        <v>723</v>
      </c>
      <c r="E297" t="s">
        <v>30</v>
      </c>
      <c r="F297" t="s">
        <v>63</v>
      </c>
      <c r="G297" t="s">
        <v>25</v>
      </c>
      <c r="H297" t="str">
        <f t="shared" si="8"/>
        <v xml:space="preserve">1/12 SODEXO - ELIANE | Recorrência: | Observações: </v>
      </c>
      <c r="I297" t="s">
        <v>26</v>
      </c>
      <c r="J297" s="5">
        <v>-540</v>
      </c>
      <c r="K297" s="4">
        <v>455116.63</v>
      </c>
      <c r="L297" t="s">
        <v>27</v>
      </c>
      <c r="M297" s="5">
        <v>-540</v>
      </c>
      <c r="N297" s="3">
        <v>0</v>
      </c>
      <c r="O297" t="s">
        <v>709</v>
      </c>
      <c r="P297" t="s">
        <v>706</v>
      </c>
      <c r="Q297" t="s">
        <v>724</v>
      </c>
      <c r="R297" t="str">
        <f t="shared" si="9"/>
        <v>Sim</v>
      </c>
      <c r="S297" t="s">
        <v>724</v>
      </c>
      <c r="T297" t="s">
        <v>30</v>
      </c>
      <c r="U297" t="s">
        <v>93</v>
      </c>
      <c r="V297" s="3">
        <v>-540</v>
      </c>
    </row>
    <row r="298" spans="1:24" s="2" customFormat="1" x14ac:dyDescent="0.2">
      <c r="A298" s="2">
        <v>298</v>
      </c>
      <c r="B298"/>
      <c r="C298" t="s">
        <v>297</v>
      </c>
      <c r="D298" t="s">
        <v>725</v>
      </c>
      <c r="E298" t="s">
        <v>22</v>
      </c>
      <c r="F298" t="s">
        <v>63</v>
      </c>
      <c r="G298" t="s">
        <v>25</v>
      </c>
      <c r="H298" t="str">
        <f t="shared" si="8"/>
        <v>DARF_CLSS | Recorrência:1/4 | Observações: PERÍODO DE APURAÇÃO 31/12/21</v>
      </c>
      <c r="I298" t="s">
        <v>26</v>
      </c>
      <c r="J298" s="5">
        <v>-789.3</v>
      </c>
      <c r="K298" s="4">
        <v>454327.33</v>
      </c>
      <c r="L298" t="s">
        <v>27</v>
      </c>
      <c r="M298" s="5">
        <v>-789.3</v>
      </c>
      <c r="N298" s="3">
        <v>0</v>
      </c>
      <c r="O298" t="s">
        <v>709</v>
      </c>
      <c r="P298" t="s">
        <v>726</v>
      </c>
      <c r="Q298" t="s">
        <v>709</v>
      </c>
      <c r="R298" t="str">
        <f t="shared" si="9"/>
        <v>Sim</v>
      </c>
      <c r="S298" t="s">
        <v>709</v>
      </c>
      <c r="T298" t="s">
        <v>727</v>
      </c>
      <c r="U298" t="s">
        <v>728</v>
      </c>
      <c r="V298" s="3">
        <v>-789.3</v>
      </c>
      <c r="W298" t="s">
        <v>376</v>
      </c>
      <c r="X298" s="3">
        <v>-789.3</v>
      </c>
    </row>
    <row r="299" spans="1:24" s="2" customFormat="1" x14ac:dyDescent="0.2">
      <c r="A299">
        <v>299</v>
      </c>
      <c r="B299"/>
      <c r="C299" t="s">
        <v>153</v>
      </c>
      <c r="D299" t="s">
        <v>650</v>
      </c>
      <c r="E299" t="s">
        <v>398</v>
      </c>
      <c r="F299" t="s">
        <v>63</v>
      </c>
      <c r="G299" t="s">
        <v>25</v>
      </c>
      <c r="H299" t="str">
        <f t="shared" si="8"/>
        <v xml:space="preserve">FGTS | Recorrência:2/12 | Observações: </v>
      </c>
      <c r="I299" t="s">
        <v>26</v>
      </c>
      <c r="J299" s="5">
        <v>-120.1</v>
      </c>
      <c r="K299" s="4">
        <v>454207.23</v>
      </c>
      <c r="L299" t="s">
        <v>27</v>
      </c>
      <c r="M299" s="5">
        <v>-120.1</v>
      </c>
      <c r="N299" s="3">
        <v>0</v>
      </c>
      <c r="O299" t="s">
        <v>696</v>
      </c>
      <c r="P299" t="s">
        <v>646</v>
      </c>
      <c r="Q299" t="s">
        <v>729</v>
      </c>
      <c r="R299" t="str">
        <f t="shared" si="9"/>
        <v>Sim</v>
      </c>
      <c r="S299" t="s">
        <v>729</v>
      </c>
      <c r="T299" t="s">
        <v>30</v>
      </c>
      <c r="U299" t="s">
        <v>651</v>
      </c>
      <c r="V299" s="3">
        <v>-120.1</v>
      </c>
      <c r="W299" t="s">
        <v>376</v>
      </c>
      <c r="X299" s="3">
        <v>-120.1</v>
      </c>
    </row>
    <row r="300" spans="1:24" s="2" customFormat="1" x14ac:dyDescent="0.2">
      <c r="A300" s="2">
        <v>300</v>
      </c>
      <c r="B300"/>
      <c r="C300" t="s">
        <v>153</v>
      </c>
      <c r="D300" t="s">
        <v>519</v>
      </c>
      <c r="E300" t="s">
        <v>730</v>
      </c>
      <c r="F300" t="s">
        <v>63</v>
      </c>
      <c r="G300" t="s">
        <v>25</v>
      </c>
      <c r="H300" t="str">
        <f t="shared" si="8"/>
        <v xml:space="preserve">SALÁRIO POLIANA  | Recorrência:7/12 | Observações: ESTAGIÁRIA </v>
      </c>
      <c r="I300" t="s">
        <v>26</v>
      </c>
      <c r="J300" s="5">
        <v>-1410.5</v>
      </c>
      <c r="K300" s="4">
        <v>452796.73</v>
      </c>
      <c r="L300" t="s">
        <v>27</v>
      </c>
      <c r="M300" s="5">
        <v>-1410.5</v>
      </c>
      <c r="N300" s="3">
        <v>0</v>
      </c>
      <c r="O300" t="s">
        <v>696</v>
      </c>
      <c r="P300" t="s">
        <v>629</v>
      </c>
      <c r="Q300" t="s">
        <v>696</v>
      </c>
      <c r="R300" t="str">
        <f t="shared" si="9"/>
        <v>Sim</v>
      </c>
      <c r="S300" t="s">
        <v>696</v>
      </c>
      <c r="T300" t="s">
        <v>322</v>
      </c>
      <c r="U300" t="s">
        <v>323</v>
      </c>
      <c r="V300" s="3">
        <v>-1410.5</v>
      </c>
      <c r="W300" t="s">
        <v>324</v>
      </c>
      <c r="X300" s="3">
        <v>-1410.5</v>
      </c>
    </row>
    <row r="301" spans="1:24" s="2" customFormat="1" x14ac:dyDescent="0.2">
      <c r="A301">
        <v>301</v>
      </c>
      <c r="B301"/>
      <c r="C301" t="s">
        <v>153</v>
      </c>
      <c r="D301" t="s">
        <v>635</v>
      </c>
      <c r="E301" t="s">
        <v>398</v>
      </c>
      <c r="F301" t="s">
        <v>63</v>
      </c>
      <c r="G301" t="s">
        <v>25</v>
      </c>
      <c r="H301" t="str">
        <f t="shared" si="8"/>
        <v xml:space="preserve">SALÁRIO HELOISA | Recorrência:2/12 | Observações: </v>
      </c>
      <c r="I301" t="s">
        <v>26</v>
      </c>
      <c r="J301" s="5">
        <v>-2204.1999999999998</v>
      </c>
      <c r="K301" s="4">
        <v>450592.53</v>
      </c>
      <c r="L301" t="s">
        <v>27</v>
      </c>
      <c r="M301" s="5">
        <v>-2204.1999999999998</v>
      </c>
      <c r="N301" s="3">
        <v>0</v>
      </c>
      <c r="O301" t="s">
        <v>696</v>
      </c>
      <c r="P301" t="s">
        <v>629</v>
      </c>
      <c r="Q301" t="s">
        <v>696</v>
      </c>
      <c r="R301" t="str">
        <f t="shared" si="9"/>
        <v>Sim</v>
      </c>
      <c r="S301" t="s">
        <v>696</v>
      </c>
      <c r="T301" t="s">
        <v>30</v>
      </c>
      <c r="U301" t="s">
        <v>323</v>
      </c>
      <c r="V301" s="3">
        <v>-2204.1999999999998</v>
      </c>
      <c r="W301" t="s">
        <v>324</v>
      </c>
      <c r="X301" s="3">
        <v>-2204.1999999999998</v>
      </c>
    </row>
    <row r="302" spans="1:24" s="2" customFormat="1" x14ac:dyDescent="0.2">
      <c r="A302" s="2">
        <v>302</v>
      </c>
      <c r="B302"/>
      <c r="C302" t="s">
        <v>153</v>
      </c>
      <c r="D302" t="s">
        <v>572</v>
      </c>
      <c r="E302" t="s">
        <v>471</v>
      </c>
      <c r="F302" t="s">
        <v>63</v>
      </c>
      <c r="G302" t="s">
        <v>25</v>
      </c>
      <c r="H302" t="str">
        <f t="shared" si="8"/>
        <v xml:space="preserve">SALARIO FELIPE | Recorrência:3/12 | Observações: </v>
      </c>
      <c r="I302" t="s">
        <v>26</v>
      </c>
      <c r="J302" s="5">
        <v>-1164.8</v>
      </c>
      <c r="K302" s="4">
        <v>449427.73</v>
      </c>
      <c r="L302" t="s">
        <v>27</v>
      </c>
      <c r="M302" s="5">
        <v>-1164.8</v>
      </c>
      <c r="N302" s="3">
        <v>0</v>
      </c>
      <c r="O302" t="s">
        <v>696</v>
      </c>
      <c r="P302" t="s">
        <v>625</v>
      </c>
      <c r="Q302" t="s">
        <v>696</v>
      </c>
      <c r="R302" t="str">
        <f t="shared" si="9"/>
        <v>Sim</v>
      </c>
      <c r="S302" t="s">
        <v>696</v>
      </c>
      <c r="T302" t="s">
        <v>30</v>
      </c>
      <c r="U302" t="s">
        <v>323</v>
      </c>
      <c r="V302" s="3">
        <v>-1164.8</v>
      </c>
      <c r="W302" t="s">
        <v>324</v>
      </c>
      <c r="X302" s="3">
        <v>-1164.8</v>
      </c>
    </row>
    <row r="303" spans="1:24" s="2" customFormat="1" x14ac:dyDescent="0.2">
      <c r="A303">
        <v>303</v>
      </c>
      <c r="B303"/>
      <c r="C303" t="s">
        <v>153</v>
      </c>
      <c r="D303" t="s">
        <v>731</v>
      </c>
      <c r="E303" t="s">
        <v>320</v>
      </c>
      <c r="F303" t="s">
        <v>63</v>
      </c>
      <c r="G303" t="s">
        <v>25</v>
      </c>
      <c r="H303" t="str">
        <f t="shared" si="8"/>
        <v xml:space="preserve">ISABEL BONFIM_ARQUITETA | Recorrência:1/12 | Observações: </v>
      </c>
      <c r="I303" t="s">
        <v>26</v>
      </c>
      <c r="J303" s="5">
        <v>-3201.81</v>
      </c>
      <c r="K303" s="4">
        <v>446225.91999999998</v>
      </c>
      <c r="L303" t="s">
        <v>27</v>
      </c>
      <c r="M303" s="5">
        <v>-3201.81</v>
      </c>
      <c r="N303" s="3">
        <v>0</v>
      </c>
      <c r="O303" t="s">
        <v>696</v>
      </c>
      <c r="P303" t="s">
        <v>629</v>
      </c>
      <c r="Q303" t="s">
        <v>696</v>
      </c>
      <c r="R303" t="str">
        <f t="shared" si="9"/>
        <v>Sim</v>
      </c>
      <c r="S303" t="s">
        <v>696</v>
      </c>
      <c r="T303" t="s">
        <v>30</v>
      </c>
      <c r="U303" t="s">
        <v>323</v>
      </c>
      <c r="V303" s="3">
        <v>-3201.81</v>
      </c>
      <c r="W303" t="s">
        <v>324</v>
      </c>
      <c r="X303" s="3">
        <v>-3201.81</v>
      </c>
    </row>
    <row r="304" spans="1:24" s="2" customFormat="1" x14ac:dyDescent="0.2">
      <c r="A304" s="2">
        <v>304</v>
      </c>
      <c r="B304"/>
      <c r="C304" t="s">
        <v>153</v>
      </c>
      <c r="D304" t="s">
        <v>733</v>
      </c>
      <c r="E304" t="s">
        <v>320</v>
      </c>
      <c r="F304" t="s">
        <v>63</v>
      </c>
      <c r="G304" t="s">
        <v>25</v>
      </c>
      <c r="H304" t="str">
        <f t="shared" si="8"/>
        <v xml:space="preserve">ISABELA ROSSI _ ESTAGIÁRIA  | Recorrência:1/12 | Observações: </v>
      </c>
      <c r="I304" t="s">
        <v>26</v>
      </c>
      <c r="J304" s="5">
        <v>-1053.0999999999999</v>
      </c>
      <c r="K304" s="4">
        <v>445172.82</v>
      </c>
      <c r="L304" t="s">
        <v>27</v>
      </c>
      <c r="M304" s="5">
        <v>-1053.0999999999999</v>
      </c>
      <c r="N304" s="3">
        <v>0</v>
      </c>
      <c r="O304" t="s">
        <v>732</v>
      </c>
      <c r="P304" t="s">
        <v>629</v>
      </c>
      <c r="Q304" t="s">
        <v>718</v>
      </c>
      <c r="R304" t="str">
        <f t="shared" si="9"/>
        <v>Sim</v>
      </c>
      <c r="S304" t="s">
        <v>718</v>
      </c>
      <c r="T304" t="s">
        <v>30</v>
      </c>
      <c r="U304" t="s">
        <v>323</v>
      </c>
      <c r="V304" s="3">
        <v>-1053.0999999999999</v>
      </c>
      <c r="W304" t="s">
        <v>324</v>
      </c>
      <c r="X304" s="3">
        <v>-1053.0999999999999</v>
      </c>
    </row>
    <row r="305" spans="1:24" s="2" customFormat="1" x14ac:dyDescent="0.2">
      <c r="A305">
        <v>305</v>
      </c>
      <c r="B305"/>
      <c r="C305" t="s">
        <v>418</v>
      </c>
      <c r="D305" t="s">
        <v>419</v>
      </c>
      <c r="E305" t="s">
        <v>95</v>
      </c>
      <c r="F305" t="s">
        <v>24</v>
      </c>
      <c r="G305" t="s">
        <v>25</v>
      </c>
      <c r="H305" t="str">
        <f t="shared" si="8"/>
        <v xml:space="preserve">MARIA ISABEL NAJM_FLÁVIO-SÃO PAULO | Recorrência:2/2 | Observações: </v>
      </c>
      <c r="I305" t="s">
        <v>26</v>
      </c>
      <c r="J305" s="4">
        <v>2500</v>
      </c>
      <c r="K305" s="4">
        <v>447672.82</v>
      </c>
      <c r="L305" t="s">
        <v>27</v>
      </c>
      <c r="M305" s="4">
        <v>2500</v>
      </c>
      <c r="N305" s="3">
        <v>0</v>
      </c>
      <c r="O305" t="s">
        <v>734</v>
      </c>
      <c r="P305" t="s">
        <v>477</v>
      </c>
      <c r="Q305" t="s">
        <v>735</v>
      </c>
      <c r="R305" t="str">
        <f t="shared" si="9"/>
        <v>Sim</v>
      </c>
      <c r="S305" t="s">
        <v>735</v>
      </c>
      <c r="T305" t="s">
        <v>30</v>
      </c>
      <c r="U305" t="s">
        <v>31</v>
      </c>
      <c r="V305" s="3">
        <v>2500</v>
      </c>
      <c r="W305" t="s">
        <v>32</v>
      </c>
      <c r="X305" s="3">
        <v>2500</v>
      </c>
    </row>
    <row r="306" spans="1:24" s="2" customFormat="1" x14ac:dyDescent="0.2">
      <c r="A306" s="2">
        <v>306</v>
      </c>
      <c r="B306"/>
      <c r="C306" t="s">
        <v>737</v>
      </c>
      <c r="D306" t="s">
        <v>738</v>
      </c>
      <c r="E306" t="s">
        <v>67</v>
      </c>
      <c r="F306" t="s">
        <v>24</v>
      </c>
      <c r="G306" t="s">
        <v>25</v>
      </c>
      <c r="H306" t="str">
        <f t="shared" si="8"/>
        <v xml:space="preserve">BRUNA ELIAS_QUARTO LORENZO E BERNADO | Recorrência:1/2 | Observações: </v>
      </c>
      <c r="I306" t="s">
        <v>26</v>
      </c>
      <c r="J306" s="4">
        <v>3000</v>
      </c>
      <c r="K306" s="4">
        <v>450672.82</v>
      </c>
      <c r="L306" t="s">
        <v>27</v>
      </c>
      <c r="M306" s="4">
        <v>3000</v>
      </c>
      <c r="N306" s="3">
        <v>0</v>
      </c>
      <c r="O306" t="s">
        <v>736</v>
      </c>
      <c r="P306" t="s">
        <v>734</v>
      </c>
      <c r="Q306" t="s">
        <v>736</v>
      </c>
      <c r="R306" t="str">
        <f t="shared" si="9"/>
        <v>Sim</v>
      </c>
      <c r="S306" t="s">
        <v>736</v>
      </c>
      <c r="T306" t="s">
        <v>30</v>
      </c>
      <c r="U306" t="s">
        <v>182</v>
      </c>
      <c r="V306" s="3">
        <v>3000</v>
      </c>
      <c r="W306" t="s">
        <v>32</v>
      </c>
      <c r="X306" s="3">
        <v>3000</v>
      </c>
    </row>
    <row r="307" spans="1:24" s="2" customFormat="1" x14ac:dyDescent="0.2">
      <c r="A307">
        <v>307</v>
      </c>
      <c r="B307"/>
      <c r="C307" t="s">
        <v>153</v>
      </c>
      <c r="D307" t="s">
        <v>230</v>
      </c>
      <c r="E307" t="s">
        <v>30</v>
      </c>
      <c r="F307" t="s">
        <v>63</v>
      </c>
      <c r="G307" t="s">
        <v>25</v>
      </c>
      <c r="H307" t="str">
        <f t="shared" si="8"/>
        <v>KALUNGA | Recorrência: | Observações: ROLO PLOTAGEM</v>
      </c>
      <c r="I307" t="s">
        <v>26</v>
      </c>
      <c r="J307" s="5">
        <v>-39.299999999999997</v>
      </c>
      <c r="K307" s="4">
        <v>450633.52</v>
      </c>
      <c r="L307" t="s">
        <v>27</v>
      </c>
      <c r="M307" s="5">
        <v>-39.299999999999997</v>
      </c>
      <c r="N307" s="3">
        <v>0</v>
      </c>
      <c r="O307" t="s">
        <v>736</v>
      </c>
      <c r="P307" t="s">
        <v>734</v>
      </c>
      <c r="Q307" t="s">
        <v>736</v>
      </c>
      <c r="R307" t="str">
        <f t="shared" si="9"/>
        <v>Sim</v>
      </c>
      <c r="S307" t="s">
        <v>736</v>
      </c>
      <c r="T307" t="s">
        <v>739</v>
      </c>
      <c r="U307" t="s">
        <v>740</v>
      </c>
      <c r="V307" s="3">
        <v>-39.299999999999997</v>
      </c>
      <c r="W307" t="s">
        <v>577</v>
      </c>
      <c r="X307" s="3">
        <v>-39.299999999999997</v>
      </c>
    </row>
    <row r="308" spans="1:24" s="2" customFormat="1" x14ac:dyDescent="0.2">
      <c r="A308" s="2">
        <v>308</v>
      </c>
      <c r="B308"/>
      <c r="C308" t="s">
        <v>153</v>
      </c>
      <c r="D308" t="s">
        <v>630</v>
      </c>
      <c r="E308" t="s">
        <v>398</v>
      </c>
      <c r="F308" t="s">
        <v>63</v>
      </c>
      <c r="G308" t="s">
        <v>25</v>
      </c>
      <c r="H308" t="str">
        <f t="shared" si="8"/>
        <v xml:space="preserve">PRÓ-LABORE MAYARA | Recorrência:2/12 | Observações: </v>
      </c>
      <c r="I308" t="s">
        <v>26</v>
      </c>
      <c r="J308" s="5">
        <v>-20000</v>
      </c>
      <c r="K308" s="4">
        <v>430633.52</v>
      </c>
      <c r="L308" t="s">
        <v>27</v>
      </c>
      <c r="M308" s="5">
        <v>-20000</v>
      </c>
      <c r="N308" s="3">
        <v>0</v>
      </c>
      <c r="O308" t="s">
        <v>718</v>
      </c>
      <c r="P308" t="s">
        <v>646</v>
      </c>
      <c r="Q308" t="s">
        <v>718</v>
      </c>
      <c r="R308" t="str">
        <f t="shared" si="9"/>
        <v>Sim</v>
      </c>
      <c r="S308" t="s">
        <v>718</v>
      </c>
      <c r="T308" t="s">
        <v>30</v>
      </c>
      <c r="U308" t="s">
        <v>631</v>
      </c>
      <c r="V308" s="3">
        <v>-20000</v>
      </c>
      <c r="W308" t="s">
        <v>632</v>
      </c>
      <c r="X308" s="3">
        <v>-20000</v>
      </c>
    </row>
    <row r="309" spans="1:24" s="2" customFormat="1" x14ac:dyDescent="0.2">
      <c r="A309">
        <v>309</v>
      </c>
      <c r="B309"/>
      <c r="C309"/>
      <c r="D309" t="s">
        <v>633</v>
      </c>
      <c r="E309" t="s">
        <v>398</v>
      </c>
      <c r="F309" t="s">
        <v>63</v>
      </c>
      <c r="G309" t="s">
        <v>25</v>
      </c>
      <c r="H309" t="str">
        <f t="shared" si="8"/>
        <v xml:space="preserve">PRÓ-LABORE NATASHA | Recorrência:2/12 | Observações: </v>
      </c>
      <c r="I309" t="s">
        <v>26</v>
      </c>
      <c r="J309" s="5">
        <v>-20000</v>
      </c>
      <c r="K309" s="4">
        <v>410633.52</v>
      </c>
      <c r="L309" t="s">
        <v>27</v>
      </c>
      <c r="M309" s="5">
        <v>-20000</v>
      </c>
      <c r="N309" s="3">
        <v>0</v>
      </c>
      <c r="O309" t="s">
        <v>718</v>
      </c>
      <c r="P309" t="s">
        <v>625</v>
      </c>
      <c r="Q309" t="s">
        <v>718</v>
      </c>
      <c r="R309" t="str">
        <f t="shared" si="9"/>
        <v>Sim</v>
      </c>
      <c r="S309" t="s">
        <v>718</v>
      </c>
      <c r="T309" t="s">
        <v>30</v>
      </c>
      <c r="U309" t="s">
        <v>631</v>
      </c>
      <c r="V309" s="3">
        <v>-20000</v>
      </c>
    </row>
    <row r="310" spans="1:24" s="2" customFormat="1" x14ac:dyDescent="0.2">
      <c r="A310" s="2">
        <v>310</v>
      </c>
      <c r="B310"/>
      <c r="C310" t="s">
        <v>574</v>
      </c>
      <c r="D310" t="s">
        <v>575</v>
      </c>
      <c r="E310" t="s">
        <v>471</v>
      </c>
      <c r="F310" t="s">
        <v>63</v>
      </c>
      <c r="G310" t="s">
        <v>25</v>
      </c>
      <c r="H310" t="str">
        <f t="shared" si="8"/>
        <v>ALUGUEL+CONDOMINIO+IPTU | Recorrência:3/12 | Observações: REF: 01/22 _VENC 02/22</v>
      </c>
      <c r="I310" t="s">
        <v>26</v>
      </c>
      <c r="J310" s="5">
        <v>-1932.97</v>
      </c>
      <c r="K310" s="4">
        <v>408700.55</v>
      </c>
      <c r="L310" t="s">
        <v>27</v>
      </c>
      <c r="M310" s="5">
        <v>-1932.97</v>
      </c>
      <c r="N310" s="3">
        <v>0</v>
      </c>
      <c r="O310" t="s">
        <v>718</v>
      </c>
      <c r="P310" t="s">
        <v>665</v>
      </c>
      <c r="Q310" t="s">
        <v>718</v>
      </c>
      <c r="R310" t="str">
        <f t="shared" si="9"/>
        <v>Sim</v>
      </c>
      <c r="S310" t="s">
        <v>718</v>
      </c>
      <c r="T310" t="s">
        <v>741</v>
      </c>
      <c r="U310" t="s">
        <v>571</v>
      </c>
      <c r="V310" s="3">
        <v>-1932.97</v>
      </c>
      <c r="W310" t="s">
        <v>577</v>
      </c>
      <c r="X310" s="3">
        <v>-1932.97</v>
      </c>
    </row>
    <row r="311" spans="1:24" s="2" customFormat="1" x14ac:dyDescent="0.2">
      <c r="A311">
        <v>311</v>
      </c>
      <c r="B311"/>
      <c r="C311" t="s">
        <v>416</v>
      </c>
      <c r="D311" t="s">
        <v>416</v>
      </c>
      <c r="E311" t="s">
        <v>148</v>
      </c>
      <c r="F311" t="s">
        <v>24</v>
      </c>
      <c r="G311" t="s">
        <v>25</v>
      </c>
      <c r="H311" t="str">
        <f t="shared" si="8"/>
        <v xml:space="preserve">ANA CAROLINA BERTONI_FELIPE REALE CIVIDANE | Recorrência:3/3 | Observações: </v>
      </c>
      <c r="I311" t="s">
        <v>26</v>
      </c>
      <c r="J311" s="4">
        <v>6500</v>
      </c>
      <c r="K311" s="4">
        <v>415200.55</v>
      </c>
      <c r="L311" t="s">
        <v>27</v>
      </c>
      <c r="M311" s="4">
        <v>6500</v>
      </c>
      <c r="N311" s="3">
        <v>0</v>
      </c>
      <c r="O311" t="s">
        <v>729</v>
      </c>
      <c r="P311" t="s">
        <v>469</v>
      </c>
      <c r="Q311" t="s">
        <v>742</v>
      </c>
      <c r="R311" t="str">
        <f t="shared" si="9"/>
        <v>Sim</v>
      </c>
      <c r="S311" t="s">
        <v>742</v>
      </c>
      <c r="T311" t="s">
        <v>30</v>
      </c>
      <c r="U311" t="s">
        <v>31</v>
      </c>
      <c r="V311" s="3">
        <v>6500</v>
      </c>
      <c r="W311" t="s">
        <v>32</v>
      </c>
      <c r="X311" s="3">
        <v>6500</v>
      </c>
    </row>
    <row r="312" spans="1:24" s="2" customFormat="1" x14ac:dyDescent="0.2">
      <c r="A312" s="2">
        <v>312</v>
      </c>
      <c r="B312" t="s">
        <v>647</v>
      </c>
      <c r="C312" t="s">
        <v>648</v>
      </c>
      <c r="D312" t="s">
        <v>649</v>
      </c>
      <c r="E312" t="s">
        <v>398</v>
      </c>
      <c r="F312" t="s">
        <v>63</v>
      </c>
      <c r="G312" t="s">
        <v>25</v>
      </c>
      <c r="H312" t="str">
        <f t="shared" si="8"/>
        <v xml:space="preserve">HONORÁRIOS CONTÁBEIS | Recorrência:2/12 | Observações: </v>
      </c>
      <c r="I312" t="s">
        <v>26</v>
      </c>
      <c r="J312" s="5">
        <v>-830</v>
      </c>
      <c r="K312" s="4">
        <v>414370.55</v>
      </c>
      <c r="L312" t="s">
        <v>27</v>
      </c>
      <c r="M312" s="5">
        <v>-830</v>
      </c>
      <c r="N312" s="3">
        <v>0</v>
      </c>
      <c r="O312" t="s">
        <v>743</v>
      </c>
      <c r="P312" t="s">
        <v>654</v>
      </c>
      <c r="Q312" t="s">
        <v>743</v>
      </c>
      <c r="R312" t="str">
        <f t="shared" si="9"/>
        <v>Sim</v>
      </c>
      <c r="S312" t="s">
        <v>743</v>
      </c>
      <c r="T312" t="s">
        <v>30</v>
      </c>
      <c r="U312" t="s">
        <v>608</v>
      </c>
      <c r="V312" s="3">
        <v>-830</v>
      </c>
      <c r="W312" t="s">
        <v>577</v>
      </c>
      <c r="X312" s="3">
        <v>-830</v>
      </c>
    </row>
    <row r="313" spans="1:24" s="2" customFormat="1" x14ac:dyDescent="0.2">
      <c r="A313">
        <v>313</v>
      </c>
      <c r="B313"/>
      <c r="C313" t="s">
        <v>657</v>
      </c>
      <c r="D313" t="s">
        <v>657</v>
      </c>
      <c r="E313" t="s">
        <v>95</v>
      </c>
      <c r="F313" t="s">
        <v>24</v>
      </c>
      <c r="G313" t="s">
        <v>25</v>
      </c>
      <c r="H313" t="str">
        <f t="shared" si="8"/>
        <v xml:space="preserve">PATRICIA NAJM | Recorrência:2/2 | Observações: </v>
      </c>
      <c r="I313" t="s">
        <v>26</v>
      </c>
      <c r="J313" s="4">
        <v>3000</v>
      </c>
      <c r="K313" s="4">
        <v>417370.55</v>
      </c>
      <c r="L313" t="s">
        <v>27</v>
      </c>
      <c r="M313" s="4">
        <v>3000</v>
      </c>
      <c r="N313" s="3">
        <v>0</v>
      </c>
      <c r="O313" t="s">
        <v>744</v>
      </c>
      <c r="P313" t="s">
        <v>729</v>
      </c>
      <c r="Q313" t="s">
        <v>745</v>
      </c>
      <c r="R313" t="str">
        <f t="shared" si="9"/>
        <v>Sim</v>
      </c>
      <c r="S313" t="s">
        <v>745</v>
      </c>
      <c r="T313" t="s">
        <v>30</v>
      </c>
      <c r="U313" t="s">
        <v>31</v>
      </c>
      <c r="V313" s="3">
        <v>3000</v>
      </c>
      <c r="W313" t="s">
        <v>32</v>
      </c>
      <c r="X313" s="3">
        <v>3000</v>
      </c>
    </row>
    <row r="314" spans="1:24" s="2" customFormat="1" x14ac:dyDescent="0.2">
      <c r="A314" s="2">
        <v>314</v>
      </c>
      <c r="B314"/>
      <c r="C314" t="s">
        <v>747</v>
      </c>
      <c r="D314" t="s">
        <v>748</v>
      </c>
      <c r="E314" t="s">
        <v>30</v>
      </c>
      <c r="F314" t="s">
        <v>24</v>
      </c>
      <c r="G314" t="s">
        <v>25</v>
      </c>
      <c r="H314" t="str">
        <f t="shared" si="8"/>
        <v>BRETON ( Bioma Comércio de Móveis Eireli) | Recorrência: | Observações: Valor TED Incluiu NF 168</v>
      </c>
      <c r="I314" t="s">
        <v>26</v>
      </c>
      <c r="J314" s="4">
        <v>1863.3</v>
      </c>
      <c r="K314" s="4">
        <v>419233.85</v>
      </c>
      <c r="L314" t="s">
        <v>27</v>
      </c>
      <c r="M314" s="4">
        <v>1863.3</v>
      </c>
      <c r="N314" s="3">
        <v>0</v>
      </c>
      <c r="O314" t="s">
        <v>746</v>
      </c>
      <c r="P314" t="s">
        <v>617</v>
      </c>
      <c r="Q314" t="s">
        <v>746</v>
      </c>
      <c r="R314" t="str">
        <f t="shared" si="9"/>
        <v>Sim</v>
      </c>
      <c r="S314" t="s">
        <v>746</v>
      </c>
      <c r="T314" t="s">
        <v>749</v>
      </c>
      <c r="U314" t="s">
        <v>49</v>
      </c>
      <c r="V314" s="3">
        <v>1863.3</v>
      </c>
    </row>
    <row r="315" spans="1:24" s="2" customFormat="1" x14ac:dyDescent="0.2">
      <c r="A315">
        <v>315</v>
      </c>
      <c r="B315"/>
      <c r="C315" t="s">
        <v>416</v>
      </c>
      <c r="D315" t="s">
        <v>262</v>
      </c>
      <c r="E315" t="s">
        <v>30</v>
      </c>
      <c r="F315" t="s">
        <v>24</v>
      </c>
      <c r="G315" t="s">
        <v>25</v>
      </c>
      <c r="H315" t="str">
        <f t="shared" si="8"/>
        <v xml:space="preserve">BONTEMPO | Recorrência: | Observações: </v>
      </c>
      <c r="I315" t="s">
        <v>26</v>
      </c>
      <c r="J315" s="4">
        <v>916.07</v>
      </c>
      <c r="K315" s="4">
        <v>420149.92</v>
      </c>
      <c r="L315" t="s">
        <v>27</v>
      </c>
      <c r="M315" s="4">
        <v>916.07</v>
      </c>
      <c r="N315" s="3">
        <v>0</v>
      </c>
      <c r="O315" t="s">
        <v>746</v>
      </c>
      <c r="P315" t="s">
        <v>660</v>
      </c>
      <c r="Q315" t="s">
        <v>746</v>
      </c>
      <c r="R315" t="str">
        <f t="shared" si="9"/>
        <v>Sim</v>
      </c>
      <c r="S315" t="s">
        <v>746</v>
      </c>
      <c r="T315" t="s">
        <v>30</v>
      </c>
      <c r="U315" t="s">
        <v>49</v>
      </c>
      <c r="V315" s="3">
        <v>916.07</v>
      </c>
      <c r="W315" t="s">
        <v>49</v>
      </c>
      <c r="X315" s="3">
        <v>916.07</v>
      </c>
    </row>
    <row r="316" spans="1:24" s="2" customFormat="1" x14ac:dyDescent="0.2">
      <c r="A316" s="2">
        <v>316</v>
      </c>
      <c r="B316"/>
      <c r="C316" t="s">
        <v>539</v>
      </c>
      <c r="D316" t="s">
        <v>751</v>
      </c>
      <c r="E316" t="s">
        <v>30</v>
      </c>
      <c r="F316" t="s">
        <v>24</v>
      </c>
      <c r="G316" t="s">
        <v>25</v>
      </c>
      <c r="H316" t="str">
        <f t="shared" si="8"/>
        <v>BRETON   ( Bioma Comércio de Móveis Eireli) | Recorrência: | Observações: Valor TED Incluiu NF 169</v>
      </c>
      <c r="I316" t="s">
        <v>26</v>
      </c>
      <c r="J316" s="4">
        <v>1087.72</v>
      </c>
      <c r="K316" s="4">
        <v>421237.64</v>
      </c>
      <c r="L316" t="s">
        <v>27</v>
      </c>
      <c r="M316" s="4">
        <v>1087.72</v>
      </c>
      <c r="N316" s="3">
        <v>0</v>
      </c>
      <c r="O316" t="s">
        <v>750</v>
      </c>
      <c r="P316" t="s">
        <v>609</v>
      </c>
      <c r="Q316" t="s">
        <v>746</v>
      </c>
      <c r="R316" t="str">
        <f t="shared" si="9"/>
        <v>Sim</v>
      </c>
      <c r="S316" t="s">
        <v>746</v>
      </c>
      <c r="T316" t="s">
        <v>752</v>
      </c>
      <c r="U316" t="s">
        <v>49</v>
      </c>
      <c r="V316" s="3">
        <v>1087.72</v>
      </c>
      <c r="W316" t="s">
        <v>49</v>
      </c>
      <c r="X316" s="3">
        <v>1087.72</v>
      </c>
    </row>
    <row r="317" spans="1:24" s="2" customFormat="1" x14ac:dyDescent="0.2">
      <c r="A317">
        <v>317</v>
      </c>
      <c r="B317"/>
      <c r="C317" t="s">
        <v>386</v>
      </c>
      <c r="D317" t="s">
        <v>386</v>
      </c>
      <c r="E317" t="s">
        <v>131</v>
      </c>
      <c r="F317" t="s">
        <v>24</v>
      </c>
      <c r="G317" t="s">
        <v>25</v>
      </c>
      <c r="H317" t="str">
        <f t="shared" si="8"/>
        <v xml:space="preserve">GABRIELA BORGES | Recorrência:2/6 | Observações: </v>
      </c>
      <c r="I317" t="s">
        <v>26</v>
      </c>
      <c r="J317" s="4">
        <v>10100</v>
      </c>
      <c r="K317" s="4">
        <v>431337.64</v>
      </c>
      <c r="L317" t="s">
        <v>27</v>
      </c>
      <c r="M317" s="4">
        <v>10100</v>
      </c>
      <c r="N317" s="3">
        <v>0</v>
      </c>
      <c r="O317" t="s">
        <v>745</v>
      </c>
      <c r="P317" t="s">
        <v>665</v>
      </c>
      <c r="Q317" t="s">
        <v>745</v>
      </c>
      <c r="R317" t="str">
        <f t="shared" si="9"/>
        <v>Sim</v>
      </c>
      <c r="S317" t="s">
        <v>745</v>
      </c>
      <c r="T317" t="s">
        <v>30</v>
      </c>
      <c r="U317" t="s">
        <v>274</v>
      </c>
      <c r="V317" s="3">
        <v>10100</v>
      </c>
    </row>
    <row r="318" spans="1:24" s="2" customFormat="1" x14ac:dyDescent="0.2">
      <c r="A318" s="2">
        <v>318</v>
      </c>
      <c r="B318"/>
      <c r="C318" t="s">
        <v>297</v>
      </c>
      <c r="D318" t="s">
        <v>715</v>
      </c>
      <c r="E318" t="s">
        <v>398</v>
      </c>
      <c r="F318" t="s">
        <v>63</v>
      </c>
      <c r="G318" t="s">
        <v>25</v>
      </c>
      <c r="H318" t="str">
        <f t="shared" si="8"/>
        <v>DARF PREVIDENCIARIO (ANTIGO GPS) | Recorrência:2/12 | Observações: COMPETENCIA JANEIRO 22</v>
      </c>
      <c r="I318" t="s">
        <v>26</v>
      </c>
      <c r="J318" s="5">
        <v>-1300.71</v>
      </c>
      <c r="K318" s="4">
        <v>430036.93</v>
      </c>
      <c r="L318" t="s">
        <v>27</v>
      </c>
      <c r="M318" s="5">
        <v>-1300.71</v>
      </c>
      <c r="N318" s="3">
        <v>0</v>
      </c>
      <c r="O318" t="s">
        <v>716</v>
      </c>
      <c r="P318" t="s">
        <v>753</v>
      </c>
      <c r="Q318" t="s">
        <v>716</v>
      </c>
      <c r="R318" t="str">
        <f t="shared" si="9"/>
        <v>Sim</v>
      </c>
      <c r="S318" t="s">
        <v>716</v>
      </c>
      <c r="T318" t="s">
        <v>754</v>
      </c>
      <c r="U318" t="s">
        <v>677</v>
      </c>
      <c r="V318" s="3">
        <v>-1300.71</v>
      </c>
      <c r="W318" t="s">
        <v>376</v>
      </c>
      <c r="X318" s="3">
        <v>-1300.71</v>
      </c>
    </row>
    <row r="319" spans="1:24" s="2" customFormat="1" x14ac:dyDescent="0.2">
      <c r="A319">
        <v>319</v>
      </c>
      <c r="B319"/>
      <c r="C319" t="s">
        <v>539</v>
      </c>
      <c r="D319" t="s">
        <v>261</v>
      </c>
      <c r="E319" t="s">
        <v>30</v>
      </c>
      <c r="F319" t="s">
        <v>24</v>
      </c>
      <c r="G319" t="s">
        <v>25</v>
      </c>
      <c r="H319" t="str">
        <f t="shared" si="8"/>
        <v xml:space="preserve">BRENTWOOD (Alameda Moveis Dec) | Recorrência: | Observações: </v>
      </c>
      <c r="I319" t="s">
        <v>26</v>
      </c>
      <c r="J319" s="4">
        <v>2294.85</v>
      </c>
      <c r="K319" s="4">
        <v>432331.78</v>
      </c>
      <c r="L319" t="s">
        <v>27</v>
      </c>
      <c r="M319" s="4">
        <v>2294.85</v>
      </c>
      <c r="N319" s="3">
        <v>0</v>
      </c>
      <c r="O319" t="s">
        <v>716</v>
      </c>
      <c r="P319" t="s">
        <v>663</v>
      </c>
      <c r="Q319" t="s">
        <v>709</v>
      </c>
      <c r="R319" t="str">
        <f t="shared" si="9"/>
        <v>Sim</v>
      </c>
      <c r="S319" t="s">
        <v>709</v>
      </c>
      <c r="T319" t="s">
        <v>30</v>
      </c>
      <c r="U319" t="s">
        <v>49</v>
      </c>
      <c r="V319" s="3">
        <v>2294.85</v>
      </c>
      <c r="W319" t="s">
        <v>49</v>
      </c>
      <c r="X319" s="3">
        <v>2294.85</v>
      </c>
    </row>
    <row r="320" spans="1:24" s="2" customFormat="1" x14ac:dyDescent="0.2">
      <c r="A320" s="2">
        <v>320</v>
      </c>
      <c r="B320"/>
      <c r="C320" t="s">
        <v>453</v>
      </c>
      <c r="D320" t="s">
        <v>226</v>
      </c>
      <c r="E320" t="s">
        <v>58</v>
      </c>
      <c r="F320" t="s">
        <v>24</v>
      </c>
      <c r="G320" t="s">
        <v>25</v>
      </c>
      <c r="H320" t="str">
        <f t="shared" si="8"/>
        <v xml:space="preserve">ESPAÇO REFORMAR (DMP REFORMAS ) | Recorrência:1/6 | Observações: </v>
      </c>
      <c r="I320" t="s">
        <v>26</v>
      </c>
      <c r="J320" s="4">
        <v>3846.19</v>
      </c>
      <c r="K320" s="4">
        <v>436177.97</v>
      </c>
      <c r="L320" t="s">
        <v>27</v>
      </c>
      <c r="M320" s="4">
        <v>3846.19</v>
      </c>
      <c r="N320" s="3">
        <v>0</v>
      </c>
      <c r="O320" t="s">
        <v>716</v>
      </c>
      <c r="P320" t="s">
        <v>716</v>
      </c>
      <c r="Q320" t="s">
        <v>716</v>
      </c>
      <c r="R320" t="str">
        <f t="shared" si="9"/>
        <v>Sim</v>
      </c>
      <c r="S320" t="s">
        <v>716</v>
      </c>
      <c r="T320" t="s">
        <v>30</v>
      </c>
      <c r="U320" t="s">
        <v>49</v>
      </c>
      <c r="V320" s="3">
        <v>3846.19</v>
      </c>
      <c r="W320" t="s">
        <v>49</v>
      </c>
      <c r="X320" s="3">
        <v>3846.19</v>
      </c>
    </row>
    <row r="321" spans="1:24" s="2" customFormat="1" x14ac:dyDescent="0.2">
      <c r="A321">
        <v>321</v>
      </c>
      <c r="B321"/>
      <c r="C321" t="s">
        <v>297</v>
      </c>
      <c r="D321" t="s">
        <v>715</v>
      </c>
      <c r="E321" t="s">
        <v>320</v>
      </c>
      <c r="F321" t="s">
        <v>63</v>
      </c>
      <c r="G321" t="s">
        <v>25</v>
      </c>
      <c r="H321" t="str">
        <f t="shared" si="8"/>
        <v xml:space="preserve">DARF PREVIDENCIARIO (ANTIGO GPS) | Recorrência:1/12 | Observações: valor poderá ser alterado </v>
      </c>
      <c r="I321" t="s">
        <v>755</v>
      </c>
      <c r="J321" s="5">
        <v>-477.27</v>
      </c>
      <c r="K321" s="4">
        <v>436177.97</v>
      </c>
      <c r="L321" t="s">
        <v>756</v>
      </c>
      <c r="M321" s="5">
        <v>-1335.04</v>
      </c>
      <c r="N321" s="3">
        <v>0</v>
      </c>
      <c r="O321" t="s">
        <v>716</v>
      </c>
      <c r="P321" t="s">
        <v>581</v>
      </c>
      <c r="Q321" t="s">
        <v>716</v>
      </c>
      <c r="R321" t="str">
        <f t="shared" si="9"/>
        <v>Sim</v>
      </c>
      <c r="S321" t="s">
        <v>716</v>
      </c>
      <c r="T321" t="s">
        <v>717</v>
      </c>
      <c r="U321" t="s">
        <v>677</v>
      </c>
      <c r="V321" s="3">
        <v>-477.27</v>
      </c>
      <c r="W321" t="s">
        <v>376</v>
      </c>
      <c r="X321" s="3">
        <v>-477.27</v>
      </c>
    </row>
    <row r="322" spans="1:24" s="2" customFormat="1" x14ac:dyDescent="0.2">
      <c r="A322" s="2">
        <v>322</v>
      </c>
      <c r="B322"/>
      <c r="C322" t="s">
        <v>297</v>
      </c>
      <c r="D322" t="s">
        <v>715</v>
      </c>
      <c r="E322" t="s">
        <v>398</v>
      </c>
      <c r="F322" t="s">
        <v>63</v>
      </c>
      <c r="G322" t="s">
        <v>25</v>
      </c>
      <c r="H322" t="str">
        <f t="shared" si="8"/>
        <v>DARF PREVIDENCIARIO (ANTIGO GPS) | Recorrência:2/12 | Observações: COMPETENCIA JANEIRO 22</v>
      </c>
      <c r="I322" t="s">
        <v>755</v>
      </c>
      <c r="J322" s="5">
        <v>-34.33</v>
      </c>
      <c r="K322" s="4">
        <v>436177.97</v>
      </c>
      <c r="L322" t="s">
        <v>756</v>
      </c>
      <c r="M322" s="5">
        <v>-1335.04</v>
      </c>
      <c r="N322" s="3">
        <v>0</v>
      </c>
      <c r="O322" t="s">
        <v>716</v>
      </c>
      <c r="P322" t="s">
        <v>753</v>
      </c>
      <c r="Q322" t="s">
        <v>716</v>
      </c>
      <c r="R322" t="str">
        <f t="shared" si="9"/>
        <v>Sim</v>
      </c>
      <c r="S322" t="s">
        <v>716</v>
      </c>
      <c r="T322" t="s">
        <v>754</v>
      </c>
      <c r="U322" t="s">
        <v>677</v>
      </c>
      <c r="V322" s="3">
        <v>-34.33</v>
      </c>
      <c r="W322" t="s">
        <v>376</v>
      </c>
      <c r="X322" s="3">
        <v>-34.33</v>
      </c>
    </row>
    <row r="323" spans="1:24" s="2" customFormat="1" x14ac:dyDescent="0.2">
      <c r="A323">
        <v>323</v>
      </c>
      <c r="B323"/>
      <c r="C323" t="s">
        <v>757</v>
      </c>
      <c r="D323" t="s">
        <v>758</v>
      </c>
      <c r="E323" t="s">
        <v>38</v>
      </c>
      <c r="F323" t="s">
        <v>24</v>
      </c>
      <c r="G323" t="s">
        <v>25</v>
      </c>
      <c r="H323" t="str">
        <f t="shared" ref="H323:H386" si="10">D323&amp;" | "&amp;$E$1&amp;E323&amp;" | Observações: "&amp;T323</f>
        <v xml:space="preserve">ELIAS_MARCENEIRO | Recorrência:1/3 | Observações: </v>
      </c>
      <c r="I323" t="s">
        <v>26</v>
      </c>
      <c r="J323" s="4">
        <v>1070</v>
      </c>
      <c r="K323" s="4">
        <v>437247.97</v>
      </c>
      <c r="L323" t="s">
        <v>27</v>
      </c>
      <c r="M323" s="4">
        <v>1070</v>
      </c>
      <c r="N323" s="3">
        <v>0</v>
      </c>
      <c r="O323" t="s">
        <v>693</v>
      </c>
      <c r="P323" t="s">
        <v>716</v>
      </c>
      <c r="Q323" t="s">
        <v>693</v>
      </c>
      <c r="R323" t="str">
        <f t="shared" ref="R323:R386" si="11">IF(Q323=S323,"Sim","nao")</f>
        <v>Sim</v>
      </c>
      <c r="S323" t="s">
        <v>693</v>
      </c>
      <c r="T323" t="s">
        <v>30</v>
      </c>
      <c r="U323" t="s">
        <v>49</v>
      </c>
      <c r="V323" s="3">
        <v>1070</v>
      </c>
      <c r="W323" t="s">
        <v>49</v>
      </c>
      <c r="X323" s="3">
        <v>1070</v>
      </c>
    </row>
    <row r="324" spans="1:24" s="2" customFormat="1" x14ac:dyDescent="0.2">
      <c r="A324" s="2">
        <v>324</v>
      </c>
      <c r="B324"/>
      <c r="C324" t="s">
        <v>760</v>
      </c>
      <c r="D324" t="s">
        <v>207</v>
      </c>
      <c r="E324" t="s">
        <v>30</v>
      </c>
      <c r="F324" t="s">
        <v>24</v>
      </c>
      <c r="G324" t="s">
        <v>25</v>
      </c>
      <c r="H324" t="str">
        <f t="shared" si="10"/>
        <v>OBRA FÁCIL (MARK UP PART) | Recorrência: | Observações: CLIENTE:MANUELA REZENDE</v>
      </c>
      <c r="I324" t="s">
        <v>26</v>
      </c>
      <c r="J324" s="4">
        <v>416.11</v>
      </c>
      <c r="K324" s="4">
        <v>437664.08</v>
      </c>
      <c r="L324" t="s">
        <v>27</v>
      </c>
      <c r="M324" s="4">
        <v>416.11</v>
      </c>
      <c r="N324" s="3">
        <v>0</v>
      </c>
      <c r="O324" t="s">
        <v>759</v>
      </c>
      <c r="P324" t="s">
        <v>665</v>
      </c>
      <c r="Q324" t="s">
        <v>746</v>
      </c>
      <c r="R324" t="str">
        <f t="shared" si="11"/>
        <v>Sim</v>
      </c>
      <c r="S324" t="s">
        <v>746</v>
      </c>
      <c r="T324" t="s">
        <v>761</v>
      </c>
      <c r="U324" t="s">
        <v>49</v>
      </c>
      <c r="V324" s="3">
        <v>416.11</v>
      </c>
      <c r="W324" t="s">
        <v>49</v>
      </c>
      <c r="X324" s="3">
        <v>416.11</v>
      </c>
    </row>
    <row r="325" spans="1:24" s="2" customFormat="1" x14ac:dyDescent="0.2">
      <c r="A325">
        <v>325</v>
      </c>
      <c r="B325"/>
      <c r="C325" t="s">
        <v>153</v>
      </c>
      <c r="D325" t="s">
        <v>763</v>
      </c>
      <c r="E325" t="s">
        <v>762</v>
      </c>
      <c r="F325" t="s">
        <v>63</v>
      </c>
      <c r="G325" t="s">
        <v>25</v>
      </c>
      <c r="H325" t="str">
        <f t="shared" si="10"/>
        <v xml:space="preserve">FINAL 5507 | Recorrência:1/10 | Observações: </v>
      </c>
      <c r="I325" t="s">
        <v>26</v>
      </c>
      <c r="J325" s="5">
        <v>-995.29</v>
      </c>
      <c r="K325" s="4">
        <v>436668.79</v>
      </c>
      <c r="L325" t="s">
        <v>27</v>
      </c>
      <c r="M325" s="5">
        <v>-995.29</v>
      </c>
      <c r="N325" s="3">
        <v>0</v>
      </c>
      <c r="O325" t="s">
        <v>759</v>
      </c>
      <c r="P325" t="s">
        <v>759</v>
      </c>
      <c r="Q325" t="s">
        <v>759</v>
      </c>
      <c r="R325" t="str">
        <f t="shared" si="11"/>
        <v>Sim</v>
      </c>
      <c r="S325" t="s">
        <v>759</v>
      </c>
      <c r="T325" t="s">
        <v>30</v>
      </c>
      <c r="U325" t="s">
        <v>764</v>
      </c>
      <c r="V325" s="3">
        <v>-995.29</v>
      </c>
      <c r="W325" t="s">
        <v>158</v>
      </c>
      <c r="X325" s="3">
        <v>-995.29</v>
      </c>
    </row>
    <row r="326" spans="1:24" s="2" customFormat="1" x14ac:dyDescent="0.2">
      <c r="A326" s="2">
        <v>326</v>
      </c>
      <c r="B326"/>
      <c r="C326" t="s">
        <v>258</v>
      </c>
      <c r="D326" t="s">
        <v>751</v>
      </c>
      <c r="E326" t="s">
        <v>30</v>
      </c>
      <c r="F326" t="s">
        <v>24</v>
      </c>
      <c r="G326" t="s">
        <v>25</v>
      </c>
      <c r="H326" t="str">
        <f t="shared" si="10"/>
        <v xml:space="preserve">BRETON   ( Bioma Comércio de Móveis Eireli) | Recorrência: | Observações: </v>
      </c>
      <c r="I326" t="s">
        <v>26</v>
      </c>
      <c r="J326" s="4">
        <v>606.42999999999995</v>
      </c>
      <c r="K326" s="4">
        <v>437275.22</v>
      </c>
      <c r="L326" t="s">
        <v>27</v>
      </c>
      <c r="M326" s="4">
        <v>606.42999999999995</v>
      </c>
      <c r="N326" s="3">
        <v>0</v>
      </c>
      <c r="O326" t="s">
        <v>765</v>
      </c>
      <c r="P326" t="s">
        <v>743</v>
      </c>
      <c r="Q326" t="s">
        <v>693</v>
      </c>
      <c r="R326" t="str">
        <f t="shared" si="11"/>
        <v>Sim</v>
      </c>
      <c r="S326" t="s">
        <v>693</v>
      </c>
      <c r="T326" t="s">
        <v>30</v>
      </c>
      <c r="U326" t="s">
        <v>49</v>
      </c>
      <c r="V326" s="3">
        <v>606.42999999999995</v>
      </c>
      <c r="W326" t="s">
        <v>49</v>
      </c>
      <c r="X326" s="3">
        <v>606.42999999999995</v>
      </c>
    </row>
    <row r="327" spans="1:24" s="2" customFormat="1" x14ac:dyDescent="0.2">
      <c r="A327">
        <v>327</v>
      </c>
      <c r="B327"/>
      <c r="C327" t="s">
        <v>418</v>
      </c>
      <c r="D327" t="s">
        <v>396</v>
      </c>
      <c r="E327" t="s">
        <v>30</v>
      </c>
      <c r="F327" t="s">
        <v>24</v>
      </c>
      <c r="G327" t="s">
        <v>25</v>
      </c>
      <c r="H327" t="str">
        <f t="shared" si="10"/>
        <v>QUAKER (PILLOWS &amp; FABRICS COMERCIO DE PECAS DECORATIVAS LTDA) | Recorrência: | Observações: aguardando solicitação para emissão NF</v>
      </c>
      <c r="I327" t="s">
        <v>26</v>
      </c>
      <c r="J327" s="4">
        <v>1722.9</v>
      </c>
      <c r="K327" s="4">
        <v>438998.12</v>
      </c>
      <c r="L327" t="s">
        <v>27</v>
      </c>
      <c r="M327" s="4">
        <v>1722.9</v>
      </c>
      <c r="N327" s="3">
        <v>0</v>
      </c>
      <c r="O327" t="s">
        <v>765</v>
      </c>
      <c r="P327" t="s">
        <v>699</v>
      </c>
      <c r="Q327" t="s">
        <v>688</v>
      </c>
      <c r="R327" t="str">
        <f t="shared" si="11"/>
        <v>Sim</v>
      </c>
      <c r="S327" t="s">
        <v>688</v>
      </c>
      <c r="T327" t="s">
        <v>766</v>
      </c>
      <c r="U327" t="s">
        <v>49</v>
      </c>
      <c r="V327" s="3">
        <v>1722.9</v>
      </c>
      <c r="W327" t="s">
        <v>49</v>
      </c>
      <c r="X327" s="3">
        <v>1722.9</v>
      </c>
    </row>
    <row r="328" spans="1:24" s="2" customFormat="1" x14ac:dyDescent="0.2">
      <c r="A328" s="2">
        <v>328</v>
      </c>
      <c r="B328"/>
      <c r="C328" t="s">
        <v>512</v>
      </c>
      <c r="D328" t="s">
        <v>325</v>
      </c>
      <c r="E328" t="s">
        <v>73</v>
      </c>
      <c r="F328" t="s">
        <v>24</v>
      </c>
      <c r="G328" t="s">
        <v>25</v>
      </c>
      <c r="H328" t="str">
        <f t="shared" si="10"/>
        <v>VIA MADEIRA (HAEHLING) | Recorrência:1/5 | Observações: pedido 18/10 - 92.000,00</v>
      </c>
      <c r="I328" t="s">
        <v>26</v>
      </c>
      <c r="J328" s="4">
        <v>1840</v>
      </c>
      <c r="K328" s="4">
        <v>440838.12</v>
      </c>
      <c r="L328" t="s">
        <v>27</v>
      </c>
      <c r="M328" s="4">
        <v>1840</v>
      </c>
      <c r="N328" s="3">
        <v>0</v>
      </c>
      <c r="O328" t="s">
        <v>767</v>
      </c>
      <c r="P328" t="s">
        <v>485</v>
      </c>
      <c r="Q328" t="s">
        <v>687</v>
      </c>
      <c r="R328" t="str">
        <f t="shared" si="11"/>
        <v>Sim</v>
      </c>
      <c r="S328" t="s">
        <v>687</v>
      </c>
      <c r="T328" t="s">
        <v>513</v>
      </c>
      <c r="U328" t="s">
        <v>49</v>
      </c>
      <c r="V328" s="3">
        <v>1840</v>
      </c>
      <c r="W328" t="s">
        <v>49</v>
      </c>
      <c r="X328" s="3">
        <v>1840</v>
      </c>
    </row>
    <row r="329" spans="1:24" s="2" customFormat="1" x14ac:dyDescent="0.2">
      <c r="A329">
        <v>329</v>
      </c>
      <c r="B329"/>
      <c r="C329" t="s">
        <v>768</v>
      </c>
      <c r="D329" t="s">
        <v>175</v>
      </c>
      <c r="E329" t="s">
        <v>30</v>
      </c>
      <c r="F329" t="s">
        <v>24</v>
      </c>
      <c r="G329" t="s">
        <v>25</v>
      </c>
      <c r="H329" t="str">
        <f t="shared" si="10"/>
        <v xml:space="preserve">PORTOBELLO (PBTECH E SERV) | Recorrência: | Observações: valor incluso RT Paula \Riso </v>
      </c>
      <c r="I329" t="s">
        <v>26</v>
      </c>
      <c r="J329" s="4">
        <v>6066.78</v>
      </c>
      <c r="K329" s="4">
        <v>446904.9</v>
      </c>
      <c r="L329" t="s">
        <v>27</v>
      </c>
      <c r="M329" s="4">
        <v>6066.78</v>
      </c>
      <c r="N329" s="3">
        <v>0</v>
      </c>
      <c r="O329" t="s">
        <v>767</v>
      </c>
      <c r="P329" t="s">
        <v>769</v>
      </c>
      <c r="Q329" t="s">
        <v>693</v>
      </c>
      <c r="R329" t="str">
        <f t="shared" si="11"/>
        <v>Sim</v>
      </c>
      <c r="S329" t="s">
        <v>693</v>
      </c>
      <c r="T329" t="s">
        <v>770</v>
      </c>
      <c r="U329" t="s">
        <v>49</v>
      </c>
      <c r="V329" s="3">
        <v>6066.78</v>
      </c>
    </row>
    <row r="330" spans="1:24" s="2" customFormat="1" x14ac:dyDescent="0.2">
      <c r="A330" s="2">
        <v>330</v>
      </c>
      <c r="B330" t="s">
        <v>71</v>
      </c>
      <c r="C330" t="s">
        <v>72</v>
      </c>
      <c r="D330" t="s">
        <v>325</v>
      </c>
      <c r="E330" t="s">
        <v>73</v>
      </c>
      <c r="F330" t="s">
        <v>24</v>
      </c>
      <c r="G330" t="s">
        <v>25</v>
      </c>
      <c r="H330" t="str">
        <f t="shared" si="10"/>
        <v>VIA MADEIRA (HAEHLING) | Recorrência:1/5 | Observações: Valor incluiu Gapaz x Marilia(1.840)</v>
      </c>
      <c r="I330" t="s">
        <v>26</v>
      </c>
      <c r="J330" s="4">
        <v>330</v>
      </c>
      <c r="K330" s="4">
        <v>447234.9</v>
      </c>
      <c r="L330" t="s">
        <v>27</v>
      </c>
      <c r="M330" s="4">
        <v>330</v>
      </c>
      <c r="N330" s="3">
        <v>0</v>
      </c>
      <c r="O330" t="s">
        <v>767</v>
      </c>
      <c r="P330" t="s">
        <v>682</v>
      </c>
      <c r="Q330" t="s">
        <v>767</v>
      </c>
      <c r="R330" t="str">
        <f t="shared" si="11"/>
        <v>Sim</v>
      </c>
      <c r="S330" t="s">
        <v>767</v>
      </c>
      <c r="T330" t="s">
        <v>771</v>
      </c>
      <c r="U330" t="s">
        <v>49</v>
      </c>
      <c r="V330" s="3">
        <v>330</v>
      </c>
      <c r="W330" t="s">
        <v>49</v>
      </c>
      <c r="X330" s="3">
        <v>330</v>
      </c>
    </row>
    <row r="331" spans="1:24" s="2" customFormat="1" x14ac:dyDescent="0.2">
      <c r="A331">
        <v>331</v>
      </c>
      <c r="B331"/>
      <c r="C331" t="s">
        <v>153</v>
      </c>
      <c r="D331" t="s">
        <v>731</v>
      </c>
      <c r="E331" t="s">
        <v>398</v>
      </c>
      <c r="F331" t="s">
        <v>63</v>
      </c>
      <c r="G331" t="s">
        <v>25</v>
      </c>
      <c r="H331" t="str">
        <f t="shared" si="10"/>
        <v xml:space="preserve">ISABEL BONFIM_ARQUITETA | Recorrência:2/12 | Observações: </v>
      </c>
      <c r="I331" t="s">
        <v>26</v>
      </c>
      <c r="J331" s="5">
        <v>-3175.01</v>
      </c>
      <c r="K331" s="4">
        <v>444059.89</v>
      </c>
      <c r="L331" t="s">
        <v>27</v>
      </c>
      <c r="M331" s="5">
        <v>-3175.01</v>
      </c>
      <c r="N331" s="3">
        <v>0</v>
      </c>
      <c r="O331" t="s">
        <v>772</v>
      </c>
      <c r="P331" t="s">
        <v>718</v>
      </c>
      <c r="Q331" t="s">
        <v>772</v>
      </c>
      <c r="R331" t="str">
        <f t="shared" si="11"/>
        <v>Sim</v>
      </c>
      <c r="S331" t="s">
        <v>772</v>
      </c>
      <c r="T331" t="s">
        <v>30</v>
      </c>
      <c r="U331" t="s">
        <v>323</v>
      </c>
      <c r="V331" s="3">
        <v>-3175.01</v>
      </c>
      <c r="W331" t="s">
        <v>324</v>
      </c>
      <c r="X331" s="3">
        <v>-3175.01</v>
      </c>
    </row>
    <row r="332" spans="1:24" s="2" customFormat="1" x14ac:dyDescent="0.2">
      <c r="A332" s="2">
        <v>332</v>
      </c>
      <c r="B332"/>
      <c r="C332" t="s">
        <v>710</v>
      </c>
      <c r="D332" t="s">
        <v>711</v>
      </c>
      <c r="E332" t="s">
        <v>471</v>
      </c>
      <c r="F332" t="s">
        <v>63</v>
      </c>
      <c r="G332" t="s">
        <v>25</v>
      </c>
      <c r="H332" t="str">
        <f t="shared" si="10"/>
        <v>ELETROPAULO_ENERGIA _ITAIM | Recorrência:3/12 | Observações: REFERENNTE FEVEREIRO</v>
      </c>
      <c r="I332" t="s">
        <v>26</v>
      </c>
      <c r="J332" s="5">
        <v>-87.67</v>
      </c>
      <c r="K332" s="4">
        <v>443972.22</v>
      </c>
      <c r="L332" t="s">
        <v>27</v>
      </c>
      <c r="M332" s="5">
        <v>-87.67</v>
      </c>
      <c r="N332" s="3">
        <v>0</v>
      </c>
      <c r="O332" t="s">
        <v>773</v>
      </c>
      <c r="P332" t="s">
        <v>746</v>
      </c>
      <c r="Q332" t="s">
        <v>773</v>
      </c>
      <c r="R332" t="str">
        <f t="shared" si="11"/>
        <v>Sim</v>
      </c>
      <c r="S332" t="s">
        <v>773</v>
      </c>
      <c r="T332" t="s">
        <v>774</v>
      </c>
      <c r="U332" t="s">
        <v>125</v>
      </c>
      <c r="V332" s="3">
        <v>-87.67</v>
      </c>
      <c r="W332" t="s">
        <v>324</v>
      </c>
      <c r="X332" s="3">
        <v>-87.67</v>
      </c>
    </row>
    <row r="333" spans="1:24" s="2" customFormat="1" x14ac:dyDescent="0.2">
      <c r="A333">
        <v>333</v>
      </c>
      <c r="B333"/>
      <c r="C333" t="s">
        <v>153</v>
      </c>
      <c r="D333" t="s">
        <v>650</v>
      </c>
      <c r="E333" t="s">
        <v>471</v>
      </c>
      <c r="F333" t="s">
        <v>63</v>
      </c>
      <c r="G333" t="s">
        <v>25</v>
      </c>
      <c r="H333" t="str">
        <f t="shared" si="10"/>
        <v xml:space="preserve">FGTS | Recorrência:3/12 | Observações: </v>
      </c>
      <c r="I333" t="s">
        <v>26</v>
      </c>
      <c r="J333" s="5">
        <v>-120.1</v>
      </c>
      <c r="K333" s="4">
        <v>443852.12</v>
      </c>
      <c r="L333" t="s">
        <v>27</v>
      </c>
      <c r="M333" s="5">
        <v>-120.1</v>
      </c>
      <c r="N333" s="3">
        <v>0</v>
      </c>
      <c r="O333" t="s">
        <v>773</v>
      </c>
      <c r="P333" t="s">
        <v>775</v>
      </c>
      <c r="Q333" t="s">
        <v>773</v>
      </c>
      <c r="R333" t="str">
        <f t="shared" si="11"/>
        <v>Sim</v>
      </c>
      <c r="S333" t="s">
        <v>773</v>
      </c>
      <c r="T333" t="s">
        <v>30</v>
      </c>
      <c r="U333" t="s">
        <v>651</v>
      </c>
      <c r="V333" s="3">
        <v>-120.1</v>
      </c>
      <c r="W333" t="s">
        <v>376</v>
      </c>
      <c r="X333" s="3">
        <v>-120.1</v>
      </c>
    </row>
    <row r="334" spans="1:24" s="2" customFormat="1" x14ac:dyDescent="0.2">
      <c r="A334" s="2">
        <v>334</v>
      </c>
      <c r="B334"/>
      <c r="C334" t="s">
        <v>153</v>
      </c>
      <c r="D334" t="s">
        <v>630</v>
      </c>
      <c r="E334" t="s">
        <v>471</v>
      </c>
      <c r="F334" t="s">
        <v>63</v>
      </c>
      <c r="G334" t="s">
        <v>25</v>
      </c>
      <c r="H334" t="str">
        <f t="shared" si="10"/>
        <v xml:space="preserve">PRÓ-LABORE MAYARA | Recorrência:3/12 | Observações: </v>
      </c>
      <c r="I334" t="s">
        <v>26</v>
      </c>
      <c r="J334" s="5">
        <v>-15000</v>
      </c>
      <c r="K334" s="4">
        <v>428852.12</v>
      </c>
      <c r="L334" t="s">
        <v>27</v>
      </c>
      <c r="M334" s="5">
        <v>-15000</v>
      </c>
      <c r="N334" s="3">
        <v>0</v>
      </c>
      <c r="O334" t="s">
        <v>773</v>
      </c>
      <c r="P334" t="s">
        <v>775</v>
      </c>
      <c r="Q334" t="s">
        <v>776</v>
      </c>
      <c r="R334" t="str">
        <f t="shared" si="11"/>
        <v>Sim</v>
      </c>
      <c r="S334" t="s">
        <v>776</v>
      </c>
      <c r="T334" t="s">
        <v>30</v>
      </c>
      <c r="U334" t="s">
        <v>631</v>
      </c>
      <c r="V334" s="3">
        <v>-15000</v>
      </c>
      <c r="W334" t="s">
        <v>632</v>
      </c>
      <c r="X334" s="3">
        <v>-15000</v>
      </c>
    </row>
    <row r="335" spans="1:24" s="2" customFormat="1" x14ac:dyDescent="0.2">
      <c r="A335">
        <v>335</v>
      </c>
      <c r="B335"/>
      <c r="C335"/>
      <c r="D335" t="s">
        <v>633</v>
      </c>
      <c r="E335" t="s">
        <v>471</v>
      </c>
      <c r="F335" t="s">
        <v>63</v>
      </c>
      <c r="G335" t="s">
        <v>25</v>
      </c>
      <c r="H335" t="str">
        <f t="shared" si="10"/>
        <v xml:space="preserve">PRÓ-LABORE NATASHA | Recorrência:3/12 | Observações: </v>
      </c>
      <c r="I335" t="s">
        <v>26</v>
      </c>
      <c r="J335" s="5">
        <v>-15000</v>
      </c>
      <c r="K335" s="4">
        <v>413852.12</v>
      </c>
      <c r="L335" t="s">
        <v>27</v>
      </c>
      <c r="M335" s="5">
        <v>-15000</v>
      </c>
      <c r="N335" s="3">
        <v>0</v>
      </c>
      <c r="O335" t="s">
        <v>773</v>
      </c>
      <c r="P335" t="s">
        <v>696</v>
      </c>
      <c r="Q335" t="s">
        <v>776</v>
      </c>
      <c r="R335" t="str">
        <f t="shared" si="11"/>
        <v>Sim</v>
      </c>
      <c r="S335" t="s">
        <v>776</v>
      </c>
      <c r="T335" t="s">
        <v>30</v>
      </c>
      <c r="U335" t="s">
        <v>631</v>
      </c>
      <c r="V335" s="3">
        <v>-15000</v>
      </c>
    </row>
    <row r="336" spans="1:24" s="2" customFormat="1" x14ac:dyDescent="0.2">
      <c r="A336" s="2">
        <v>336</v>
      </c>
      <c r="B336"/>
      <c r="C336"/>
      <c r="D336" t="s">
        <v>151</v>
      </c>
      <c r="E336" t="s">
        <v>471</v>
      </c>
      <c r="F336" t="s">
        <v>63</v>
      </c>
      <c r="G336" t="s">
        <v>25</v>
      </c>
      <c r="H336" t="str">
        <f t="shared" si="10"/>
        <v xml:space="preserve">SODEXO - Eliane  | Recorrência:3/12 | Observações: </v>
      </c>
      <c r="I336" t="s">
        <v>26</v>
      </c>
      <c r="J336" s="5">
        <v>-594</v>
      </c>
      <c r="K336" s="4">
        <v>413258.12</v>
      </c>
      <c r="L336" t="s">
        <v>27</v>
      </c>
      <c r="M336" s="5">
        <v>-594</v>
      </c>
      <c r="N336" s="3">
        <v>0</v>
      </c>
      <c r="O336" t="s">
        <v>773</v>
      </c>
      <c r="P336" t="s">
        <v>714</v>
      </c>
      <c r="Q336" t="s">
        <v>777</v>
      </c>
      <c r="R336" t="str">
        <f t="shared" si="11"/>
        <v>Sim</v>
      </c>
      <c r="S336" t="s">
        <v>777</v>
      </c>
      <c r="T336" t="s">
        <v>30</v>
      </c>
      <c r="U336" t="s">
        <v>93</v>
      </c>
      <c r="V336" s="3">
        <v>-594</v>
      </c>
    </row>
    <row r="337" spans="1:24" s="2" customFormat="1" x14ac:dyDescent="0.2">
      <c r="A337">
        <v>337</v>
      </c>
      <c r="B337"/>
      <c r="C337" t="s">
        <v>153</v>
      </c>
      <c r="D337" t="s">
        <v>519</v>
      </c>
      <c r="E337" t="s">
        <v>778</v>
      </c>
      <c r="F337" t="s">
        <v>63</v>
      </c>
      <c r="G337" t="s">
        <v>25</v>
      </c>
      <c r="H337" t="str">
        <f t="shared" si="10"/>
        <v xml:space="preserve">SALÁRIO POLIANA  | Recorrência:8/12 | Observações: ESTAGIÁRIA </v>
      </c>
      <c r="I337" t="s">
        <v>26</v>
      </c>
      <c r="J337" s="5">
        <v>-1747.55</v>
      </c>
      <c r="K337" s="4">
        <v>411510.57</v>
      </c>
      <c r="L337" t="s">
        <v>27</v>
      </c>
      <c r="M337" s="5">
        <v>-1747.55</v>
      </c>
      <c r="N337" s="3">
        <v>0</v>
      </c>
      <c r="O337" t="s">
        <v>773</v>
      </c>
      <c r="P337" t="s">
        <v>682</v>
      </c>
      <c r="Q337" t="s">
        <v>776</v>
      </c>
      <c r="R337" t="str">
        <f t="shared" si="11"/>
        <v>Sim</v>
      </c>
      <c r="S337" t="s">
        <v>776</v>
      </c>
      <c r="T337" t="s">
        <v>322</v>
      </c>
      <c r="U337" t="s">
        <v>323</v>
      </c>
      <c r="V337" s="3">
        <v>-1747.55</v>
      </c>
      <c r="W337" t="s">
        <v>324</v>
      </c>
      <c r="X337" s="3">
        <v>-1747.55</v>
      </c>
    </row>
    <row r="338" spans="1:24" s="2" customFormat="1" x14ac:dyDescent="0.2">
      <c r="A338" s="2">
        <v>338</v>
      </c>
      <c r="B338"/>
      <c r="C338" t="s">
        <v>666</v>
      </c>
      <c r="D338" t="s">
        <v>667</v>
      </c>
      <c r="E338" t="s">
        <v>398</v>
      </c>
      <c r="F338" t="s">
        <v>63</v>
      </c>
      <c r="G338" t="s">
        <v>25</v>
      </c>
      <c r="H338" t="str">
        <f t="shared" si="10"/>
        <v>TELEFONIA E INTERNET | Recorrência:2/12 | Observações: REFERENTE VENC_ FEVEREIRO</v>
      </c>
      <c r="I338" t="s">
        <v>26</v>
      </c>
      <c r="J338" s="5">
        <v>-142.18</v>
      </c>
      <c r="K338" s="4">
        <v>411368.39</v>
      </c>
      <c r="L338" t="s">
        <v>27</v>
      </c>
      <c r="M338" s="5">
        <v>-142.18</v>
      </c>
      <c r="N338" s="3">
        <v>0</v>
      </c>
      <c r="O338" t="s">
        <v>773</v>
      </c>
      <c r="P338" t="s">
        <v>668</v>
      </c>
      <c r="Q338" t="s">
        <v>769</v>
      </c>
      <c r="R338" t="str">
        <f t="shared" si="11"/>
        <v>Sim</v>
      </c>
      <c r="S338" t="s">
        <v>769</v>
      </c>
      <c r="T338" t="s">
        <v>779</v>
      </c>
      <c r="U338" t="s">
        <v>670</v>
      </c>
      <c r="V338" s="3">
        <v>-142.18</v>
      </c>
      <c r="W338" t="s">
        <v>324</v>
      </c>
      <c r="X338" s="3">
        <v>-142.18</v>
      </c>
    </row>
    <row r="339" spans="1:24" s="2" customFormat="1" x14ac:dyDescent="0.2">
      <c r="A339">
        <v>339</v>
      </c>
      <c r="B339"/>
      <c r="C339" t="s">
        <v>666</v>
      </c>
      <c r="D339" t="s">
        <v>667</v>
      </c>
      <c r="E339" t="s">
        <v>471</v>
      </c>
      <c r="F339" t="s">
        <v>63</v>
      </c>
      <c r="G339" t="s">
        <v>25</v>
      </c>
      <c r="H339" t="str">
        <f t="shared" si="10"/>
        <v>TELEFONIA E INTERNET | Recorrência:3/12 | Observações: VENC 03</v>
      </c>
      <c r="I339" t="s">
        <v>26</v>
      </c>
      <c r="J339" s="5">
        <v>-190</v>
      </c>
      <c r="K339" s="4">
        <v>411178.39</v>
      </c>
      <c r="L339" t="s">
        <v>27</v>
      </c>
      <c r="M339" s="5">
        <v>-190</v>
      </c>
      <c r="N339" s="3">
        <v>0</v>
      </c>
      <c r="O339" t="s">
        <v>773</v>
      </c>
      <c r="P339" t="s">
        <v>750</v>
      </c>
      <c r="Q339" t="s">
        <v>780</v>
      </c>
      <c r="R339" t="str">
        <f t="shared" si="11"/>
        <v>Sim</v>
      </c>
      <c r="S339" t="s">
        <v>780</v>
      </c>
      <c r="T339" t="s">
        <v>781</v>
      </c>
      <c r="U339" t="s">
        <v>670</v>
      </c>
      <c r="V339" s="3">
        <v>-190</v>
      </c>
      <c r="W339" t="s">
        <v>324</v>
      </c>
      <c r="X339" s="3">
        <v>-190</v>
      </c>
    </row>
    <row r="340" spans="1:24" s="2" customFormat="1" x14ac:dyDescent="0.2">
      <c r="A340" s="2">
        <v>340</v>
      </c>
      <c r="B340"/>
      <c r="C340" t="s">
        <v>153</v>
      </c>
      <c r="D340" t="s">
        <v>635</v>
      </c>
      <c r="E340" t="s">
        <v>471</v>
      </c>
      <c r="F340" t="s">
        <v>63</v>
      </c>
      <c r="G340" t="s">
        <v>25</v>
      </c>
      <c r="H340" t="str">
        <f t="shared" si="10"/>
        <v xml:space="preserve">SALÁRIO HELOISA | Recorrência:3/12 | Observações: </v>
      </c>
      <c r="I340" t="s">
        <v>26</v>
      </c>
      <c r="J340" s="5">
        <v>-3675.28</v>
      </c>
      <c r="K340" s="4">
        <v>407503.11</v>
      </c>
      <c r="L340" t="s">
        <v>27</v>
      </c>
      <c r="M340" s="5">
        <v>-3675.28</v>
      </c>
      <c r="N340" s="3">
        <v>0</v>
      </c>
      <c r="O340" t="s">
        <v>773</v>
      </c>
      <c r="P340" t="s">
        <v>718</v>
      </c>
      <c r="Q340" t="s">
        <v>776</v>
      </c>
      <c r="R340" t="str">
        <f t="shared" si="11"/>
        <v>Sim</v>
      </c>
      <c r="S340" t="s">
        <v>776</v>
      </c>
      <c r="T340" t="s">
        <v>30</v>
      </c>
      <c r="U340" t="s">
        <v>323</v>
      </c>
      <c r="V340" s="3">
        <v>-3675.28</v>
      </c>
      <c r="W340" t="s">
        <v>324</v>
      </c>
      <c r="X340" s="3">
        <v>-3675.28</v>
      </c>
    </row>
    <row r="341" spans="1:24" s="2" customFormat="1" x14ac:dyDescent="0.2">
      <c r="A341">
        <v>341</v>
      </c>
      <c r="B341"/>
      <c r="C341" t="s">
        <v>153</v>
      </c>
      <c r="D341" t="s">
        <v>636</v>
      </c>
      <c r="E341" t="s">
        <v>471</v>
      </c>
      <c r="F341" t="s">
        <v>63</v>
      </c>
      <c r="G341" t="s">
        <v>25</v>
      </c>
      <c r="H341" t="str">
        <f t="shared" si="10"/>
        <v xml:space="preserve">SALÁRIO ELIANE | Recorrência:3/12 | Observações: </v>
      </c>
      <c r="I341" t="s">
        <v>26</v>
      </c>
      <c r="J341" s="5">
        <v>-1384.39</v>
      </c>
      <c r="K341" s="4">
        <v>406118.72</v>
      </c>
      <c r="L341" t="s">
        <v>27</v>
      </c>
      <c r="M341" s="5">
        <v>-1384.39</v>
      </c>
      <c r="N341" s="3">
        <v>0</v>
      </c>
      <c r="O341" t="s">
        <v>773</v>
      </c>
      <c r="P341" t="s">
        <v>688</v>
      </c>
      <c r="Q341" t="s">
        <v>776</v>
      </c>
      <c r="R341" t="str">
        <f t="shared" si="11"/>
        <v>Sim</v>
      </c>
      <c r="S341" t="s">
        <v>776</v>
      </c>
      <c r="T341" t="s">
        <v>30</v>
      </c>
      <c r="U341" t="s">
        <v>323</v>
      </c>
      <c r="V341" s="3">
        <v>-1384.39</v>
      </c>
      <c r="W341" t="s">
        <v>324</v>
      </c>
      <c r="X341" s="3">
        <v>-1384.39</v>
      </c>
    </row>
    <row r="342" spans="1:24" s="2" customFormat="1" x14ac:dyDescent="0.2">
      <c r="A342" s="2">
        <v>342</v>
      </c>
      <c r="B342"/>
      <c r="C342" t="s">
        <v>153</v>
      </c>
      <c r="D342" t="s">
        <v>572</v>
      </c>
      <c r="E342" t="s">
        <v>518</v>
      </c>
      <c r="F342" t="s">
        <v>63</v>
      </c>
      <c r="G342" t="s">
        <v>25</v>
      </c>
      <c r="H342" t="str">
        <f t="shared" si="10"/>
        <v xml:space="preserve">SALARIO FELIPE | Recorrência:4/12 | Observações: </v>
      </c>
      <c r="I342" t="s">
        <v>26</v>
      </c>
      <c r="J342" s="5">
        <v>-1314.95</v>
      </c>
      <c r="K342" s="4">
        <v>404803.77</v>
      </c>
      <c r="L342" t="s">
        <v>27</v>
      </c>
      <c r="M342" s="5">
        <v>-1314.95</v>
      </c>
      <c r="N342" s="3">
        <v>0</v>
      </c>
      <c r="O342" t="s">
        <v>773</v>
      </c>
      <c r="P342" t="s">
        <v>696</v>
      </c>
      <c r="Q342" t="s">
        <v>772</v>
      </c>
      <c r="R342" t="str">
        <f t="shared" si="11"/>
        <v>Sim</v>
      </c>
      <c r="S342" t="s">
        <v>772</v>
      </c>
      <c r="T342" t="s">
        <v>30</v>
      </c>
      <c r="U342" t="s">
        <v>323</v>
      </c>
      <c r="V342" s="3">
        <v>-1314.95</v>
      </c>
      <c r="W342" t="s">
        <v>324</v>
      </c>
      <c r="X342" s="3">
        <v>-1314.95</v>
      </c>
    </row>
    <row r="343" spans="1:24" s="2" customFormat="1" x14ac:dyDescent="0.2">
      <c r="A343">
        <v>343</v>
      </c>
      <c r="B343"/>
      <c r="C343"/>
      <c r="D343" t="s">
        <v>689</v>
      </c>
      <c r="E343" t="s">
        <v>398</v>
      </c>
      <c r="F343" t="s">
        <v>63</v>
      </c>
      <c r="G343" t="s">
        <v>25</v>
      </c>
      <c r="H343" t="str">
        <f t="shared" si="10"/>
        <v xml:space="preserve">LIMPEZA_JULIANA COSTA SOARES | Recorrência:2/12 | Observações: </v>
      </c>
      <c r="I343" t="s">
        <v>26</v>
      </c>
      <c r="J343" s="5">
        <v>-480</v>
      </c>
      <c r="K343" s="4">
        <v>404323.77</v>
      </c>
      <c r="L343" t="s">
        <v>27</v>
      </c>
      <c r="M343" s="5">
        <v>-480</v>
      </c>
      <c r="N343" s="3">
        <v>0</v>
      </c>
      <c r="O343" t="s">
        <v>773</v>
      </c>
      <c r="P343" t="s">
        <v>718</v>
      </c>
      <c r="Q343" t="s">
        <v>782</v>
      </c>
      <c r="R343" t="str">
        <f t="shared" si="11"/>
        <v>Sim</v>
      </c>
      <c r="S343" t="s">
        <v>782</v>
      </c>
      <c r="T343" t="s">
        <v>30</v>
      </c>
      <c r="U343" t="s">
        <v>783</v>
      </c>
      <c r="V343" s="3">
        <v>-480</v>
      </c>
    </row>
    <row r="344" spans="1:24" s="2" customFormat="1" x14ac:dyDescent="0.2">
      <c r="A344" s="2">
        <v>344</v>
      </c>
      <c r="B344"/>
      <c r="C344" t="s">
        <v>153</v>
      </c>
      <c r="D344" t="s">
        <v>733</v>
      </c>
      <c r="E344" t="s">
        <v>398</v>
      </c>
      <c r="F344" t="s">
        <v>63</v>
      </c>
      <c r="G344" t="s">
        <v>25</v>
      </c>
      <c r="H344" t="str">
        <f t="shared" si="10"/>
        <v>ISABELA ROSSI _ ESTAGIÁRIA  | Recorrência:2/12 | Observações: REFERENTE A FEVEREIRO</v>
      </c>
      <c r="I344" t="s">
        <v>26</v>
      </c>
      <c r="J344" s="5">
        <v>-906.33</v>
      </c>
      <c r="K344" s="4">
        <v>403417.44</v>
      </c>
      <c r="L344" t="s">
        <v>27</v>
      </c>
      <c r="M344" s="5">
        <v>-906.33</v>
      </c>
      <c r="N344" s="3">
        <v>0</v>
      </c>
      <c r="O344" t="s">
        <v>773</v>
      </c>
      <c r="P344" t="s">
        <v>718</v>
      </c>
      <c r="Q344" t="s">
        <v>776</v>
      </c>
      <c r="R344" t="str">
        <f t="shared" si="11"/>
        <v>Sim</v>
      </c>
      <c r="S344" t="s">
        <v>776</v>
      </c>
      <c r="T344" t="s">
        <v>784</v>
      </c>
      <c r="U344" t="s">
        <v>323</v>
      </c>
      <c r="V344" s="3">
        <v>-906.33</v>
      </c>
      <c r="W344" t="s">
        <v>324</v>
      </c>
      <c r="X344" s="3">
        <v>-906.33</v>
      </c>
    </row>
    <row r="345" spans="1:24" s="2" customFormat="1" x14ac:dyDescent="0.2">
      <c r="A345">
        <v>345</v>
      </c>
      <c r="B345"/>
      <c r="C345" t="s">
        <v>574</v>
      </c>
      <c r="D345" t="s">
        <v>575</v>
      </c>
      <c r="E345" t="s">
        <v>518</v>
      </c>
      <c r="F345" t="s">
        <v>63</v>
      </c>
      <c r="G345" t="s">
        <v>25</v>
      </c>
      <c r="H345" t="str">
        <f t="shared" si="10"/>
        <v xml:space="preserve">ALUGUEL+CONDOMINIO+IPTU | Recorrência:4/12 | Observações: </v>
      </c>
      <c r="I345" t="s">
        <v>26</v>
      </c>
      <c r="J345" s="5">
        <v>-5585.41</v>
      </c>
      <c r="K345" s="4">
        <v>397832.03</v>
      </c>
      <c r="L345" t="s">
        <v>27</v>
      </c>
      <c r="M345" s="5">
        <v>-5585.41</v>
      </c>
      <c r="N345" s="3">
        <v>0</v>
      </c>
      <c r="O345" t="s">
        <v>773</v>
      </c>
      <c r="P345" t="s">
        <v>716</v>
      </c>
      <c r="Q345" t="s">
        <v>776</v>
      </c>
      <c r="R345" t="str">
        <f t="shared" si="11"/>
        <v>Sim</v>
      </c>
      <c r="S345" t="s">
        <v>776</v>
      </c>
      <c r="T345" t="s">
        <v>30</v>
      </c>
      <c r="U345" t="s">
        <v>571</v>
      </c>
      <c r="V345" s="3">
        <v>-5585.41</v>
      </c>
      <c r="W345" t="s">
        <v>577</v>
      </c>
      <c r="X345" s="3">
        <v>-5585.41</v>
      </c>
    </row>
    <row r="346" spans="1:24" s="2" customFormat="1" x14ac:dyDescent="0.2">
      <c r="A346" s="2">
        <v>346</v>
      </c>
      <c r="B346"/>
      <c r="C346" t="s">
        <v>512</v>
      </c>
      <c r="D346" t="s">
        <v>786</v>
      </c>
      <c r="E346" t="s">
        <v>30</v>
      </c>
      <c r="F346" t="s">
        <v>24</v>
      </c>
      <c r="G346" t="s">
        <v>25</v>
      </c>
      <c r="H346" t="str">
        <f t="shared" si="10"/>
        <v>DIMLUX ( STUDIO GUSTAVO DI MENNO DE ILUM.) | Recorrência: | Observações: PEDIDO 74411</v>
      </c>
      <c r="I346" t="s">
        <v>26</v>
      </c>
      <c r="J346" s="4">
        <v>881.05</v>
      </c>
      <c r="K346" s="4">
        <v>398713.08</v>
      </c>
      <c r="L346" t="s">
        <v>27</v>
      </c>
      <c r="M346" s="4">
        <v>881.05</v>
      </c>
      <c r="N346" s="3">
        <v>0</v>
      </c>
      <c r="O346" t="s">
        <v>785</v>
      </c>
      <c r="P346" t="s">
        <v>523</v>
      </c>
      <c r="Q346" t="s">
        <v>688</v>
      </c>
      <c r="R346" t="str">
        <f t="shared" si="11"/>
        <v>Sim</v>
      </c>
      <c r="S346" t="s">
        <v>688</v>
      </c>
      <c r="T346" t="s">
        <v>787</v>
      </c>
      <c r="U346" t="s">
        <v>49</v>
      </c>
      <c r="V346" s="3">
        <v>881.05</v>
      </c>
      <c r="W346" t="s">
        <v>49</v>
      </c>
      <c r="X346" s="3">
        <v>881.05</v>
      </c>
    </row>
    <row r="347" spans="1:24" s="2" customFormat="1" x14ac:dyDescent="0.2">
      <c r="A347">
        <v>347</v>
      </c>
      <c r="B347"/>
      <c r="C347" t="s">
        <v>258</v>
      </c>
      <c r="D347" t="s">
        <v>207</v>
      </c>
      <c r="E347" t="s">
        <v>30</v>
      </c>
      <c r="F347" t="s">
        <v>24</v>
      </c>
      <c r="G347" t="s">
        <v>25</v>
      </c>
      <c r="H347" t="str">
        <f t="shared" si="10"/>
        <v xml:space="preserve">OBRA FÁCIL (MARK UP PART) | Recorrência: | Observações: </v>
      </c>
      <c r="I347" t="s">
        <v>26</v>
      </c>
      <c r="J347" s="4">
        <v>284.58999999999997</v>
      </c>
      <c r="K347" s="4">
        <v>398997.67</v>
      </c>
      <c r="L347" t="s">
        <v>27</v>
      </c>
      <c r="M347" s="4">
        <v>284.58999999999997</v>
      </c>
      <c r="N347" s="3">
        <v>0</v>
      </c>
      <c r="O347" t="s">
        <v>785</v>
      </c>
      <c r="P347" t="s">
        <v>665</v>
      </c>
      <c r="Q347" t="s">
        <v>746</v>
      </c>
      <c r="R347" t="str">
        <f t="shared" si="11"/>
        <v>Sim</v>
      </c>
      <c r="S347" t="s">
        <v>746</v>
      </c>
      <c r="T347" t="s">
        <v>30</v>
      </c>
      <c r="U347" t="s">
        <v>49</v>
      </c>
      <c r="V347" s="3">
        <v>284.58999999999997</v>
      </c>
      <c r="W347" t="s">
        <v>49</v>
      </c>
      <c r="X347" s="3">
        <v>284.58999999999997</v>
      </c>
    </row>
    <row r="348" spans="1:24" s="2" customFormat="1" x14ac:dyDescent="0.2">
      <c r="A348" s="2">
        <v>348</v>
      </c>
      <c r="B348"/>
      <c r="C348" t="s">
        <v>153</v>
      </c>
      <c r="D348" t="s">
        <v>659</v>
      </c>
      <c r="E348" t="s">
        <v>30</v>
      </c>
      <c r="F348" t="s">
        <v>63</v>
      </c>
      <c r="G348" t="s">
        <v>25</v>
      </c>
      <c r="H348" t="str">
        <f t="shared" si="10"/>
        <v>VALE TRANSPORTE _ELIANE | Recorrência: | Observações: Referente mês de Março &gt; Descontado dia 28/02 e 01/03</v>
      </c>
      <c r="I348" t="s">
        <v>26</v>
      </c>
      <c r="J348" s="5">
        <v>-369.6</v>
      </c>
      <c r="K348" s="4">
        <v>398628.07</v>
      </c>
      <c r="L348" t="s">
        <v>27</v>
      </c>
      <c r="M348" s="5">
        <v>-369.6</v>
      </c>
      <c r="N348" s="3">
        <v>0</v>
      </c>
      <c r="O348" t="s">
        <v>788</v>
      </c>
      <c r="P348" t="s">
        <v>789</v>
      </c>
      <c r="Q348" t="s">
        <v>790</v>
      </c>
      <c r="R348" t="str">
        <f t="shared" si="11"/>
        <v>Sim</v>
      </c>
      <c r="S348" t="s">
        <v>790</v>
      </c>
      <c r="T348" t="s">
        <v>791</v>
      </c>
      <c r="U348" t="s">
        <v>662</v>
      </c>
      <c r="V348" s="3">
        <v>-369.6</v>
      </c>
      <c r="W348" t="s">
        <v>698</v>
      </c>
      <c r="X348" s="3">
        <v>-369.6</v>
      </c>
    </row>
    <row r="349" spans="1:24" s="2" customFormat="1" x14ac:dyDescent="0.2">
      <c r="A349">
        <v>349</v>
      </c>
      <c r="B349"/>
      <c r="C349" t="s">
        <v>792</v>
      </c>
      <c r="D349" t="s">
        <v>81</v>
      </c>
      <c r="E349" t="s">
        <v>30</v>
      </c>
      <c r="F349" t="s">
        <v>24</v>
      </c>
      <c r="G349" t="s">
        <v>25</v>
      </c>
      <c r="H349" t="str">
        <f t="shared" si="10"/>
        <v>STACCATO | Recorrência: | Observações: Pedidos 220218 - 220219</v>
      </c>
      <c r="I349" t="s">
        <v>26</v>
      </c>
      <c r="J349" s="4">
        <v>425.46</v>
      </c>
      <c r="K349" s="4">
        <v>399053.53</v>
      </c>
      <c r="L349" t="s">
        <v>27</v>
      </c>
      <c r="M349" s="4">
        <v>425.46</v>
      </c>
      <c r="N349" s="3">
        <v>0</v>
      </c>
      <c r="O349" t="s">
        <v>788</v>
      </c>
      <c r="P349" t="s">
        <v>789</v>
      </c>
      <c r="Q349" t="s">
        <v>788</v>
      </c>
      <c r="R349" t="str">
        <f t="shared" si="11"/>
        <v>Sim</v>
      </c>
      <c r="S349" t="s">
        <v>788</v>
      </c>
      <c r="T349" t="s">
        <v>793</v>
      </c>
      <c r="U349" t="s">
        <v>49</v>
      </c>
      <c r="V349" s="3">
        <v>425.46</v>
      </c>
      <c r="W349" t="s">
        <v>49</v>
      </c>
      <c r="X349" s="3">
        <v>425.46</v>
      </c>
    </row>
    <row r="350" spans="1:24" s="2" customFormat="1" x14ac:dyDescent="0.2">
      <c r="A350" s="2">
        <v>350</v>
      </c>
      <c r="B350"/>
      <c r="C350" t="s">
        <v>180</v>
      </c>
      <c r="D350" t="s">
        <v>274</v>
      </c>
      <c r="E350" t="s">
        <v>73</v>
      </c>
      <c r="F350" t="s">
        <v>24</v>
      </c>
      <c r="G350" t="s">
        <v>25</v>
      </c>
      <c r="H350" t="str">
        <f t="shared" si="10"/>
        <v xml:space="preserve">GERENCIAMENTO | Recorrência:1/5 | Observações: </v>
      </c>
      <c r="I350" t="s">
        <v>26</v>
      </c>
      <c r="J350" s="4">
        <v>4500</v>
      </c>
      <c r="K350" s="4">
        <v>403553.53</v>
      </c>
      <c r="L350" t="s">
        <v>27</v>
      </c>
      <c r="M350" s="4">
        <v>4500</v>
      </c>
      <c r="N350" s="3">
        <v>0</v>
      </c>
      <c r="O350" t="s">
        <v>794</v>
      </c>
      <c r="P350" t="s">
        <v>155</v>
      </c>
      <c r="Q350" t="s">
        <v>776</v>
      </c>
      <c r="R350" t="str">
        <f t="shared" si="11"/>
        <v>Sim</v>
      </c>
      <c r="S350" t="s">
        <v>776</v>
      </c>
      <c r="T350" t="s">
        <v>30</v>
      </c>
      <c r="U350" t="s">
        <v>274</v>
      </c>
      <c r="V350" s="3">
        <v>4500</v>
      </c>
      <c r="W350" t="s">
        <v>166</v>
      </c>
      <c r="X350" s="3">
        <v>4500</v>
      </c>
    </row>
    <row r="351" spans="1:24" s="2" customFormat="1" x14ac:dyDescent="0.2">
      <c r="A351">
        <v>351</v>
      </c>
      <c r="B351"/>
      <c r="C351" t="s">
        <v>737</v>
      </c>
      <c r="D351" t="s">
        <v>738</v>
      </c>
      <c r="E351" t="s">
        <v>95</v>
      </c>
      <c r="F351" t="s">
        <v>24</v>
      </c>
      <c r="G351" t="s">
        <v>25</v>
      </c>
      <c r="H351" t="str">
        <f t="shared" si="10"/>
        <v xml:space="preserve">BRUNA ELIAS_QUARTO LORENZO E BERNADO | Recorrência:2/2 | Observações: </v>
      </c>
      <c r="I351" t="s">
        <v>26</v>
      </c>
      <c r="J351" s="4">
        <v>3000</v>
      </c>
      <c r="K351" s="4">
        <v>406553.53</v>
      </c>
      <c r="L351" t="s">
        <v>27</v>
      </c>
      <c r="M351" s="4">
        <v>3000</v>
      </c>
      <c r="N351" s="3">
        <v>0</v>
      </c>
      <c r="O351" t="s">
        <v>794</v>
      </c>
      <c r="P351" t="s">
        <v>785</v>
      </c>
      <c r="Q351" t="s">
        <v>789</v>
      </c>
      <c r="R351" t="str">
        <f t="shared" si="11"/>
        <v>Sim</v>
      </c>
      <c r="S351" t="s">
        <v>789</v>
      </c>
      <c r="T351" t="s">
        <v>30</v>
      </c>
      <c r="U351" t="s">
        <v>182</v>
      </c>
      <c r="V351" s="3">
        <v>3000</v>
      </c>
      <c r="W351" t="s">
        <v>32</v>
      </c>
      <c r="X351" s="3">
        <v>3000</v>
      </c>
    </row>
    <row r="352" spans="1:24" s="2" customFormat="1" x14ac:dyDescent="0.2">
      <c r="A352" s="2">
        <v>352</v>
      </c>
      <c r="B352"/>
      <c r="C352" t="s">
        <v>795</v>
      </c>
      <c r="D352" t="s">
        <v>795</v>
      </c>
      <c r="E352" t="s">
        <v>67</v>
      </c>
      <c r="F352" t="s">
        <v>24</v>
      </c>
      <c r="G352" t="s">
        <v>25</v>
      </c>
      <c r="H352" t="str">
        <f t="shared" si="10"/>
        <v xml:space="preserve">THAIS KOCH _SUITE BEATRIZ | Recorrência:1/2 | Observações: </v>
      </c>
      <c r="I352" t="s">
        <v>26</v>
      </c>
      <c r="J352" s="4">
        <v>2500</v>
      </c>
      <c r="K352" s="4">
        <v>409053.53</v>
      </c>
      <c r="L352" t="s">
        <v>27</v>
      </c>
      <c r="M352" s="4">
        <v>2500</v>
      </c>
      <c r="N352" s="3">
        <v>0</v>
      </c>
      <c r="O352" t="s">
        <v>794</v>
      </c>
      <c r="P352" t="s">
        <v>746</v>
      </c>
      <c r="Q352" t="s">
        <v>776</v>
      </c>
      <c r="R352" t="str">
        <f t="shared" si="11"/>
        <v>Sim</v>
      </c>
      <c r="S352" t="s">
        <v>776</v>
      </c>
      <c r="T352" t="s">
        <v>30</v>
      </c>
      <c r="U352" t="s">
        <v>31</v>
      </c>
      <c r="V352" s="3">
        <v>2500</v>
      </c>
      <c r="W352" t="s">
        <v>32</v>
      </c>
      <c r="X352" s="3">
        <v>2500</v>
      </c>
    </row>
    <row r="353" spans="1:24" s="2" customFormat="1" x14ac:dyDescent="0.2">
      <c r="A353">
        <v>353</v>
      </c>
      <c r="B353"/>
      <c r="C353" t="s">
        <v>453</v>
      </c>
      <c r="D353" t="s">
        <v>796</v>
      </c>
      <c r="E353" t="s">
        <v>30</v>
      </c>
      <c r="F353" t="s">
        <v>24</v>
      </c>
      <c r="G353" t="s">
        <v>25</v>
      </c>
      <c r="H353" t="str">
        <f t="shared" si="10"/>
        <v xml:space="preserve">AL FRAME  | Recorrência: | Observações: </v>
      </c>
      <c r="I353" t="s">
        <v>26</v>
      </c>
      <c r="J353" s="4">
        <v>410</v>
      </c>
      <c r="K353" s="4">
        <v>409463.53</v>
      </c>
      <c r="L353" t="s">
        <v>27</v>
      </c>
      <c r="M353" s="4">
        <v>410</v>
      </c>
      <c r="N353" s="3">
        <v>0</v>
      </c>
      <c r="O353" t="s">
        <v>794</v>
      </c>
      <c r="P353" t="s">
        <v>797</v>
      </c>
      <c r="Q353" t="s">
        <v>798</v>
      </c>
      <c r="R353" t="str">
        <f t="shared" si="11"/>
        <v>Sim</v>
      </c>
      <c r="S353" t="s">
        <v>798</v>
      </c>
      <c r="T353" t="s">
        <v>30</v>
      </c>
      <c r="U353" t="s">
        <v>49</v>
      </c>
      <c r="V353" s="3">
        <v>410</v>
      </c>
      <c r="W353" t="s">
        <v>49</v>
      </c>
      <c r="X353" s="3">
        <v>410</v>
      </c>
    </row>
    <row r="354" spans="1:24" s="2" customFormat="1" x14ac:dyDescent="0.2">
      <c r="A354" s="2">
        <v>354</v>
      </c>
      <c r="B354"/>
      <c r="C354" t="s">
        <v>799</v>
      </c>
      <c r="D354" t="s">
        <v>96</v>
      </c>
      <c r="E354" t="s">
        <v>30</v>
      </c>
      <c r="F354" t="s">
        <v>24</v>
      </c>
      <c r="G354" t="s">
        <v>25</v>
      </c>
      <c r="H354" t="str">
        <f t="shared" si="10"/>
        <v xml:space="preserve">CAROLINA FURQUIM | Recorrência: | Observações: </v>
      </c>
      <c r="I354" t="s">
        <v>26</v>
      </c>
      <c r="J354" s="4">
        <v>662.5</v>
      </c>
      <c r="K354" s="4">
        <v>410126.03</v>
      </c>
      <c r="L354" t="s">
        <v>27</v>
      </c>
      <c r="M354" s="4">
        <v>662.5</v>
      </c>
      <c r="N354" s="3">
        <v>0</v>
      </c>
      <c r="O354" t="s">
        <v>794</v>
      </c>
      <c r="P354" t="s">
        <v>788</v>
      </c>
      <c r="Q354" t="s">
        <v>794</v>
      </c>
      <c r="R354" t="str">
        <f t="shared" si="11"/>
        <v>Sim</v>
      </c>
      <c r="S354" t="s">
        <v>794</v>
      </c>
      <c r="T354" t="s">
        <v>30</v>
      </c>
      <c r="U354" t="s">
        <v>800</v>
      </c>
      <c r="V354" s="3">
        <v>662.5</v>
      </c>
      <c r="W354" t="s">
        <v>801</v>
      </c>
      <c r="X354" s="3">
        <v>662.5</v>
      </c>
    </row>
    <row r="355" spans="1:24" s="2" customFormat="1" x14ac:dyDescent="0.2">
      <c r="A355">
        <v>355</v>
      </c>
      <c r="B355"/>
      <c r="C355" t="s">
        <v>802</v>
      </c>
      <c r="D355" t="s">
        <v>803</v>
      </c>
      <c r="E355" t="s">
        <v>30</v>
      </c>
      <c r="F355" t="s">
        <v>24</v>
      </c>
      <c r="G355" t="s">
        <v>25</v>
      </c>
      <c r="H355" t="str">
        <f t="shared" si="10"/>
        <v>BONTEMPO (Isage Com.de Móveis Ltda) | Recorrência: | Observações: Contrato: 846001</v>
      </c>
      <c r="I355" t="s">
        <v>26</v>
      </c>
      <c r="J355" s="4">
        <v>31939.97</v>
      </c>
      <c r="K355" s="4">
        <v>442066</v>
      </c>
      <c r="L355" t="s">
        <v>27</v>
      </c>
      <c r="M355" s="4">
        <v>31939.97</v>
      </c>
      <c r="N355" s="3">
        <v>0</v>
      </c>
      <c r="O355" t="s">
        <v>780</v>
      </c>
      <c r="P355" t="s">
        <v>804</v>
      </c>
      <c r="Q355" t="s">
        <v>780</v>
      </c>
      <c r="R355" t="str">
        <f t="shared" si="11"/>
        <v>Sim</v>
      </c>
      <c r="S355" t="s">
        <v>780</v>
      </c>
      <c r="T355" t="s">
        <v>805</v>
      </c>
      <c r="U355" t="s">
        <v>49</v>
      </c>
      <c r="V355" s="3">
        <v>31939.97</v>
      </c>
      <c r="W355" t="s">
        <v>49</v>
      </c>
      <c r="X355" s="3">
        <v>31939.97</v>
      </c>
    </row>
    <row r="356" spans="1:24" s="2" customFormat="1" x14ac:dyDescent="0.2">
      <c r="A356" s="2">
        <v>356</v>
      </c>
      <c r="B356" t="s">
        <v>647</v>
      </c>
      <c r="C356" t="s">
        <v>648</v>
      </c>
      <c r="D356" t="s">
        <v>649</v>
      </c>
      <c r="E356" t="s">
        <v>471</v>
      </c>
      <c r="F356" t="s">
        <v>63</v>
      </c>
      <c r="G356" t="s">
        <v>25</v>
      </c>
      <c r="H356" t="str">
        <f t="shared" si="10"/>
        <v xml:space="preserve">HONORÁRIOS CONTÁBEIS | Recorrência:3/12 | Observações: </v>
      </c>
      <c r="I356" t="s">
        <v>26</v>
      </c>
      <c r="J356" s="5">
        <v>-830</v>
      </c>
      <c r="K356" s="4">
        <v>441236</v>
      </c>
      <c r="L356" t="s">
        <v>27</v>
      </c>
      <c r="M356" s="5">
        <v>-830</v>
      </c>
      <c r="N356" s="3">
        <v>0</v>
      </c>
      <c r="O356" t="s">
        <v>798</v>
      </c>
      <c r="P356" t="s">
        <v>775</v>
      </c>
      <c r="Q356" t="s">
        <v>798</v>
      </c>
      <c r="R356" t="str">
        <f t="shared" si="11"/>
        <v>Sim</v>
      </c>
      <c r="S356" t="s">
        <v>798</v>
      </c>
      <c r="T356" t="s">
        <v>30</v>
      </c>
      <c r="U356" t="s">
        <v>608</v>
      </c>
      <c r="V356" s="3">
        <v>-830</v>
      </c>
      <c r="W356" t="s">
        <v>577</v>
      </c>
      <c r="X356" s="3">
        <v>-830</v>
      </c>
    </row>
    <row r="357" spans="1:24" s="2" customFormat="1" x14ac:dyDescent="0.2">
      <c r="A357">
        <v>357</v>
      </c>
      <c r="B357"/>
      <c r="C357" t="s">
        <v>297</v>
      </c>
      <c r="D357" t="s">
        <v>806</v>
      </c>
      <c r="E357" t="s">
        <v>398</v>
      </c>
      <c r="F357" t="s">
        <v>63</v>
      </c>
      <c r="G357" t="s">
        <v>25</v>
      </c>
      <c r="H357" t="str">
        <f t="shared" si="10"/>
        <v xml:space="preserve">DARF ISS | Recorrência:2/12 | Observações: </v>
      </c>
      <c r="I357" t="s">
        <v>26</v>
      </c>
      <c r="J357" s="5">
        <v>-559.04</v>
      </c>
      <c r="K357" s="4">
        <v>440676.96</v>
      </c>
      <c r="L357" t="s">
        <v>27</v>
      </c>
      <c r="M357" s="5">
        <v>-559.04</v>
      </c>
      <c r="N357" s="3">
        <v>0</v>
      </c>
      <c r="O357" t="s">
        <v>798</v>
      </c>
      <c r="P357" t="s">
        <v>609</v>
      </c>
      <c r="Q357" t="s">
        <v>745</v>
      </c>
      <c r="R357" t="str">
        <f t="shared" si="11"/>
        <v>Sim</v>
      </c>
      <c r="S357" t="s">
        <v>745</v>
      </c>
      <c r="T357" t="s">
        <v>30</v>
      </c>
      <c r="U357" t="s">
        <v>656</v>
      </c>
      <c r="V357" s="3">
        <v>-559.04</v>
      </c>
      <c r="W357" t="s">
        <v>376</v>
      </c>
      <c r="X357" s="3">
        <v>-559.04</v>
      </c>
    </row>
    <row r="358" spans="1:24" s="2" customFormat="1" x14ac:dyDescent="0.2">
      <c r="A358" s="2">
        <v>358</v>
      </c>
      <c r="B358"/>
      <c r="C358" t="s">
        <v>297</v>
      </c>
      <c r="D358" t="s">
        <v>653</v>
      </c>
      <c r="E358" t="s">
        <v>471</v>
      </c>
      <c r="F358" t="s">
        <v>63</v>
      </c>
      <c r="G358" t="s">
        <v>25</v>
      </c>
      <c r="H358" t="str">
        <f t="shared" si="10"/>
        <v xml:space="preserve">ISS | Recorrência:3/12 | Observações: </v>
      </c>
      <c r="I358" t="s">
        <v>26</v>
      </c>
      <c r="J358" s="5">
        <v>-559</v>
      </c>
      <c r="K358" s="4">
        <v>440117.96</v>
      </c>
      <c r="L358" t="s">
        <v>27</v>
      </c>
      <c r="M358" s="5">
        <v>-559</v>
      </c>
      <c r="N358" s="3">
        <v>0</v>
      </c>
      <c r="O358" t="s">
        <v>798</v>
      </c>
      <c r="P358" t="s">
        <v>745</v>
      </c>
      <c r="Q358" t="s">
        <v>807</v>
      </c>
      <c r="R358" t="str">
        <f t="shared" si="11"/>
        <v>Sim</v>
      </c>
      <c r="S358" t="s">
        <v>807</v>
      </c>
      <c r="T358" t="s">
        <v>30</v>
      </c>
      <c r="U358" t="s">
        <v>656</v>
      </c>
      <c r="V358" s="3">
        <v>-559</v>
      </c>
      <c r="W358" t="s">
        <v>376</v>
      </c>
      <c r="X358" s="3">
        <v>-559</v>
      </c>
    </row>
    <row r="359" spans="1:24" s="2" customFormat="1" x14ac:dyDescent="0.2">
      <c r="A359">
        <v>359</v>
      </c>
      <c r="B359"/>
      <c r="C359" t="s">
        <v>297</v>
      </c>
      <c r="D359" t="s">
        <v>684</v>
      </c>
      <c r="E359" t="s">
        <v>398</v>
      </c>
      <c r="F359" t="s">
        <v>63</v>
      </c>
      <c r="G359" t="s">
        <v>25</v>
      </c>
      <c r="H359" t="str">
        <f t="shared" si="10"/>
        <v>DARF_ PIS | Recorrência:2/12 | Observações: Referente 02/2022</v>
      </c>
      <c r="I359" t="s">
        <v>26</v>
      </c>
      <c r="J359" s="5">
        <v>-569.04</v>
      </c>
      <c r="K359" s="4">
        <v>439548.92</v>
      </c>
      <c r="L359" t="s">
        <v>27</v>
      </c>
      <c r="M359" s="5">
        <v>-569.04</v>
      </c>
      <c r="N359" s="3">
        <v>0</v>
      </c>
      <c r="O359" t="s">
        <v>798</v>
      </c>
      <c r="P359" t="s">
        <v>688</v>
      </c>
      <c r="Q359" t="s">
        <v>808</v>
      </c>
      <c r="R359" t="str">
        <f t="shared" si="11"/>
        <v>Sim</v>
      </c>
      <c r="S359" t="s">
        <v>808</v>
      </c>
      <c r="T359" t="s">
        <v>809</v>
      </c>
      <c r="U359" t="s">
        <v>483</v>
      </c>
      <c r="V359" s="3">
        <v>-569.04</v>
      </c>
      <c r="W359" t="s">
        <v>376</v>
      </c>
      <c r="X359" s="3">
        <v>-569.04</v>
      </c>
    </row>
    <row r="360" spans="1:24" s="2" customFormat="1" x14ac:dyDescent="0.2">
      <c r="A360" s="2">
        <v>360</v>
      </c>
      <c r="B360"/>
      <c r="C360" t="s">
        <v>153</v>
      </c>
      <c r="D360" t="s">
        <v>810</v>
      </c>
      <c r="E360" t="s">
        <v>30</v>
      </c>
      <c r="F360" t="s">
        <v>63</v>
      </c>
      <c r="G360" t="s">
        <v>25</v>
      </c>
      <c r="H360" t="str">
        <f t="shared" si="10"/>
        <v xml:space="preserve">CONTABILIDADE - REEMBOLSO PROCESSOS | Recorrência: | Observações: </v>
      </c>
      <c r="I360" t="s">
        <v>26</v>
      </c>
      <c r="J360" s="5">
        <v>-1034.75</v>
      </c>
      <c r="K360" s="4">
        <v>438514.17</v>
      </c>
      <c r="L360" t="s">
        <v>27</v>
      </c>
      <c r="M360" s="5">
        <v>-1034.75</v>
      </c>
      <c r="N360" s="3">
        <v>0</v>
      </c>
      <c r="O360" t="s">
        <v>798</v>
      </c>
      <c r="P360" t="s">
        <v>785</v>
      </c>
      <c r="Q360" t="s">
        <v>798</v>
      </c>
      <c r="R360" t="str">
        <f t="shared" si="11"/>
        <v>Sim</v>
      </c>
      <c r="S360" t="s">
        <v>798</v>
      </c>
      <c r="T360" t="s">
        <v>30</v>
      </c>
      <c r="U360" t="s">
        <v>811</v>
      </c>
      <c r="V360" s="3">
        <v>-1034.75</v>
      </c>
      <c r="W360" t="s">
        <v>297</v>
      </c>
      <c r="X360" s="3">
        <v>-1034.75</v>
      </c>
    </row>
    <row r="361" spans="1:24" s="2" customFormat="1" x14ac:dyDescent="0.2">
      <c r="A361">
        <v>361</v>
      </c>
      <c r="B361" t="s">
        <v>71</v>
      </c>
      <c r="C361" t="s">
        <v>72</v>
      </c>
      <c r="D361" t="s">
        <v>325</v>
      </c>
      <c r="E361" t="s">
        <v>133</v>
      </c>
      <c r="F361" t="s">
        <v>24</v>
      </c>
      <c r="G361" t="s">
        <v>25</v>
      </c>
      <c r="H361" t="str">
        <f t="shared" si="10"/>
        <v xml:space="preserve">VIA MADEIRA (HAEHLING) | Recorrência:2/5 | Observações: </v>
      </c>
      <c r="I361" t="s">
        <v>26</v>
      </c>
      <c r="J361" s="4">
        <v>330</v>
      </c>
      <c r="K361" s="4">
        <v>438844.17</v>
      </c>
      <c r="L361" t="s">
        <v>27</v>
      </c>
      <c r="M361" s="4">
        <v>330</v>
      </c>
      <c r="N361" s="3">
        <v>0</v>
      </c>
      <c r="O361" t="s">
        <v>812</v>
      </c>
      <c r="P361" t="s">
        <v>767</v>
      </c>
      <c r="Q361" t="s">
        <v>777</v>
      </c>
      <c r="R361" t="str">
        <f t="shared" si="11"/>
        <v>Sim</v>
      </c>
      <c r="S361" t="s">
        <v>777</v>
      </c>
      <c r="T361" t="s">
        <v>30</v>
      </c>
      <c r="U361" t="s">
        <v>49</v>
      </c>
      <c r="V361" s="3">
        <v>330</v>
      </c>
      <c r="W361" t="s">
        <v>49</v>
      </c>
      <c r="X361" s="3">
        <v>330</v>
      </c>
    </row>
    <row r="362" spans="1:24" s="2" customFormat="1" x14ac:dyDescent="0.2">
      <c r="A362" s="2">
        <v>362</v>
      </c>
      <c r="B362" t="s">
        <v>106</v>
      </c>
      <c r="C362" t="s">
        <v>107</v>
      </c>
      <c r="D362" t="s">
        <v>261</v>
      </c>
      <c r="E362" t="s">
        <v>30</v>
      </c>
      <c r="F362" t="s">
        <v>24</v>
      </c>
      <c r="G362" t="s">
        <v>25</v>
      </c>
      <c r="H362" t="str">
        <f t="shared" si="10"/>
        <v xml:space="preserve">BRENTWOOD (Alameda Moveis Dec) | Recorrência: | Observações: V5076683 </v>
      </c>
      <c r="I362" t="s">
        <v>26</v>
      </c>
      <c r="J362" s="4">
        <v>3308.21</v>
      </c>
      <c r="K362" s="4">
        <v>442152.38</v>
      </c>
      <c r="L362" t="s">
        <v>27</v>
      </c>
      <c r="M362" s="4">
        <v>3308.21</v>
      </c>
      <c r="N362" s="3">
        <v>0</v>
      </c>
      <c r="O362" t="s">
        <v>812</v>
      </c>
      <c r="P362" t="s">
        <v>744</v>
      </c>
      <c r="Q362" t="s">
        <v>812</v>
      </c>
      <c r="R362" t="str">
        <f t="shared" si="11"/>
        <v>Sim</v>
      </c>
      <c r="S362" t="s">
        <v>812</v>
      </c>
      <c r="T362" t="s">
        <v>813</v>
      </c>
      <c r="U362" t="s">
        <v>49</v>
      </c>
      <c r="V362" s="3">
        <v>3308.21</v>
      </c>
      <c r="W362" t="s">
        <v>49</v>
      </c>
      <c r="X362" s="3">
        <v>3308.21</v>
      </c>
    </row>
    <row r="363" spans="1:24" s="2" customFormat="1" x14ac:dyDescent="0.2">
      <c r="A363">
        <v>363</v>
      </c>
      <c r="B363"/>
      <c r="C363" t="s">
        <v>418</v>
      </c>
      <c r="D363" t="s">
        <v>814</v>
      </c>
      <c r="E363" t="s">
        <v>30</v>
      </c>
      <c r="F363" t="s">
        <v>24</v>
      </c>
      <c r="G363" t="s">
        <v>25</v>
      </c>
      <c r="H363" t="str">
        <f t="shared" si="10"/>
        <v xml:space="preserve">DIVETRO (PENDURE PRONTO DECOR) | Recorrência: | Observações: </v>
      </c>
      <c r="I363" t="s">
        <v>26</v>
      </c>
      <c r="J363" s="4">
        <v>884</v>
      </c>
      <c r="K363" s="4">
        <v>443036.38</v>
      </c>
      <c r="L363" t="s">
        <v>27</v>
      </c>
      <c r="M363" s="4">
        <v>884</v>
      </c>
      <c r="N363" s="3">
        <v>0</v>
      </c>
      <c r="O363" t="s">
        <v>812</v>
      </c>
      <c r="P363" t="s">
        <v>734</v>
      </c>
      <c r="Q363" t="s">
        <v>812</v>
      </c>
      <c r="R363" t="str">
        <f t="shared" si="11"/>
        <v>Sim</v>
      </c>
      <c r="S363" t="s">
        <v>812</v>
      </c>
      <c r="T363" t="s">
        <v>30</v>
      </c>
      <c r="U363" t="s">
        <v>49</v>
      </c>
      <c r="V363" s="3">
        <v>884</v>
      </c>
      <c r="W363" t="s">
        <v>49</v>
      </c>
      <c r="X363" s="3">
        <v>884</v>
      </c>
    </row>
    <row r="364" spans="1:24" s="2" customFormat="1" x14ac:dyDescent="0.2">
      <c r="A364" s="2">
        <v>364</v>
      </c>
      <c r="B364"/>
      <c r="C364" t="s">
        <v>386</v>
      </c>
      <c r="D364" t="s">
        <v>226</v>
      </c>
      <c r="E364" t="s">
        <v>58</v>
      </c>
      <c r="F364" t="s">
        <v>24</v>
      </c>
      <c r="G364" t="s">
        <v>25</v>
      </c>
      <c r="H364" t="str">
        <f t="shared" si="10"/>
        <v xml:space="preserve">ESPAÇO REFORMAR (DMP REFORMAS ) | Recorrência:1/6 | Observações: </v>
      </c>
      <c r="I364" t="s">
        <v>26</v>
      </c>
      <c r="J364" s="4">
        <v>6404.24</v>
      </c>
      <c r="K364" s="4">
        <v>449440.62</v>
      </c>
      <c r="L364" t="s">
        <v>27</v>
      </c>
      <c r="M364" s="4">
        <v>6404.24</v>
      </c>
      <c r="N364" s="3">
        <v>0</v>
      </c>
      <c r="O364" t="s">
        <v>812</v>
      </c>
      <c r="P364" t="s">
        <v>815</v>
      </c>
      <c r="Q364" t="s">
        <v>812</v>
      </c>
      <c r="R364" t="str">
        <f t="shared" si="11"/>
        <v>Sim</v>
      </c>
      <c r="S364" t="s">
        <v>812</v>
      </c>
      <c r="T364" t="s">
        <v>30</v>
      </c>
      <c r="U364" t="s">
        <v>49</v>
      </c>
      <c r="V364" s="3">
        <v>6404.24</v>
      </c>
      <c r="W364" t="s">
        <v>49</v>
      </c>
      <c r="X364" s="3">
        <v>6404.24</v>
      </c>
    </row>
    <row r="365" spans="1:24" s="2" customFormat="1" x14ac:dyDescent="0.2">
      <c r="A365">
        <v>365</v>
      </c>
      <c r="B365"/>
      <c r="C365" t="s">
        <v>453</v>
      </c>
      <c r="D365" t="s">
        <v>226</v>
      </c>
      <c r="E365" t="s">
        <v>131</v>
      </c>
      <c r="F365" t="s">
        <v>24</v>
      </c>
      <c r="G365" t="s">
        <v>25</v>
      </c>
      <c r="H365" t="str">
        <f t="shared" si="10"/>
        <v xml:space="preserve">ESPAÇO REFORMAR (DMP REFORMAS ) | Recorrência:2/6 | Observações: </v>
      </c>
      <c r="I365" t="s">
        <v>26</v>
      </c>
      <c r="J365" s="4">
        <v>2500</v>
      </c>
      <c r="K365" s="4">
        <v>451940.62</v>
      </c>
      <c r="L365" t="s">
        <v>27</v>
      </c>
      <c r="M365" s="4">
        <v>2500</v>
      </c>
      <c r="N365" s="3">
        <v>0</v>
      </c>
      <c r="O365" t="s">
        <v>816</v>
      </c>
      <c r="P365" t="s">
        <v>726</v>
      </c>
      <c r="Q365" t="s">
        <v>726</v>
      </c>
      <c r="R365" t="str">
        <f t="shared" si="11"/>
        <v>Sim</v>
      </c>
      <c r="S365" t="s">
        <v>726</v>
      </c>
      <c r="T365" t="s">
        <v>30</v>
      </c>
      <c r="U365" t="s">
        <v>49</v>
      </c>
      <c r="V365" s="3">
        <v>2500</v>
      </c>
      <c r="W365" t="s">
        <v>49</v>
      </c>
      <c r="X365" s="3">
        <v>2500</v>
      </c>
    </row>
    <row r="366" spans="1:24" s="2" customFormat="1" x14ac:dyDescent="0.2">
      <c r="A366" s="2">
        <v>366</v>
      </c>
      <c r="B366"/>
      <c r="C366" t="s">
        <v>817</v>
      </c>
      <c r="D366" t="s">
        <v>818</v>
      </c>
      <c r="E366" t="s">
        <v>22</v>
      </c>
      <c r="F366" t="s">
        <v>24</v>
      </c>
      <c r="G366" t="s">
        <v>25</v>
      </c>
      <c r="H366" t="str">
        <f t="shared" si="10"/>
        <v>PROJETO - MARIELLA MATAVELLI | Recorrência:1/4 | Observações: TBI 405415515-7</v>
      </c>
      <c r="I366" t="s">
        <v>26</v>
      </c>
      <c r="J366" s="4">
        <v>1950</v>
      </c>
      <c r="K366" s="4">
        <v>453890.62</v>
      </c>
      <c r="L366" t="s">
        <v>27</v>
      </c>
      <c r="M366" s="4">
        <v>1950</v>
      </c>
      <c r="N366" s="3">
        <v>0</v>
      </c>
      <c r="O366" t="s">
        <v>816</v>
      </c>
      <c r="P366" t="s">
        <v>819</v>
      </c>
      <c r="Q366" t="s">
        <v>776</v>
      </c>
      <c r="R366" t="str">
        <f t="shared" si="11"/>
        <v>Sim</v>
      </c>
      <c r="S366" t="s">
        <v>776</v>
      </c>
      <c r="T366" t="s">
        <v>820</v>
      </c>
      <c r="U366" t="s">
        <v>31</v>
      </c>
      <c r="V366" s="3">
        <v>1950</v>
      </c>
    </row>
    <row r="367" spans="1:24" s="2" customFormat="1" x14ac:dyDescent="0.2">
      <c r="A367">
        <v>367</v>
      </c>
      <c r="B367"/>
      <c r="C367" t="s">
        <v>792</v>
      </c>
      <c r="D367" t="s">
        <v>792</v>
      </c>
      <c r="E367" t="s">
        <v>22</v>
      </c>
      <c r="F367" t="s">
        <v>24</v>
      </c>
      <c r="G367" t="s">
        <v>25</v>
      </c>
      <c r="H367" t="str">
        <f t="shared" si="10"/>
        <v xml:space="preserve">EDIFICIO SUPREME | Recorrência:1/4 | Observações: </v>
      </c>
      <c r="I367" t="s">
        <v>26</v>
      </c>
      <c r="J367" s="4">
        <v>5161.75</v>
      </c>
      <c r="K367" s="4">
        <v>459052.37</v>
      </c>
      <c r="L367" t="s">
        <v>27</v>
      </c>
      <c r="M367" s="4">
        <v>5161.75</v>
      </c>
      <c r="N367" s="3">
        <v>0</v>
      </c>
      <c r="O367" t="s">
        <v>816</v>
      </c>
      <c r="P367" t="s">
        <v>819</v>
      </c>
      <c r="Q367" t="s">
        <v>821</v>
      </c>
      <c r="R367" t="str">
        <f t="shared" si="11"/>
        <v>Sim</v>
      </c>
      <c r="S367" t="s">
        <v>821</v>
      </c>
      <c r="T367" t="s">
        <v>30</v>
      </c>
      <c r="U367" t="s">
        <v>31</v>
      </c>
      <c r="V367" s="3">
        <v>5161.75</v>
      </c>
      <c r="W367" t="s">
        <v>32</v>
      </c>
      <c r="X367" s="3">
        <v>5161.75</v>
      </c>
    </row>
    <row r="368" spans="1:24" s="2" customFormat="1" x14ac:dyDescent="0.2">
      <c r="A368" s="2">
        <v>368</v>
      </c>
      <c r="B368"/>
      <c r="C368" t="s">
        <v>822</v>
      </c>
      <c r="D368" t="s">
        <v>129</v>
      </c>
      <c r="E368" t="s">
        <v>73</v>
      </c>
      <c r="F368" t="s">
        <v>24</v>
      </c>
      <c r="G368" t="s">
        <v>25</v>
      </c>
      <c r="H368" t="str">
        <f t="shared" si="10"/>
        <v xml:space="preserve">CRISTIANE UFLAKER | Recorrência:1/5 | Observações: </v>
      </c>
      <c r="I368" t="s">
        <v>26</v>
      </c>
      <c r="J368" s="4">
        <v>5000</v>
      </c>
      <c r="K368" s="4">
        <v>464052.37</v>
      </c>
      <c r="L368" t="s">
        <v>27</v>
      </c>
      <c r="M368" s="4">
        <v>5000</v>
      </c>
      <c r="N368" s="3">
        <v>0</v>
      </c>
      <c r="O368" t="s">
        <v>821</v>
      </c>
      <c r="P368" t="s">
        <v>116</v>
      </c>
      <c r="Q368" t="s">
        <v>821</v>
      </c>
      <c r="R368" t="str">
        <f t="shared" si="11"/>
        <v>Sim</v>
      </c>
      <c r="S368" t="s">
        <v>821</v>
      </c>
      <c r="T368" t="s">
        <v>30</v>
      </c>
      <c r="U368" t="s">
        <v>146</v>
      </c>
      <c r="V368" s="3">
        <v>5000</v>
      </c>
      <c r="W368" t="s">
        <v>166</v>
      </c>
      <c r="X368" s="3">
        <v>5000</v>
      </c>
    </row>
    <row r="369" spans="1:24" s="2" customFormat="1" x14ac:dyDescent="0.2">
      <c r="A369">
        <v>369</v>
      </c>
      <c r="B369"/>
      <c r="C369" t="s">
        <v>792</v>
      </c>
      <c r="D369" t="s">
        <v>823</v>
      </c>
      <c r="E369" t="s">
        <v>30</v>
      </c>
      <c r="F369" t="s">
        <v>24</v>
      </c>
      <c r="G369" t="s">
        <v>25</v>
      </c>
      <c r="H369" t="str">
        <f t="shared" si="10"/>
        <v xml:space="preserve">COLORMIX ( BRASMIX COM IMP ) | Recorrência: | Observações: </v>
      </c>
      <c r="I369" t="s">
        <v>26</v>
      </c>
      <c r="J369" s="4">
        <v>2498.73</v>
      </c>
      <c r="K369" s="4">
        <v>466551.1</v>
      </c>
      <c r="L369" t="s">
        <v>27</v>
      </c>
      <c r="M369" s="4">
        <v>2498.73</v>
      </c>
      <c r="N369" s="3">
        <v>0</v>
      </c>
      <c r="O369" t="s">
        <v>821</v>
      </c>
      <c r="P369" t="s">
        <v>788</v>
      </c>
      <c r="Q369" t="s">
        <v>821</v>
      </c>
      <c r="R369" t="str">
        <f t="shared" si="11"/>
        <v>Sim</v>
      </c>
      <c r="S369" t="s">
        <v>821</v>
      </c>
      <c r="T369" t="s">
        <v>30</v>
      </c>
      <c r="U369" t="s">
        <v>49</v>
      </c>
      <c r="V369" s="3">
        <v>2498.73</v>
      </c>
      <c r="W369" t="s">
        <v>49</v>
      </c>
      <c r="X369" s="3">
        <v>2498.73</v>
      </c>
    </row>
    <row r="370" spans="1:24" s="2" customFormat="1" x14ac:dyDescent="0.2">
      <c r="A370" s="2">
        <v>370</v>
      </c>
      <c r="B370"/>
      <c r="C370" t="s">
        <v>792</v>
      </c>
      <c r="D370" t="s">
        <v>824</v>
      </c>
      <c r="E370" t="s">
        <v>22</v>
      </c>
      <c r="F370" t="s">
        <v>24</v>
      </c>
      <c r="G370" t="s">
        <v>25</v>
      </c>
      <c r="H370" t="str">
        <f t="shared" si="10"/>
        <v xml:space="preserve">MN ARQUITETURA_MARCIO MUNHOZ | Recorrência:1/4 | Observações: </v>
      </c>
      <c r="I370" t="s">
        <v>26</v>
      </c>
      <c r="J370" s="4">
        <v>6334.88</v>
      </c>
      <c r="K370" s="4">
        <v>472885.98</v>
      </c>
      <c r="L370" t="s">
        <v>27</v>
      </c>
      <c r="M370" s="4">
        <v>6334.88</v>
      </c>
      <c r="N370" s="3">
        <v>0</v>
      </c>
      <c r="O370" t="s">
        <v>821</v>
      </c>
      <c r="P370" t="s">
        <v>772</v>
      </c>
      <c r="Q370" t="s">
        <v>821</v>
      </c>
      <c r="R370" t="str">
        <f t="shared" si="11"/>
        <v>Sim</v>
      </c>
      <c r="S370" t="s">
        <v>821</v>
      </c>
      <c r="T370" t="s">
        <v>30</v>
      </c>
      <c r="U370" t="s">
        <v>825</v>
      </c>
      <c r="V370" s="3">
        <v>6334.88</v>
      </c>
      <c r="W370" t="s">
        <v>825</v>
      </c>
      <c r="X370" s="3">
        <v>6334.88</v>
      </c>
    </row>
    <row r="371" spans="1:24" s="2" customFormat="1" x14ac:dyDescent="0.2">
      <c r="A371">
        <v>371</v>
      </c>
      <c r="B371"/>
      <c r="C371" t="s">
        <v>386</v>
      </c>
      <c r="D371" t="s">
        <v>386</v>
      </c>
      <c r="E371" t="s">
        <v>210</v>
      </c>
      <c r="F371" t="s">
        <v>24</v>
      </c>
      <c r="G371" t="s">
        <v>25</v>
      </c>
      <c r="H371" t="str">
        <f t="shared" si="10"/>
        <v xml:space="preserve">GABRIELA BORGES | Recorrência:3/6 | Observações: </v>
      </c>
      <c r="I371" t="s">
        <v>26</v>
      </c>
      <c r="J371" s="4">
        <v>3300</v>
      </c>
      <c r="K371" s="4">
        <v>476185.98</v>
      </c>
      <c r="L371" t="s">
        <v>27</v>
      </c>
      <c r="M371" s="4">
        <v>3300</v>
      </c>
      <c r="N371" s="3">
        <v>0</v>
      </c>
      <c r="O371" t="s">
        <v>807</v>
      </c>
      <c r="P371" t="s">
        <v>808</v>
      </c>
      <c r="Q371" t="s">
        <v>807</v>
      </c>
      <c r="R371" t="str">
        <f t="shared" si="11"/>
        <v>Sim</v>
      </c>
      <c r="S371" t="s">
        <v>807</v>
      </c>
      <c r="T371" t="s">
        <v>30</v>
      </c>
      <c r="U371" t="s">
        <v>274</v>
      </c>
      <c r="V371" s="3">
        <v>3300</v>
      </c>
    </row>
    <row r="372" spans="1:24" s="2" customFormat="1" x14ac:dyDescent="0.2">
      <c r="A372" s="2">
        <v>372</v>
      </c>
      <c r="B372"/>
      <c r="C372" t="s">
        <v>297</v>
      </c>
      <c r="D372" t="s">
        <v>715</v>
      </c>
      <c r="E372" t="s">
        <v>471</v>
      </c>
      <c r="F372" t="s">
        <v>63</v>
      </c>
      <c r="G372" t="s">
        <v>25</v>
      </c>
      <c r="H372" t="str">
        <f t="shared" si="10"/>
        <v>DARF PREVIDENCIARIO (ANTIGO GPS) | Recorrência:3/12 | Observações: COMPETÊNCIA FEVEREIRO/22</v>
      </c>
      <c r="I372" t="s">
        <v>26</v>
      </c>
      <c r="J372" s="5">
        <v>-1300.71</v>
      </c>
      <c r="K372" s="4">
        <v>474885.27</v>
      </c>
      <c r="L372" t="s">
        <v>27</v>
      </c>
      <c r="M372" s="5">
        <v>-1300.71</v>
      </c>
      <c r="N372" s="3">
        <v>0</v>
      </c>
      <c r="O372" t="s">
        <v>726</v>
      </c>
      <c r="P372" t="s">
        <v>716</v>
      </c>
      <c r="Q372" t="s">
        <v>726</v>
      </c>
      <c r="R372" t="str">
        <f t="shared" si="11"/>
        <v>Sim</v>
      </c>
      <c r="S372" t="s">
        <v>726</v>
      </c>
      <c r="T372" t="s">
        <v>826</v>
      </c>
      <c r="U372" t="s">
        <v>677</v>
      </c>
      <c r="V372" s="3">
        <v>-1300.71</v>
      </c>
      <c r="W372" t="s">
        <v>376</v>
      </c>
      <c r="X372" s="3">
        <v>-1300.71</v>
      </c>
    </row>
    <row r="373" spans="1:24" s="2" customFormat="1" x14ac:dyDescent="0.2">
      <c r="A373">
        <v>373</v>
      </c>
      <c r="B373" t="s">
        <v>106</v>
      </c>
      <c r="C373" t="s">
        <v>107</v>
      </c>
      <c r="D373" t="s">
        <v>215</v>
      </c>
      <c r="E373" t="s">
        <v>30</v>
      </c>
      <c r="F373" t="s">
        <v>24</v>
      </c>
      <c r="G373" t="s">
        <v>25</v>
      </c>
      <c r="H373" t="str">
        <f t="shared" si="10"/>
        <v>DPOT (FEMA) | Recorrência: | Observações: Aguardando pagamento NF enviada 09/03</v>
      </c>
      <c r="I373" t="s">
        <v>26</v>
      </c>
      <c r="J373" s="4">
        <v>433.1</v>
      </c>
      <c r="K373" s="4">
        <v>475318.37</v>
      </c>
      <c r="L373" t="s">
        <v>27</v>
      </c>
      <c r="M373" s="4">
        <v>433.1</v>
      </c>
      <c r="N373" s="3">
        <v>0</v>
      </c>
      <c r="O373" t="s">
        <v>726</v>
      </c>
      <c r="P373" t="s">
        <v>744</v>
      </c>
      <c r="Q373" t="s">
        <v>726</v>
      </c>
      <c r="R373" t="str">
        <f t="shared" si="11"/>
        <v>Sim</v>
      </c>
      <c r="S373" t="s">
        <v>726</v>
      </c>
      <c r="T373" t="s">
        <v>827</v>
      </c>
      <c r="U373" t="s">
        <v>49</v>
      </c>
      <c r="V373" s="3">
        <v>433.1</v>
      </c>
      <c r="W373" t="s">
        <v>49</v>
      </c>
      <c r="X373" s="3">
        <v>433.1</v>
      </c>
    </row>
    <row r="374" spans="1:24" s="2" customFormat="1" x14ac:dyDescent="0.2">
      <c r="A374" s="2">
        <v>374</v>
      </c>
      <c r="B374"/>
      <c r="C374" t="s">
        <v>828</v>
      </c>
      <c r="D374" t="s">
        <v>830</v>
      </c>
      <c r="E374" t="s">
        <v>829</v>
      </c>
      <c r="F374" t="s">
        <v>63</v>
      </c>
      <c r="G374" t="s">
        <v>25</v>
      </c>
      <c r="H374" t="str">
        <f t="shared" si="10"/>
        <v xml:space="preserve">PREFEITURA DO MUNICIPIO DE BERTIOGA | Recorrência:1/41 | Observações: REF.02 PAGAMENTOS </v>
      </c>
      <c r="I374" t="s">
        <v>26</v>
      </c>
      <c r="J374" s="5">
        <v>-501.59</v>
      </c>
      <c r="K374" s="4">
        <v>474816.78</v>
      </c>
      <c r="L374" t="s">
        <v>27</v>
      </c>
      <c r="M374" s="5">
        <v>-501.59</v>
      </c>
      <c r="N374" s="3">
        <v>0</v>
      </c>
      <c r="O374" t="s">
        <v>726</v>
      </c>
      <c r="P374" t="s">
        <v>726</v>
      </c>
      <c r="Q374" t="s">
        <v>790</v>
      </c>
      <c r="R374" t="str">
        <f t="shared" si="11"/>
        <v>Sim</v>
      </c>
      <c r="S374" t="s">
        <v>790</v>
      </c>
      <c r="T374" t="s">
        <v>831</v>
      </c>
      <c r="U374" t="s">
        <v>832</v>
      </c>
      <c r="V374" s="3">
        <v>-501.59</v>
      </c>
    </row>
    <row r="375" spans="1:24" s="2" customFormat="1" x14ac:dyDescent="0.2">
      <c r="A375">
        <v>375</v>
      </c>
      <c r="B375"/>
      <c r="C375" t="s">
        <v>297</v>
      </c>
      <c r="D375" t="s">
        <v>715</v>
      </c>
      <c r="E375" t="s">
        <v>471</v>
      </c>
      <c r="F375" t="s">
        <v>63</v>
      </c>
      <c r="G375" t="s">
        <v>25</v>
      </c>
      <c r="H375" t="str">
        <f t="shared" si="10"/>
        <v>DARF PREVIDENCIARIO (ANTIGO GPS) | Recorrência:3/12 | Observações: COMPETÊNCIA FEVEREIRO/22</v>
      </c>
      <c r="I375" t="s">
        <v>755</v>
      </c>
      <c r="J375" s="5">
        <v>-34.33</v>
      </c>
      <c r="K375" s="4">
        <v>474816.78</v>
      </c>
      <c r="L375" t="s">
        <v>756</v>
      </c>
      <c r="M375" s="5">
        <v>-1335.04</v>
      </c>
      <c r="N375" s="3">
        <v>0</v>
      </c>
      <c r="O375" t="s">
        <v>726</v>
      </c>
      <c r="P375" t="s">
        <v>716</v>
      </c>
      <c r="Q375" t="s">
        <v>726</v>
      </c>
      <c r="R375" t="str">
        <f t="shared" si="11"/>
        <v>Sim</v>
      </c>
      <c r="S375" t="s">
        <v>726</v>
      </c>
      <c r="T375" t="s">
        <v>826</v>
      </c>
      <c r="U375" t="s">
        <v>677</v>
      </c>
      <c r="V375" s="3">
        <v>-34.33</v>
      </c>
      <c r="W375" t="s">
        <v>376</v>
      </c>
      <c r="X375" s="3">
        <v>-34.33</v>
      </c>
    </row>
    <row r="376" spans="1:24" s="2" customFormat="1" x14ac:dyDescent="0.2">
      <c r="A376" s="2">
        <v>376</v>
      </c>
      <c r="B376"/>
      <c r="C376" t="s">
        <v>757</v>
      </c>
      <c r="D376" t="s">
        <v>758</v>
      </c>
      <c r="E376" t="s">
        <v>195</v>
      </c>
      <c r="F376" t="s">
        <v>24</v>
      </c>
      <c r="G376" t="s">
        <v>25</v>
      </c>
      <c r="H376" t="str">
        <f t="shared" si="10"/>
        <v xml:space="preserve">ELIAS_MARCENEIRO | Recorrência:2/3 | Observações: </v>
      </c>
      <c r="I376" t="s">
        <v>26</v>
      </c>
      <c r="J376" s="4">
        <v>1070</v>
      </c>
      <c r="K376" s="4">
        <v>475886.78</v>
      </c>
      <c r="L376" t="s">
        <v>27</v>
      </c>
      <c r="M376" s="4">
        <v>1070</v>
      </c>
      <c r="N376" s="3">
        <v>0</v>
      </c>
      <c r="O376" t="s">
        <v>833</v>
      </c>
      <c r="P376" t="s">
        <v>726</v>
      </c>
      <c r="Q376" t="s">
        <v>834</v>
      </c>
      <c r="R376" t="str">
        <f t="shared" si="11"/>
        <v>Sim</v>
      </c>
      <c r="S376" t="s">
        <v>834</v>
      </c>
      <c r="T376" t="s">
        <v>30</v>
      </c>
      <c r="U376" t="s">
        <v>49</v>
      </c>
      <c r="V376" s="3">
        <v>1070</v>
      </c>
      <c r="W376" t="s">
        <v>49</v>
      </c>
      <c r="X376" s="3">
        <v>1070</v>
      </c>
    </row>
    <row r="377" spans="1:24" s="2" customFormat="1" x14ac:dyDescent="0.2">
      <c r="A377">
        <v>377</v>
      </c>
      <c r="B377"/>
      <c r="C377"/>
      <c r="D377" t="s">
        <v>201</v>
      </c>
      <c r="E377" t="s">
        <v>30</v>
      </c>
      <c r="F377" t="s">
        <v>24</v>
      </c>
      <c r="G377" t="s">
        <v>25</v>
      </c>
      <c r="H377" t="str">
        <f t="shared" si="10"/>
        <v xml:space="preserve">PORMADE (DRZ PORTAS ECOLOGICAS) | Recorrência: | Observações: </v>
      </c>
      <c r="I377" t="s">
        <v>26</v>
      </c>
      <c r="J377" s="4">
        <v>66.790000000000006</v>
      </c>
      <c r="K377" s="4">
        <v>475953.57</v>
      </c>
      <c r="L377" t="s">
        <v>27</v>
      </c>
      <c r="M377" s="4">
        <v>66.790000000000006</v>
      </c>
      <c r="N377" s="3">
        <v>0</v>
      </c>
      <c r="O377" t="s">
        <v>833</v>
      </c>
      <c r="P377" t="s">
        <v>772</v>
      </c>
      <c r="Q377" t="s">
        <v>833</v>
      </c>
      <c r="R377" t="str">
        <f t="shared" si="11"/>
        <v>Sim</v>
      </c>
      <c r="S377" t="s">
        <v>833</v>
      </c>
      <c r="T377" t="s">
        <v>30</v>
      </c>
      <c r="U377" t="s">
        <v>49</v>
      </c>
      <c r="V377" s="3">
        <v>66.790000000000006</v>
      </c>
      <c r="W377" t="s">
        <v>49</v>
      </c>
      <c r="X377" s="3">
        <v>66.790000000000006</v>
      </c>
    </row>
    <row r="378" spans="1:24" s="2" customFormat="1" x14ac:dyDescent="0.2">
      <c r="A378" s="2">
        <v>378</v>
      </c>
      <c r="B378"/>
      <c r="C378" t="s">
        <v>835</v>
      </c>
      <c r="D378" t="s">
        <v>758</v>
      </c>
      <c r="E378" t="s">
        <v>30</v>
      </c>
      <c r="F378" t="s">
        <v>24</v>
      </c>
      <c r="G378" t="s">
        <v>25</v>
      </c>
      <c r="H378" t="str">
        <f t="shared" si="10"/>
        <v xml:space="preserve">ELIAS_MARCENEIRO | Recorrência: | Observações: </v>
      </c>
      <c r="I378" t="s">
        <v>26</v>
      </c>
      <c r="J378" s="4">
        <v>1428.75</v>
      </c>
      <c r="K378" s="4">
        <v>477382.32</v>
      </c>
      <c r="L378" t="s">
        <v>27</v>
      </c>
      <c r="M378" s="4">
        <v>1428.75</v>
      </c>
      <c r="N378" s="3">
        <v>0</v>
      </c>
      <c r="O378" t="s">
        <v>833</v>
      </c>
      <c r="P378" t="s">
        <v>836</v>
      </c>
      <c r="Q378" t="s">
        <v>833</v>
      </c>
      <c r="R378" t="str">
        <f t="shared" si="11"/>
        <v>Sim</v>
      </c>
      <c r="S378" t="s">
        <v>833</v>
      </c>
      <c r="T378" t="s">
        <v>30</v>
      </c>
      <c r="U378" t="s">
        <v>49</v>
      </c>
      <c r="V378" s="3">
        <v>1428.75</v>
      </c>
      <c r="W378" t="s">
        <v>49</v>
      </c>
      <c r="X378" s="3">
        <v>1428.75</v>
      </c>
    </row>
    <row r="379" spans="1:24" s="2" customFormat="1" x14ac:dyDescent="0.2">
      <c r="A379">
        <v>379</v>
      </c>
      <c r="B379"/>
      <c r="C379" t="s">
        <v>153</v>
      </c>
      <c r="D379" t="s">
        <v>838</v>
      </c>
      <c r="E379" t="s">
        <v>837</v>
      </c>
      <c r="F379" t="s">
        <v>63</v>
      </c>
      <c r="G379" t="s">
        <v>25</v>
      </c>
      <c r="H379" t="str">
        <f t="shared" si="10"/>
        <v xml:space="preserve">CARTÃO DE CREDITO_ FINAL 5507 | Recorrência:2/10 | Observações: </v>
      </c>
      <c r="I379" t="s">
        <v>26</v>
      </c>
      <c r="J379" s="5">
        <v>-995.29</v>
      </c>
      <c r="K379" s="4">
        <v>477382.32</v>
      </c>
      <c r="L379" t="s">
        <v>756</v>
      </c>
      <c r="M379" s="5">
        <v>-995.29</v>
      </c>
      <c r="N379" s="3">
        <v>0</v>
      </c>
      <c r="O379" t="s">
        <v>833</v>
      </c>
      <c r="P379" t="s">
        <v>833</v>
      </c>
      <c r="Q379" t="s">
        <v>833</v>
      </c>
      <c r="R379" t="str">
        <f t="shared" si="11"/>
        <v>Sim</v>
      </c>
      <c r="S379" t="s">
        <v>833</v>
      </c>
      <c r="T379" t="s">
        <v>30</v>
      </c>
      <c r="U379" t="s">
        <v>764</v>
      </c>
      <c r="V379" s="3">
        <v>-995.29</v>
      </c>
      <c r="W379" t="s">
        <v>158</v>
      </c>
      <c r="X379" s="3">
        <v>-995.29</v>
      </c>
    </row>
    <row r="380" spans="1:24" s="2" customFormat="1" x14ac:dyDescent="0.2">
      <c r="A380" s="2">
        <v>380</v>
      </c>
      <c r="B380"/>
      <c r="C380" t="s">
        <v>453</v>
      </c>
      <c r="D380" t="s">
        <v>796</v>
      </c>
      <c r="E380" t="s">
        <v>30</v>
      </c>
      <c r="F380" t="s">
        <v>24</v>
      </c>
      <c r="G380" t="s">
        <v>25</v>
      </c>
      <c r="H380" t="str">
        <f t="shared" si="10"/>
        <v xml:space="preserve">AL FRAME  | Recorrência: | Observações: </v>
      </c>
      <c r="I380" t="s">
        <v>26</v>
      </c>
      <c r="J380" s="4">
        <v>205</v>
      </c>
      <c r="K380" s="4">
        <v>477587.32</v>
      </c>
      <c r="L380" t="s">
        <v>27</v>
      </c>
      <c r="M380" s="4">
        <v>205</v>
      </c>
      <c r="N380" s="3">
        <v>0</v>
      </c>
      <c r="O380" t="s">
        <v>839</v>
      </c>
      <c r="P380" t="s">
        <v>839</v>
      </c>
      <c r="Q380" t="s">
        <v>839</v>
      </c>
      <c r="R380" t="str">
        <f t="shared" si="11"/>
        <v>Sim</v>
      </c>
      <c r="S380" t="s">
        <v>839</v>
      </c>
      <c r="T380" t="s">
        <v>30</v>
      </c>
      <c r="U380" t="s">
        <v>49</v>
      </c>
      <c r="V380" s="3">
        <v>205</v>
      </c>
      <c r="W380" t="s">
        <v>49</v>
      </c>
      <c r="X380" s="3">
        <v>205</v>
      </c>
    </row>
    <row r="381" spans="1:24" s="2" customFormat="1" x14ac:dyDescent="0.2">
      <c r="A381">
        <v>381</v>
      </c>
      <c r="B381"/>
      <c r="C381" t="s">
        <v>418</v>
      </c>
      <c r="D381" t="s">
        <v>751</v>
      </c>
      <c r="E381" t="s">
        <v>30</v>
      </c>
      <c r="F381" t="s">
        <v>24</v>
      </c>
      <c r="G381" t="s">
        <v>25</v>
      </c>
      <c r="H381" t="str">
        <f t="shared" si="10"/>
        <v xml:space="preserve">BRETON   ( Bioma Comércio de Móveis Eireli) | Recorrência: | Observações: </v>
      </c>
      <c r="I381" t="s">
        <v>26</v>
      </c>
      <c r="J381" s="4">
        <v>997.14</v>
      </c>
      <c r="K381" s="4">
        <v>478584.46</v>
      </c>
      <c r="L381" t="s">
        <v>27</v>
      </c>
      <c r="M381" s="4">
        <v>997.14</v>
      </c>
      <c r="N381" s="3">
        <v>0</v>
      </c>
      <c r="O381" t="s">
        <v>840</v>
      </c>
      <c r="P381" t="s">
        <v>798</v>
      </c>
      <c r="Q381" t="s">
        <v>821</v>
      </c>
      <c r="R381" t="str">
        <f t="shared" si="11"/>
        <v>Sim</v>
      </c>
      <c r="S381" t="s">
        <v>821</v>
      </c>
      <c r="T381" t="s">
        <v>30</v>
      </c>
      <c r="U381" t="s">
        <v>49</v>
      </c>
      <c r="V381" s="3">
        <v>997.14</v>
      </c>
      <c r="W381" t="s">
        <v>49</v>
      </c>
      <c r="X381" s="3">
        <v>997.14</v>
      </c>
    </row>
    <row r="382" spans="1:24" s="2" customFormat="1" x14ac:dyDescent="0.2">
      <c r="A382" s="2">
        <v>382</v>
      </c>
      <c r="B382"/>
      <c r="C382" t="s">
        <v>792</v>
      </c>
      <c r="D382" t="s">
        <v>841</v>
      </c>
      <c r="E382" t="s">
        <v>22</v>
      </c>
      <c r="F382" t="s">
        <v>24</v>
      </c>
      <c r="G382" t="s">
        <v>25</v>
      </c>
      <c r="H382" t="str">
        <f t="shared" si="10"/>
        <v xml:space="preserve">PAGLIOTTO DESIGN | Recorrência:1/4 | Observações: </v>
      </c>
      <c r="I382" t="s">
        <v>26</v>
      </c>
      <c r="J382" s="4">
        <v>135</v>
      </c>
      <c r="K382" s="4">
        <v>478719.46</v>
      </c>
      <c r="L382" t="s">
        <v>27</v>
      </c>
      <c r="M382" s="4">
        <v>135</v>
      </c>
      <c r="N382" s="3">
        <v>0</v>
      </c>
      <c r="O382" t="s">
        <v>777</v>
      </c>
      <c r="P382" t="s">
        <v>788</v>
      </c>
      <c r="Q382" t="s">
        <v>777</v>
      </c>
      <c r="R382" t="str">
        <f t="shared" si="11"/>
        <v>Sim</v>
      </c>
      <c r="S382" t="s">
        <v>777</v>
      </c>
      <c r="T382" t="s">
        <v>30</v>
      </c>
      <c r="U382" t="s">
        <v>49</v>
      </c>
      <c r="V382" s="3">
        <v>135</v>
      </c>
      <c r="W382" t="s">
        <v>49</v>
      </c>
      <c r="X382" s="3">
        <v>135</v>
      </c>
    </row>
    <row r="383" spans="1:24" s="2" customFormat="1" x14ac:dyDescent="0.2">
      <c r="A383">
        <v>383</v>
      </c>
      <c r="B383"/>
      <c r="C383" t="s">
        <v>842</v>
      </c>
      <c r="D383" t="s">
        <v>843</v>
      </c>
      <c r="E383" t="s">
        <v>30</v>
      </c>
      <c r="F383" t="s">
        <v>63</v>
      </c>
      <c r="G383" t="s">
        <v>25</v>
      </c>
      <c r="H383" t="str">
        <f t="shared" si="10"/>
        <v xml:space="preserve">AMOSTRAS GUARARAPES | Recorrência: | Observações: </v>
      </c>
      <c r="I383" t="s">
        <v>26</v>
      </c>
      <c r="J383" s="5">
        <v>-54.89</v>
      </c>
      <c r="K383" s="4">
        <v>478664.57</v>
      </c>
      <c r="L383" t="s">
        <v>27</v>
      </c>
      <c r="M383" s="5">
        <v>-54.89</v>
      </c>
      <c r="N383" s="3">
        <v>0</v>
      </c>
      <c r="O383" t="s">
        <v>777</v>
      </c>
      <c r="P383" t="s">
        <v>777</v>
      </c>
      <c r="Q383" t="s">
        <v>777</v>
      </c>
      <c r="R383" t="str">
        <f t="shared" si="11"/>
        <v>Sim</v>
      </c>
      <c r="S383" t="s">
        <v>777</v>
      </c>
      <c r="T383" t="s">
        <v>30</v>
      </c>
      <c r="U383" t="s">
        <v>158</v>
      </c>
      <c r="V383" s="3">
        <v>-54.89</v>
      </c>
      <c r="W383" t="s">
        <v>158</v>
      </c>
      <c r="X383" s="3">
        <v>-54.89</v>
      </c>
    </row>
    <row r="384" spans="1:24" s="2" customFormat="1" x14ac:dyDescent="0.2">
      <c r="A384" s="2">
        <v>384</v>
      </c>
      <c r="B384"/>
      <c r="C384"/>
      <c r="D384" t="s">
        <v>689</v>
      </c>
      <c r="E384" t="s">
        <v>471</v>
      </c>
      <c r="F384" t="s">
        <v>63</v>
      </c>
      <c r="G384" t="s">
        <v>25</v>
      </c>
      <c r="H384" t="str">
        <f t="shared" si="10"/>
        <v>LIMPEZA_JULIANA COSTA SOARES | Recorrência:3/12 | Observações: Diárias: 02-13-16-20-27</v>
      </c>
      <c r="I384" t="s">
        <v>26</v>
      </c>
      <c r="J384" s="5">
        <v>-600</v>
      </c>
      <c r="K384" s="4">
        <v>478064.57</v>
      </c>
      <c r="L384" t="s">
        <v>27</v>
      </c>
      <c r="M384" s="5">
        <v>-600</v>
      </c>
      <c r="N384" s="3">
        <v>0</v>
      </c>
      <c r="O384" t="s">
        <v>844</v>
      </c>
      <c r="P384" t="s">
        <v>776</v>
      </c>
      <c r="Q384" t="s">
        <v>844</v>
      </c>
      <c r="R384" t="str">
        <f t="shared" si="11"/>
        <v>Sim</v>
      </c>
      <c r="S384" t="s">
        <v>844</v>
      </c>
      <c r="T384" t="s">
        <v>845</v>
      </c>
      <c r="U384" t="s">
        <v>783</v>
      </c>
      <c r="V384" s="3">
        <v>-600</v>
      </c>
    </row>
    <row r="385" spans="1:24" s="2" customFormat="1" x14ac:dyDescent="0.2">
      <c r="A385">
        <v>385</v>
      </c>
      <c r="B385"/>
      <c r="C385" t="s">
        <v>792</v>
      </c>
      <c r="D385" t="s">
        <v>846</v>
      </c>
      <c r="E385" t="s">
        <v>30</v>
      </c>
      <c r="F385" t="s">
        <v>24</v>
      </c>
      <c r="G385" t="s">
        <v>25</v>
      </c>
      <c r="H385" t="str">
        <f t="shared" si="10"/>
        <v xml:space="preserve">ESTAR MOVEIS (CASA ESTAR COMÉRCIO DE MÓVEIS) | Recorrência: | Observações: </v>
      </c>
      <c r="I385" t="s">
        <v>26</v>
      </c>
      <c r="J385" s="4">
        <v>518.4</v>
      </c>
      <c r="K385" s="4">
        <v>478582.97</v>
      </c>
      <c r="L385" t="s">
        <v>27</v>
      </c>
      <c r="M385" s="4">
        <v>518.4</v>
      </c>
      <c r="N385" s="3">
        <v>0</v>
      </c>
      <c r="O385" t="s">
        <v>789</v>
      </c>
      <c r="P385" t="s">
        <v>839</v>
      </c>
      <c r="Q385" t="s">
        <v>847</v>
      </c>
      <c r="R385" t="str">
        <f t="shared" si="11"/>
        <v>Sim</v>
      </c>
      <c r="S385" t="s">
        <v>847</v>
      </c>
      <c r="T385" t="s">
        <v>30</v>
      </c>
      <c r="U385" t="s">
        <v>49</v>
      </c>
      <c r="V385" s="3">
        <v>518.4</v>
      </c>
      <c r="W385" t="s">
        <v>49</v>
      </c>
      <c r="X385" s="3">
        <v>518.4</v>
      </c>
    </row>
    <row r="386" spans="1:24" s="2" customFormat="1" x14ac:dyDescent="0.2">
      <c r="A386" s="2">
        <v>386</v>
      </c>
      <c r="B386" t="s">
        <v>106</v>
      </c>
      <c r="C386" t="s">
        <v>107</v>
      </c>
      <c r="D386" t="s">
        <v>849</v>
      </c>
      <c r="E386" t="s">
        <v>30</v>
      </c>
      <c r="F386" t="s">
        <v>24</v>
      </c>
      <c r="G386" t="s">
        <v>25</v>
      </c>
      <c r="H386" t="str">
        <f t="shared" si="10"/>
        <v>CODEX HOME | Recorrência: | Observações: PEDIDO 5843</v>
      </c>
      <c r="I386" t="s">
        <v>26</v>
      </c>
      <c r="J386" s="4">
        <v>332</v>
      </c>
      <c r="K386" s="4">
        <v>478914.97</v>
      </c>
      <c r="L386" t="s">
        <v>27</v>
      </c>
      <c r="M386" s="4">
        <v>332</v>
      </c>
      <c r="N386" s="3">
        <v>0</v>
      </c>
      <c r="O386" t="s">
        <v>848</v>
      </c>
      <c r="P386" t="s">
        <v>744</v>
      </c>
      <c r="Q386" t="s">
        <v>848</v>
      </c>
      <c r="R386" t="str">
        <f t="shared" si="11"/>
        <v>Sim</v>
      </c>
      <c r="S386" t="s">
        <v>848</v>
      </c>
      <c r="T386" t="s">
        <v>850</v>
      </c>
      <c r="U386" t="s">
        <v>49</v>
      </c>
      <c r="V386" s="3">
        <v>332</v>
      </c>
      <c r="W386" t="s">
        <v>49</v>
      </c>
      <c r="X386" s="3">
        <v>332</v>
      </c>
    </row>
    <row r="387" spans="1:24" s="2" customFormat="1" x14ac:dyDescent="0.2">
      <c r="A387">
        <v>387</v>
      </c>
      <c r="B387"/>
      <c r="C387" t="s">
        <v>851</v>
      </c>
      <c r="D387" t="s">
        <v>851</v>
      </c>
      <c r="E387" t="s">
        <v>30</v>
      </c>
      <c r="F387" t="s">
        <v>24</v>
      </c>
      <c r="G387" t="s">
        <v>25</v>
      </c>
      <c r="H387" t="str">
        <f t="shared" ref="H387:H450" si="12">D387&amp;" | "&amp;$E$1&amp;E387&amp;" | Observações: "&amp;T387</f>
        <v xml:space="preserve">GUSTAVO FRANCO LOPES | Recorrência: | Observações: </v>
      </c>
      <c r="I387" t="s">
        <v>26</v>
      </c>
      <c r="J387" s="4">
        <v>3800</v>
      </c>
      <c r="K387" s="4">
        <v>482714.97</v>
      </c>
      <c r="L387" t="s">
        <v>27</v>
      </c>
      <c r="M387" s="4">
        <v>3800</v>
      </c>
      <c r="N387" s="3">
        <v>0</v>
      </c>
      <c r="O387" t="s">
        <v>848</v>
      </c>
      <c r="P387" t="s">
        <v>777</v>
      </c>
      <c r="Q387" t="s">
        <v>848</v>
      </c>
      <c r="R387" t="str">
        <f t="shared" ref="R387:R450" si="13">IF(Q387=S387,"Sim","nao")</f>
        <v>Sim</v>
      </c>
      <c r="S387" t="s">
        <v>848</v>
      </c>
      <c r="T387" t="s">
        <v>30</v>
      </c>
      <c r="U387" t="s">
        <v>233</v>
      </c>
      <c r="V387" s="3">
        <v>3800</v>
      </c>
    </row>
    <row r="388" spans="1:24" s="2" customFormat="1" x14ac:dyDescent="0.2">
      <c r="A388" s="2">
        <v>388</v>
      </c>
      <c r="B388"/>
      <c r="C388" t="s">
        <v>153</v>
      </c>
      <c r="D388" t="s">
        <v>731</v>
      </c>
      <c r="E388" t="s">
        <v>471</v>
      </c>
      <c r="F388" t="s">
        <v>63</v>
      </c>
      <c r="G388" t="s">
        <v>25</v>
      </c>
      <c r="H388" t="str">
        <f t="shared" si="12"/>
        <v xml:space="preserve">ISABEL BONFIM_ARQUITETA | Recorrência:3/12 | Observações: </v>
      </c>
      <c r="I388" t="s">
        <v>26</v>
      </c>
      <c r="J388" s="5">
        <v>-3196.9</v>
      </c>
      <c r="K388" s="4">
        <v>479518.07</v>
      </c>
      <c r="L388" t="s">
        <v>27</v>
      </c>
      <c r="M388" s="5">
        <v>-3196.9</v>
      </c>
      <c r="N388" s="3">
        <v>0</v>
      </c>
      <c r="O388" t="s">
        <v>790</v>
      </c>
      <c r="P388" t="s">
        <v>776</v>
      </c>
      <c r="Q388" t="s">
        <v>848</v>
      </c>
      <c r="R388" t="str">
        <f t="shared" si="13"/>
        <v>Sim</v>
      </c>
      <c r="S388" t="s">
        <v>848</v>
      </c>
      <c r="T388" t="s">
        <v>30</v>
      </c>
      <c r="U388" t="s">
        <v>323</v>
      </c>
      <c r="V388" s="3">
        <v>-3196.9</v>
      </c>
      <c r="W388" t="s">
        <v>324</v>
      </c>
      <c r="X388" s="3">
        <v>-3196.9</v>
      </c>
    </row>
    <row r="389" spans="1:24" s="2" customFormat="1" x14ac:dyDescent="0.2">
      <c r="A389">
        <v>389</v>
      </c>
      <c r="B389"/>
      <c r="C389" t="s">
        <v>153</v>
      </c>
      <c r="D389" t="s">
        <v>519</v>
      </c>
      <c r="E389" t="s">
        <v>853</v>
      </c>
      <c r="F389" t="s">
        <v>63</v>
      </c>
      <c r="G389" t="s">
        <v>25</v>
      </c>
      <c r="H389" t="str">
        <f t="shared" si="12"/>
        <v>SALÁRIO POLIANA  | Recorrência:9/12 | Observações: REFERENTE A MARÇO</v>
      </c>
      <c r="I389" t="s">
        <v>26</v>
      </c>
      <c r="J389" s="5">
        <v>-1988.7</v>
      </c>
      <c r="K389" s="4">
        <v>477529.37</v>
      </c>
      <c r="L389" t="s">
        <v>27</v>
      </c>
      <c r="M389" s="5">
        <v>-1988.7</v>
      </c>
      <c r="N389" s="3">
        <v>0</v>
      </c>
      <c r="O389" t="s">
        <v>852</v>
      </c>
      <c r="P389" t="s">
        <v>788</v>
      </c>
      <c r="Q389" t="s">
        <v>854</v>
      </c>
      <c r="R389" t="str">
        <f t="shared" si="13"/>
        <v>Sim</v>
      </c>
      <c r="S389" t="s">
        <v>854</v>
      </c>
      <c r="T389" t="s">
        <v>855</v>
      </c>
      <c r="U389" t="s">
        <v>323</v>
      </c>
      <c r="V389" s="3">
        <v>-1988.7</v>
      </c>
      <c r="W389" t="s">
        <v>324</v>
      </c>
      <c r="X389" s="3">
        <v>-1988.7</v>
      </c>
    </row>
    <row r="390" spans="1:24" s="2" customFormat="1" x14ac:dyDescent="0.2">
      <c r="A390" s="2">
        <v>390</v>
      </c>
      <c r="B390"/>
      <c r="C390" t="s">
        <v>153</v>
      </c>
      <c r="D390" t="s">
        <v>635</v>
      </c>
      <c r="E390" t="s">
        <v>518</v>
      </c>
      <c r="F390" t="s">
        <v>63</v>
      </c>
      <c r="G390" t="s">
        <v>25</v>
      </c>
      <c r="H390" t="str">
        <f t="shared" si="12"/>
        <v>SALÁRIO HELOISA | Recorrência:4/12 | Observações: REFERENTE A MARÇO</v>
      </c>
      <c r="I390" t="s">
        <v>26</v>
      </c>
      <c r="J390" s="5">
        <v>-3675.85</v>
      </c>
      <c r="K390" s="4">
        <v>473853.52</v>
      </c>
      <c r="L390" t="s">
        <v>27</v>
      </c>
      <c r="M390" s="5">
        <v>-3675.85</v>
      </c>
      <c r="N390" s="3">
        <v>0</v>
      </c>
      <c r="O390" t="s">
        <v>852</v>
      </c>
      <c r="P390" t="s">
        <v>776</v>
      </c>
      <c r="Q390" t="s">
        <v>854</v>
      </c>
      <c r="R390" t="str">
        <f t="shared" si="13"/>
        <v>Sim</v>
      </c>
      <c r="S390" t="s">
        <v>854</v>
      </c>
      <c r="T390" t="s">
        <v>855</v>
      </c>
      <c r="U390" t="s">
        <v>323</v>
      </c>
      <c r="V390" s="3">
        <v>-3675.85</v>
      </c>
      <c r="W390" t="s">
        <v>324</v>
      </c>
      <c r="X390" s="3">
        <v>-3675.85</v>
      </c>
    </row>
    <row r="391" spans="1:24" s="2" customFormat="1" x14ac:dyDescent="0.2">
      <c r="A391">
        <v>391</v>
      </c>
      <c r="B391"/>
      <c r="C391" t="s">
        <v>153</v>
      </c>
      <c r="D391" t="s">
        <v>572</v>
      </c>
      <c r="E391" t="s">
        <v>566</v>
      </c>
      <c r="F391" t="s">
        <v>63</v>
      </c>
      <c r="G391" t="s">
        <v>25</v>
      </c>
      <c r="H391" t="str">
        <f t="shared" si="12"/>
        <v>SALARIO FELIPE | Recorrência:5/12 | Observações: REFERENTE A MARÇO</v>
      </c>
      <c r="I391" t="s">
        <v>26</v>
      </c>
      <c r="J391" s="5">
        <v>-1284.5</v>
      </c>
      <c r="K391" s="4">
        <v>472569.02</v>
      </c>
      <c r="L391" t="s">
        <v>27</v>
      </c>
      <c r="M391" s="5">
        <v>-1284.5</v>
      </c>
      <c r="N391" s="3">
        <v>0</v>
      </c>
      <c r="O391" t="s">
        <v>852</v>
      </c>
      <c r="P391" t="s">
        <v>772</v>
      </c>
      <c r="Q391" t="s">
        <v>852</v>
      </c>
      <c r="R391" t="str">
        <f t="shared" si="13"/>
        <v>Sim</v>
      </c>
      <c r="S391" t="s">
        <v>852</v>
      </c>
      <c r="T391" t="s">
        <v>855</v>
      </c>
      <c r="U391" t="s">
        <v>323</v>
      </c>
      <c r="V391" s="3">
        <v>-1284.5</v>
      </c>
      <c r="W391" t="s">
        <v>324</v>
      </c>
      <c r="X391" s="3">
        <v>-1284.5</v>
      </c>
    </row>
    <row r="392" spans="1:24" s="2" customFormat="1" x14ac:dyDescent="0.2">
      <c r="A392" s="2">
        <v>392</v>
      </c>
      <c r="B392"/>
      <c r="C392" t="s">
        <v>153</v>
      </c>
      <c r="D392" t="s">
        <v>733</v>
      </c>
      <c r="E392" t="s">
        <v>471</v>
      </c>
      <c r="F392" t="s">
        <v>63</v>
      </c>
      <c r="G392" t="s">
        <v>25</v>
      </c>
      <c r="H392" t="str">
        <f t="shared" si="12"/>
        <v>ISABELA ROSSI _ ESTAGIÁRIA  | Recorrência:3/12 | Observações: REFERENTE A MARÇO</v>
      </c>
      <c r="I392" t="s">
        <v>26</v>
      </c>
      <c r="J392" s="5">
        <v>-817.25</v>
      </c>
      <c r="K392" s="4">
        <v>471751.77</v>
      </c>
      <c r="L392" t="s">
        <v>27</v>
      </c>
      <c r="M392" s="5">
        <v>-817.25</v>
      </c>
      <c r="N392" s="3">
        <v>0</v>
      </c>
      <c r="O392" t="s">
        <v>852</v>
      </c>
      <c r="P392" t="s">
        <v>776</v>
      </c>
      <c r="Q392" t="s">
        <v>854</v>
      </c>
      <c r="R392" t="str">
        <f t="shared" si="13"/>
        <v>Sim</v>
      </c>
      <c r="S392" t="s">
        <v>854</v>
      </c>
      <c r="T392" t="s">
        <v>855</v>
      </c>
      <c r="U392" t="s">
        <v>323</v>
      </c>
      <c r="V392" s="3">
        <v>-817.25</v>
      </c>
      <c r="W392" t="s">
        <v>324</v>
      </c>
      <c r="X392" s="3">
        <v>-817.25</v>
      </c>
    </row>
    <row r="393" spans="1:24" s="2" customFormat="1" x14ac:dyDescent="0.2">
      <c r="A393">
        <v>393</v>
      </c>
      <c r="B393"/>
      <c r="C393" t="s">
        <v>856</v>
      </c>
      <c r="D393" t="s">
        <v>226</v>
      </c>
      <c r="E393" t="s">
        <v>30</v>
      </c>
      <c r="F393" t="s">
        <v>24</v>
      </c>
      <c r="G393" t="s">
        <v>25</v>
      </c>
      <c r="H393" t="str">
        <f t="shared" si="12"/>
        <v xml:space="preserve">ESPAÇO REFORMAR (DMP REFORMAS ) | Recorrência: | Observações: </v>
      </c>
      <c r="I393" t="s">
        <v>26</v>
      </c>
      <c r="J393" s="4">
        <v>1940.22</v>
      </c>
      <c r="K393" s="4">
        <v>473691.99</v>
      </c>
      <c r="L393" t="s">
        <v>27</v>
      </c>
      <c r="M393" s="4">
        <v>1940.22</v>
      </c>
      <c r="N393" s="3">
        <v>0</v>
      </c>
      <c r="O393" t="s">
        <v>852</v>
      </c>
      <c r="P393" t="s">
        <v>857</v>
      </c>
      <c r="Q393" t="s">
        <v>858</v>
      </c>
      <c r="R393" t="str">
        <f t="shared" si="13"/>
        <v>Sim</v>
      </c>
      <c r="S393" t="s">
        <v>858</v>
      </c>
      <c r="T393" t="s">
        <v>30</v>
      </c>
      <c r="U393" t="s">
        <v>49</v>
      </c>
      <c r="V393" s="3">
        <v>1940.22</v>
      </c>
      <c r="W393" t="s">
        <v>494</v>
      </c>
      <c r="X393" s="3">
        <v>1940.22</v>
      </c>
    </row>
    <row r="394" spans="1:24" s="2" customFormat="1" x14ac:dyDescent="0.2">
      <c r="A394" s="2">
        <v>394</v>
      </c>
      <c r="B394"/>
      <c r="C394" t="s">
        <v>710</v>
      </c>
      <c r="D394" t="s">
        <v>711</v>
      </c>
      <c r="E394" t="s">
        <v>398</v>
      </c>
      <c r="F394" t="s">
        <v>63</v>
      </c>
      <c r="G394" t="s">
        <v>25</v>
      </c>
      <c r="H394" t="str">
        <f t="shared" si="12"/>
        <v>ELETROPAULO_ENERGIA _ITAIM | Recorrência:2/12 | Observações: REFERENTE A MARÇO - Rm compensação - Fatura Negociada</v>
      </c>
      <c r="I394" t="s">
        <v>26</v>
      </c>
      <c r="J394" s="5">
        <v>-0.01</v>
      </c>
      <c r="K394" s="4">
        <v>473691.98</v>
      </c>
      <c r="L394" t="s">
        <v>27</v>
      </c>
      <c r="M394" s="5">
        <v>-0.01</v>
      </c>
      <c r="N394" s="3">
        <v>0</v>
      </c>
      <c r="O394" t="s">
        <v>847</v>
      </c>
      <c r="P394" t="s">
        <v>775</v>
      </c>
      <c r="Q394" t="s">
        <v>847</v>
      </c>
      <c r="R394" t="str">
        <f t="shared" si="13"/>
        <v>Sim</v>
      </c>
      <c r="S394" t="s">
        <v>847</v>
      </c>
      <c r="T394" t="s">
        <v>859</v>
      </c>
      <c r="U394" t="s">
        <v>125</v>
      </c>
      <c r="V394" s="3">
        <v>-0.01</v>
      </c>
      <c r="W394" t="s">
        <v>324</v>
      </c>
      <c r="X394" s="3">
        <v>-0.01</v>
      </c>
    </row>
    <row r="395" spans="1:24" s="2" customFormat="1" x14ac:dyDescent="0.2">
      <c r="A395">
        <v>395</v>
      </c>
      <c r="B395"/>
      <c r="C395" t="s">
        <v>574</v>
      </c>
      <c r="D395" t="s">
        <v>575</v>
      </c>
      <c r="E395" t="s">
        <v>566</v>
      </c>
      <c r="F395" t="s">
        <v>63</v>
      </c>
      <c r="G395" t="s">
        <v>25</v>
      </c>
      <c r="H395" t="str">
        <f t="shared" si="12"/>
        <v>ALUGUEL+CONDOMINIO+IPTU | Recorrência:5/12 | Observações: REF: 03/21 _VENC 04/22</v>
      </c>
      <c r="I395" t="s">
        <v>26</v>
      </c>
      <c r="J395" s="5">
        <v>-5585.41</v>
      </c>
      <c r="K395" s="4">
        <v>468106.57</v>
      </c>
      <c r="L395" t="s">
        <v>27</v>
      </c>
      <c r="M395" s="5">
        <v>-5585.41</v>
      </c>
      <c r="N395" s="3">
        <v>0</v>
      </c>
      <c r="O395" t="s">
        <v>847</v>
      </c>
      <c r="P395" t="s">
        <v>840</v>
      </c>
      <c r="Q395" t="s">
        <v>854</v>
      </c>
      <c r="R395" t="str">
        <f t="shared" si="13"/>
        <v>Sim</v>
      </c>
      <c r="S395" t="s">
        <v>854</v>
      </c>
      <c r="T395" t="s">
        <v>860</v>
      </c>
      <c r="U395" t="s">
        <v>571</v>
      </c>
      <c r="V395" s="3">
        <v>-5585.41</v>
      </c>
      <c r="W395" t="s">
        <v>577</v>
      </c>
      <c r="X395" s="3">
        <v>-5585.41</v>
      </c>
    </row>
    <row r="396" spans="1:24" s="2" customFormat="1" x14ac:dyDescent="0.2">
      <c r="A396" s="2">
        <v>396</v>
      </c>
      <c r="B396"/>
      <c r="C396" t="s">
        <v>153</v>
      </c>
      <c r="D396" t="s">
        <v>659</v>
      </c>
      <c r="E396" t="s">
        <v>861</v>
      </c>
      <c r="F396" t="s">
        <v>63</v>
      </c>
      <c r="G396" t="s">
        <v>25</v>
      </c>
      <c r="H396" t="str">
        <f t="shared" si="12"/>
        <v xml:space="preserve">VALE TRANSPORTE _ELIANE | Recorrência:1/8 | Observações: </v>
      </c>
      <c r="I396" t="s">
        <v>26</v>
      </c>
      <c r="J396" s="5">
        <v>-316.8</v>
      </c>
      <c r="K396" s="4">
        <v>467789.77</v>
      </c>
      <c r="L396" t="s">
        <v>27</v>
      </c>
      <c r="M396" s="5">
        <v>-316.8</v>
      </c>
      <c r="N396" s="3">
        <v>0</v>
      </c>
      <c r="O396" t="s">
        <v>847</v>
      </c>
      <c r="P396" t="s">
        <v>852</v>
      </c>
      <c r="Q396" t="s">
        <v>862</v>
      </c>
      <c r="R396" t="str">
        <f t="shared" si="13"/>
        <v>Sim</v>
      </c>
      <c r="S396" t="s">
        <v>862</v>
      </c>
      <c r="T396" t="s">
        <v>30</v>
      </c>
      <c r="U396" t="s">
        <v>662</v>
      </c>
      <c r="V396" s="3">
        <v>-316.8</v>
      </c>
      <c r="W396" t="s">
        <v>698</v>
      </c>
      <c r="X396" s="3">
        <v>-316.8</v>
      </c>
    </row>
    <row r="397" spans="1:24" s="2" customFormat="1" x14ac:dyDescent="0.2">
      <c r="A397">
        <v>397</v>
      </c>
      <c r="B397"/>
      <c r="C397" t="s">
        <v>863</v>
      </c>
      <c r="D397" t="s">
        <v>274</v>
      </c>
      <c r="E397" t="s">
        <v>133</v>
      </c>
      <c r="F397" t="s">
        <v>24</v>
      </c>
      <c r="G397" t="s">
        <v>25</v>
      </c>
      <c r="H397" t="str">
        <f t="shared" si="12"/>
        <v xml:space="preserve">GERENCIAMENTO | Recorrência:2/5 | Observações: </v>
      </c>
      <c r="I397" t="s">
        <v>26</v>
      </c>
      <c r="J397" s="4">
        <v>4500</v>
      </c>
      <c r="K397" s="4">
        <v>472289.77</v>
      </c>
      <c r="L397" t="s">
        <v>27</v>
      </c>
      <c r="M397" s="4">
        <v>4500</v>
      </c>
      <c r="N397" s="3">
        <v>0</v>
      </c>
      <c r="O397" t="s">
        <v>854</v>
      </c>
      <c r="P397" t="s">
        <v>246</v>
      </c>
      <c r="Q397" t="s">
        <v>854</v>
      </c>
      <c r="R397" t="str">
        <f t="shared" si="13"/>
        <v>Sim</v>
      </c>
      <c r="S397" t="s">
        <v>854</v>
      </c>
      <c r="T397" t="s">
        <v>30</v>
      </c>
      <c r="U397" t="s">
        <v>274</v>
      </c>
      <c r="V397" s="3">
        <v>4500</v>
      </c>
      <c r="W397" t="s">
        <v>166</v>
      </c>
      <c r="X397" s="3">
        <v>4500</v>
      </c>
    </row>
    <row r="398" spans="1:24" s="2" customFormat="1" x14ac:dyDescent="0.2">
      <c r="A398" s="2">
        <v>398</v>
      </c>
      <c r="B398"/>
      <c r="C398" t="s">
        <v>153</v>
      </c>
      <c r="D398" t="s">
        <v>630</v>
      </c>
      <c r="E398" t="s">
        <v>518</v>
      </c>
      <c r="F398" t="s">
        <v>63</v>
      </c>
      <c r="G398" t="s">
        <v>25</v>
      </c>
      <c r="H398" t="str">
        <f t="shared" si="12"/>
        <v xml:space="preserve">PRÓ-LABORE MAYARA | Recorrência:4/12 | Observações: </v>
      </c>
      <c r="I398" t="s">
        <v>26</v>
      </c>
      <c r="J398" s="5">
        <v>-15000</v>
      </c>
      <c r="K398" s="4">
        <v>457289.77</v>
      </c>
      <c r="L398" t="s">
        <v>27</v>
      </c>
      <c r="M398" s="5">
        <v>-15000</v>
      </c>
      <c r="N398" s="3">
        <v>0</v>
      </c>
      <c r="O398" t="s">
        <v>854</v>
      </c>
      <c r="P398" t="s">
        <v>864</v>
      </c>
      <c r="Q398" t="s">
        <v>854</v>
      </c>
      <c r="R398" t="str">
        <f t="shared" si="13"/>
        <v>Sim</v>
      </c>
      <c r="S398" t="s">
        <v>854</v>
      </c>
      <c r="T398" t="s">
        <v>30</v>
      </c>
      <c r="U398" t="s">
        <v>631</v>
      </c>
      <c r="V398" s="3">
        <v>-15000</v>
      </c>
      <c r="W398" t="s">
        <v>632</v>
      </c>
      <c r="X398" s="3">
        <v>-15000</v>
      </c>
    </row>
    <row r="399" spans="1:24" s="2" customFormat="1" x14ac:dyDescent="0.2">
      <c r="A399">
        <v>399</v>
      </c>
      <c r="B399"/>
      <c r="C399"/>
      <c r="D399" t="s">
        <v>633</v>
      </c>
      <c r="E399" t="s">
        <v>518</v>
      </c>
      <c r="F399" t="s">
        <v>63</v>
      </c>
      <c r="G399" t="s">
        <v>25</v>
      </c>
      <c r="H399" t="str">
        <f t="shared" si="12"/>
        <v xml:space="preserve">PRÓ-LABORE NATASHA | Recorrência:4/12 | Observações: </v>
      </c>
      <c r="I399" t="s">
        <v>26</v>
      </c>
      <c r="J399" s="5">
        <v>-15000</v>
      </c>
      <c r="K399" s="4">
        <v>442289.77</v>
      </c>
      <c r="L399" t="s">
        <v>27</v>
      </c>
      <c r="M399" s="5">
        <v>-15000</v>
      </c>
      <c r="N399" s="3">
        <v>0</v>
      </c>
      <c r="O399" t="s">
        <v>854</v>
      </c>
      <c r="P399" t="s">
        <v>772</v>
      </c>
      <c r="Q399" t="s">
        <v>854</v>
      </c>
      <c r="R399" t="str">
        <f t="shared" si="13"/>
        <v>Sim</v>
      </c>
      <c r="S399" t="s">
        <v>854</v>
      </c>
      <c r="T399" t="s">
        <v>30</v>
      </c>
      <c r="U399" t="s">
        <v>631</v>
      </c>
      <c r="V399" s="3">
        <v>-15000</v>
      </c>
    </row>
    <row r="400" spans="1:24" s="2" customFormat="1" x14ac:dyDescent="0.2">
      <c r="A400" s="2">
        <v>400</v>
      </c>
      <c r="B400"/>
      <c r="C400" t="s">
        <v>153</v>
      </c>
      <c r="D400" t="s">
        <v>650</v>
      </c>
      <c r="E400" t="s">
        <v>518</v>
      </c>
      <c r="F400" t="s">
        <v>63</v>
      </c>
      <c r="G400" t="s">
        <v>25</v>
      </c>
      <c r="H400" t="str">
        <f t="shared" si="12"/>
        <v xml:space="preserve">FGTS | Recorrência:4/12 | Observações: </v>
      </c>
      <c r="I400" t="s">
        <v>26</v>
      </c>
      <c r="J400" s="5">
        <v>-120.1</v>
      </c>
      <c r="K400" s="4">
        <v>442169.67</v>
      </c>
      <c r="L400" t="s">
        <v>27</v>
      </c>
      <c r="M400" s="5">
        <v>-120.1</v>
      </c>
      <c r="N400" s="3">
        <v>0</v>
      </c>
      <c r="O400" t="s">
        <v>836</v>
      </c>
      <c r="P400" t="s">
        <v>864</v>
      </c>
      <c r="Q400" t="s">
        <v>865</v>
      </c>
      <c r="R400" t="str">
        <f t="shared" si="13"/>
        <v>Sim</v>
      </c>
      <c r="S400" t="s">
        <v>865</v>
      </c>
      <c r="T400" t="s">
        <v>30</v>
      </c>
      <c r="U400" t="s">
        <v>651</v>
      </c>
      <c r="V400" s="3">
        <v>-120.1</v>
      </c>
      <c r="W400" t="s">
        <v>376</v>
      </c>
      <c r="X400" s="3">
        <v>-120.1</v>
      </c>
    </row>
    <row r="401" spans="1:24" s="2" customFormat="1" x14ac:dyDescent="0.2">
      <c r="A401">
        <v>401</v>
      </c>
      <c r="B401"/>
      <c r="C401" t="s">
        <v>153</v>
      </c>
      <c r="D401" t="s">
        <v>636</v>
      </c>
      <c r="E401" t="s">
        <v>518</v>
      </c>
      <c r="F401" t="s">
        <v>63</v>
      </c>
      <c r="G401" t="s">
        <v>25</v>
      </c>
      <c r="H401" t="str">
        <f t="shared" si="12"/>
        <v xml:space="preserve">SALÁRIO ELIANE | Recorrência:4/12 | Observações: </v>
      </c>
      <c r="I401" t="s">
        <v>26</v>
      </c>
      <c r="J401" s="5">
        <v>-1384.39</v>
      </c>
      <c r="K401" s="4">
        <v>440785.28</v>
      </c>
      <c r="L401" t="s">
        <v>27</v>
      </c>
      <c r="M401" s="5">
        <v>-1384.39</v>
      </c>
      <c r="N401" s="3">
        <v>0</v>
      </c>
      <c r="O401" t="s">
        <v>836</v>
      </c>
      <c r="P401" t="s">
        <v>848</v>
      </c>
      <c r="Q401" t="s">
        <v>854</v>
      </c>
      <c r="R401" t="str">
        <f t="shared" si="13"/>
        <v>Sim</v>
      </c>
      <c r="S401" t="s">
        <v>854</v>
      </c>
      <c r="T401" t="s">
        <v>30</v>
      </c>
      <c r="U401" t="s">
        <v>323</v>
      </c>
      <c r="V401" s="3">
        <v>-1384.39</v>
      </c>
      <c r="W401" t="s">
        <v>324</v>
      </c>
      <c r="X401" s="3">
        <v>-1384.39</v>
      </c>
    </row>
    <row r="402" spans="1:24" s="2" customFormat="1" x14ac:dyDescent="0.2">
      <c r="A402" s="2">
        <v>402</v>
      </c>
      <c r="B402"/>
      <c r="C402" t="s">
        <v>866</v>
      </c>
      <c r="D402" t="s">
        <v>241</v>
      </c>
      <c r="E402" t="s">
        <v>30</v>
      </c>
      <c r="F402" t="s">
        <v>24</v>
      </c>
      <c r="G402" t="s">
        <v>25</v>
      </c>
      <c r="H402" t="str">
        <f t="shared" si="12"/>
        <v xml:space="preserve">DECORLIGHT ILUMINACAO LTDA | Recorrência: | Observações: </v>
      </c>
      <c r="I402" t="s">
        <v>26</v>
      </c>
      <c r="J402" s="4">
        <v>647.88</v>
      </c>
      <c r="K402" s="4">
        <v>441433.16</v>
      </c>
      <c r="L402" t="s">
        <v>27</v>
      </c>
      <c r="M402" s="4">
        <v>647.88</v>
      </c>
      <c r="N402" s="3">
        <v>0</v>
      </c>
      <c r="O402" t="s">
        <v>836</v>
      </c>
      <c r="P402" t="s">
        <v>840</v>
      </c>
      <c r="Q402" t="s">
        <v>836</v>
      </c>
      <c r="R402" t="str">
        <f t="shared" si="13"/>
        <v>Sim</v>
      </c>
      <c r="S402" t="s">
        <v>836</v>
      </c>
      <c r="T402" t="s">
        <v>30</v>
      </c>
      <c r="U402" t="s">
        <v>49</v>
      </c>
      <c r="V402" s="3">
        <v>647.88</v>
      </c>
      <c r="W402" t="s">
        <v>49</v>
      </c>
      <c r="X402" s="3">
        <v>647.88</v>
      </c>
    </row>
    <row r="403" spans="1:24" s="2" customFormat="1" x14ac:dyDescent="0.2">
      <c r="A403">
        <v>403</v>
      </c>
      <c r="B403"/>
      <c r="C403"/>
      <c r="D403" t="s">
        <v>151</v>
      </c>
      <c r="E403" t="s">
        <v>518</v>
      </c>
      <c r="F403" t="s">
        <v>63</v>
      </c>
      <c r="G403" t="s">
        <v>25</v>
      </c>
      <c r="H403" t="str">
        <f t="shared" si="12"/>
        <v xml:space="preserve">SODEXO - Eliane  | Recorrência:4/12 | Observações: </v>
      </c>
      <c r="I403" t="s">
        <v>26</v>
      </c>
      <c r="J403" s="5">
        <v>-486</v>
      </c>
      <c r="K403" s="4">
        <v>440947.16</v>
      </c>
      <c r="L403" t="s">
        <v>27</v>
      </c>
      <c r="M403" s="5">
        <v>-486</v>
      </c>
      <c r="N403" s="3">
        <v>0</v>
      </c>
      <c r="O403" t="s">
        <v>865</v>
      </c>
      <c r="P403" t="s">
        <v>808</v>
      </c>
      <c r="Q403" t="s">
        <v>867</v>
      </c>
      <c r="R403" t="str">
        <f t="shared" si="13"/>
        <v>Sim</v>
      </c>
      <c r="S403" t="s">
        <v>867</v>
      </c>
      <c r="T403" t="s">
        <v>30</v>
      </c>
      <c r="U403" t="s">
        <v>93</v>
      </c>
      <c r="V403" s="3">
        <v>-486</v>
      </c>
    </row>
    <row r="404" spans="1:24" s="2" customFormat="1" x14ac:dyDescent="0.2">
      <c r="A404" s="2">
        <v>404</v>
      </c>
      <c r="B404"/>
      <c r="C404" t="s">
        <v>795</v>
      </c>
      <c r="D404" t="s">
        <v>795</v>
      </c>
      <c r="E404" t="s">
        <v>95</v>
      </c>
      <c r="F404" t="s">
        <v>24</v>
      </c>
      <c r="G404" t="s">
        <v>25</v>
      </c>
      <c r="H404" t="str">
        <f t="shared" si="12"/>
        <v xml:space="preserve">THAIS KOCH _SUITE BEATRIZ | Recorrência:2/2 | Observações: </v>
      </c>
      <c r="I404" t="s">
        <v>26</v>
      </c>
      <c r="J404" s="4">
        <v>2500</v>
      </c>
      <c r="K404" s="4">
        <v>443447.16</v>
      </c>
      <c r="L404" t="s">
        <v>27</v>
      </c>
      <c r="M404" s="4">
        <v>2500</v>
      </c>
      <c r="N404" s="3">
        <v>0</v>
      </c>
      <c r="O404" t="s">
        <v>865</v>
      </c>
      <c r="P404" t="s">
        <v>816</v>
      </c>
      <c r="Q404" t="s">
        <v>854</v>
      </c>
      <c r="R404" t="str">
        <f t="shared" si="13"/>
        <v>Sim</v>
      </c>
      <c r="S404" t="s">
        <v>854</v>
      </c>
      <c r="T404" t="s">
        <v>30</v>
      </c>
      <c r="U404" t="s">
        <v>31</v>
      </c>
      <c r="V404" s="3">
        <v>2500</v>
      </c>
      <c r="W404" t="s">
        <v>32</v>
      </c>
      <c r="X404" s="3">
        <v>2500</v>
      </c>
    </row>
    <row r="405" spans="1:24" s="2" customFormat="1" x14ac:dyDescent="0.2">
      <c r="A405">
        <v>405</v>
      </c>
      <c r="B405"/>
      <c r="C405" t="s">
        <v>666</v>
      </c>
      <c r="D405" t="s">
        <v>667</v>
      </c>
      <c r="E405" t="s">
        <v>518</v>
      </c>
      <c r="F405" t="s">
        <v>63</v>
      </c>
      <c r="G405" t="s">
        <v>25</v>
      </c>
      <c r="H405" t="str">
        <f t="shared" si="12"/>
        <v>TELEFONIA E INTERNET | Recorrência:4/12 | Observações: conta Mayara paga pelo APP&gt; Lembrar o Pagamento</v>
      </c>
      <c r="I405" t="s">
        <v>26</v>
      </c>
      <c r="J405" s="5">
        <v>-143.79</v>
      </c>
      <c r="K405" s="4">
        <v>443303.37</v>
      </c>
      <c r="L405" t="s">
        <v>27</v>
      </c>
      <c r="M405" s="5">
        <v>-143.79</v>
      </c>
      <c r="N405" s="3">
        <v>0</v>
      </c>
      <c r="O405" t="s">
        <v>868</v>
      </c>
      <c r="P405" t="s">
        <v>821</v>
      </c>
      <c r="Q405" t="s">
        <v>869</v>
      </c>
      <c r="R405" t="str">
        <f t="shared" si="13"/>
        <v>Sim</v>
      </c>
      <c r="S405" t="s">
        <v>869</v>
      </c>
      <c r="T405" t="s">
        <v>669</v>
      </c>
      <c r="U405" t="s">
        <v>670</v>
      </c>
      <c r="V405" s="3">
        <v>-143.79</v>
      </c>
      <c r="W405" t="s">
        <v>324</v>
      </c>
      <c r="X405" s="3">
        <v>-143.79</v>
      </c>
    </row>
    <row r="406" spans="1:24" s="2" customFormat="1" x14ac:dyDescent="0.2">
      <c r="A406" s="2">
        <v>406</v>
      </c>
      <c r="B406"/>
      <c r="C406" t="s">
        <v>418</v>
      </c>
      <c r="D406" t="s">
        <v>396</v>
      </c>
      <c r="E406" t="s">
        <v>30</v>
      </c>
      <c r="F406" t="s">
        <v>24</v>
      </c>
      <c r="G406" t="s">
        <v>25</v>
      </c>
      <c r="H406" t="str">
        <f t="shared" si="12"/>
        <v xml:space="preserve">QUAKER (PILLOWS &amp; FABRICS COMERCIO DE PECAS DECORATIVAS LTDA) | Recorrência: | Observações: </v>
      </c>
      <c r="I406" t="s">
        <v>26</v>
      </c>
      <c r="J406" s="4">
        <v>1795.53</v>
      </c>
      <c r="K406" s="4">
        <v>445098.9</v>
      </c>
      <c r="L406" t="s">
        <v>27</v>
      </c>
      <c r="M406" s="4">
        <v>1795.53</v>
      </c>
      <c r="N406" s="3">
        <v>0</v>
      </c>
      <c r="O406" t="s">
        <v>868</v>
      </c>
      <c r="P406" t="s">
        <v>533</v>
      </c>
      <c r="Q406" t="s">
        <v>821</v>
      </c>
      <c r="R406" t="str">
        <f t="shared" si="13"/>
        <v>Sim</v>
      </c>
      <c r="S406" t="s">
        <v>821</v>
      </c>
      <c r="T406" t="s">
        <v>30</v>
      </c>
      <c r="U406" t="s">
        <v>49</v>
      </c>
      <c r="V406" s="3">
        <v>1795.53</v>
      </c>
      <c r="W406" t="s">
        <v>49</v>
      </c>
      <c r="X406" s="3">
        <v>1795.53</v>
      </c>
    </row>
    <row r="407" spans="1:24" s="2" customFormat="1" x14ac:dyDescent="0.2">
      <c r="A407">
        <v>407</v>
      </c>
      <c r="B407"/>
      <c r="C407" t="s">
        <v>792</v>
      </c>
      <c r="D407" t="s">
        <v>841</v>
      </c>
      <c r="E407" t="s">
        <v>34</v>
      </c>
      <c r="F407" t="s">
        <v>24</v>
      </c>
      <c r="G407" t="s">
        <v>25</v>
      </c>
      <c r="H407" t="str">
        <f t="shared" si="12"/>
        <v xml:space="preserve">PAGLIOTTO DESIGN | Recorrência:2/4 | Observações: </v>
      </c>
      <c r="I407" t="s">
        <v>26</v>
      </c>
      <c r="J407" s="4">
        <v>135</v>
      </c>
      <c r="K407" s="4">
        <v>445233.9</v>
      </c>
      <c r="L407" t="s">
        <v>27</v>
      </c>
      <c r="M407" s="4">
        <v>135</v>
      </c>
      <c r="N407" s="3">
        <v>0</v>
      </c>
      <c r="O407" t="s">
        <v>870</v>
      </c>
      <c r="P407" t="s">
        <v>847</v>
      </c>
      <c r="Q407" t="s">
        <v>870</v>
      </c>
      <c r="R407" t="str">
        <f t="shared" si="13"/>
        <v>Sim</v>
      </c>
      <c r="S407" t="s">
        <v>870</v>
      </c>
      <c r="T407" t="s">
        <v>30</v>
      </c>
      <c r="U407" t="s">
        <v>49</v>
      </c>
      <c r="V407" s="3">
        <v>135</v>
      </c>
      <c r="W407" t="s">
        <v>49</v>
      </c>
      <c r="X407" s="3">
        <v>135</v>
      </c>
    </row>
    <row r="408" spans="1:24" s="2" customFormat="1" x14ac:dyDescent="0.2">
      <c r="A408" s="2">
        <v>408</v>
      </c>
      <c r="B408" t="s">
        <v>647</v>
      </c>
      <c r="C408" t="s">
        <v>648</v>
      </c>
      <c r="D408" t="s">
        <v>649</v>
      </c>
      <c r="E408" t="s">
        <v>518</v>
      </c>
      <c r="F408" t="s">
        <v>63</v>
      </c>
      <c r="G408" t="s">
        <v>25</v>
      </c>
      <c r="H408" t="str">
        <f t="shared" si="12"/>
        <v xml:space="preserve">HONORÁRIOS CONTÁBEIS | Recorrência:4/12 | Observações: </v>
      </c>
      <c r="I408" t="s">
        <v>26</v>
      </c>
      <c r="J408" s="5">
        <v>-830</v>
      </c>
      <c r="K408" s="4">
        <v>444403.9</v>
      </c>
      <c r="L408" t="s">
        <v>27</v>
      </c>
      <c r="M408" s="5">
        <v>-830</v>
      </c>
      <c r="N408" s="3">
        <v>0</v>
      </c>
      <c r="O408" t="s">
        <v>871</v>
      </c>
      <c r="P408" t="s">
        <v>864</v>
      </c>
      <c r="Q408" t="s">
        <v>836</v>
      </c>
      <c r="R408" t="str">
        <f t="shared" si="13"/>
        <v>Sim</v>
      </c>
      <c r="S408" t="s">
        <v>836</v>
      </c>
      <c r="T408" t="s">
        <v>30</v>
      </c>
      <c r="U408" t="s">
        <v>608</v>
      </c>
      <c r="V408" s="3">
        <v>-830</v>
      </c>
      <c r="W408" t="s">
        <v>577</v>
      </c>
      <c r="X408" s="3">
        <v>-830</v>
      </c>
    </row>
    <row r="409" spans="1:24" s="2" customFormat="1" x14ac:dyDescent="0.2">
      <c r="A409">
        <v>409</v>
      </c>
      <c r="B409"/>
      <c r="C409" t="s">
        <v>297</v>
      </c>
      <c r="D409" t="s">
        <v>653</v>
      </c>
      <c r="E409" t="s">
        <v>518</v>
      </c>
      <c r="F409" t="s">
        <v>63</v>
      </c>
      <c r="G409" t="s">
        <v>25</v>
      </c>
      <c r="H409" t="str">
        <f t="shared" si="12"/>
        <v xml:space="preserve">ISS | Recorrência:4/12 | Observações: </v>
      </c>
      <c r="I409" t="s">
        <v>26</v>
      </c>
      <c r="J409" s="5">
        <v>-2594.23</v>
      </c>
      <c r="K409" s="4">
        <v>441809.67</v>
      </c>
      <c r="L409" t="s">
        <v>27</v>
      </c>
      <c r="M409" s="5">
        <v>-2594.23</v>
      </c>
      <c r="N409" s="3">
        <v>0</v>
      </c>
      <c r="O409" t="s">
        <v>871</v>
      </c>
      <c r="P409" t="s">
        <v>807</v>
      </c>
      <c r="Q409" t="s">
        <v>871</v>
      </c>
      <c r="R409" t="str">
        <f t="shared" si="13"/>
        <v>Sim</v>
      </c>
      <c r="S409" t="s">
        <v>871</v>
      </c>
      <c r="T409" t="s">
        <v>30</v>
      </c>
      <c r="U409" t="s">
        <v>656</v>
      </c>
      <c r="V409" s="3">
        <v>-2594.23</v>
      </c>
      <c r="W409" t="s">
        <v>376</v>
      </c>
      <c r="X409" s="3">
        <v>-2594.23</v>
      </c>
    </row>
    <row r="410" spans="1:24" s="2" customFormat="1" x14ac:dyDescent="0.2">
      <c r="A410" s="2">
        <v>410</v>
      </c>
      <c r="B410"/>
      <c r="C410" t="s">
        <v>297</v>
      </c>
      <c r="D410" t="s">
        <v>715</v>
      </c>
      <c r="E410" t="s">
        <v>518</v>
      </c>
      <c r="F410" t="s">
        <v>63</v>
      </c>
      <c r="G410" t="s">
        <v>25</v>
      </c>
      <c r="H410" t="str">
        <f t="shared" si="12"/>
        <v xml:space="preserve">DARF PREVIDENCIARIO (ANTIGO GPS) | Recorrência:4/12 | Observações: valor poderá ser alterado </v>
      </c>
      <c r="I410" t="s">
        <v>26</v>
      </c>
      <c r="J410" s="5">
        <v>-1300.71</v>
      </c>
      <c r="K410" s="4">
        <v>440508.96</v>
      </c>
      <c r="L410" t="s">
        <v>27</v>
      </c>
      <c r="M410" s="5">
        <v>-1300.71</v>
      </c>
      <c r="N410" s="3">
        <v>0</v>
      </c>
      <c r="O410" t="s">
        <v>871</v>
      </c>
      <c r="P410" t="s">
        <v>864</v>
      </c>
      <c r="Q410" t="s">
        <v>857</v>
      </c>
      <c r="R410" t="str">
        <f t="shared" si="13"/>
        <v>Sim</v>
      </c>
      <c r="S410" t="s">
        <v>857</v>
      </c>
      <c r="T410" t="s">
        <v>717</v>
      </c>
      <c r="U410" t="s">
        <v>677</v>
      </c>
      <c r="V410" s="3">
        <v>-1300.71</v>
      </c>
      <c r="W410" t="s">
        <v>376</v>
      </c>
      <c r="X410" s="3">
        <v>-1300.71</v>
      </c>
    </row>
    <row r="411" spans="1:24" s="2" customFormat="1" x14ac:dyDescent="0.2">
      <c r="A411">
        <v>411</v>
      </c>
      <c r="B411"/>
      <c r="C411" t="s">
        <v>539</v>
      </c>
      <c r="D411" t="s">
        <v>873</v>
      </c>
      <c r="E411" t="s">
        <v>30</v>
      </c>
      <c r="F411" t="s">
        <v>24</v>
      </c>
      <c r="G411" t="s">
        <v>25</v>
      </c>
      <c r="H411" t="str">
        <f t="shared" si="12"/>
        <v xml:space="preserve">CELINA DIAS (LALIQUE) | Recorrência: | Observações: RT 30 a 40 dias após data da compra </v>
      </c>
      <c r="I411" t="s">
        <v>26</v>
      </c>
      <c r="J411" s="4">
        <v>574.5</v>
      </c>
      <c r="K411" s="4">
        <v>441083.46</v>
      </c>
      <c r="L411" t="s">
        <v>27</v>
      </c>
      <c r="M411" s="4">
        <v>574.5</v>
      </c>
      <c r="N411" s="3">
        <v>0</v>
      </c>
      <c r="O411" t="s">
        <v>872</v>
      </c>
      <c r="P411" t="s">
        <v>688</v>
      </c>
      <c r="Q411" t="s">
        <v>788</v>
      </c>
      <c r="R411" t="str">
        <f t="shared" si="13"/>
        <v>Sim</v>
      </c>
      <c r="S411" t="s">
        <v>788</v>
      </c>
      <c r="T411" t="s">
        <v>874</v>
      </c>
      <c r="U411" t="s">
        <v>49</v>
      </c>
      <c r="V411" s="3">
        <v>574.5</v>
      </c>
      <c r="W411" t="s">
        <v>49</v>
      </c>
      <c r="X411" s="3">
        <v>574.5</v>
      </c>
    </row>
    <row r="412" spans="1:24" s="2" customFormat="1" x14ac:dyDescent="0.2">
      <c r="A412" s="2">
        <v>412</v>
      </c>
      <c r="B412"/>
      <c r="C412" t="s">
        <v>817</v>
      </c>
      <c r="D412" t="s">
        <v>817</v>
      </c>
      <c r="E412" t="s">
        <v>34</v>
      </c>
      <c r="F412" t="s">
        <v>24</v>
      </c>
      <c r="G412" t="s">
        <v>25</v>
      </c>
      <c r="H412" t="str">
        <f t="shared" si="12"/>
        <v xml:space="preserve">MARIELLA MATAVELLI | Recorrência:2/4 | Observações: </v>
      </c>
      <c r="I412" t="s">
        <v>26</v>
      </c>
      <c r="J412" s="4">
        <v>1950</v>
      </c>
      <c r="K412" s="4">
        <v>443033.46</v>
      </c>
      <c r="L412" t="s">
        <v>27</v>
      </c>
      <c r="M412" s="4">
        <v>1950</v>
      </c>
      <c r="N412" s="3">
        <v>0</v>
      </c>
      <c r="O412" t="s">
        <v>872</v>
      </c>
      <c r="P412" t="s">
        <v>839</v>
      </c>
      <c r="Q412" t="s">
        <v>854</v>
      </c>
      <c r="R412" t="str">
        <f t="shared" si="13"/>
        <v>Sim</v>
      </c>
      <c r="S412" t="s">
        <v>854</v>
      </c>
      <c r="T412" t="s">
        <v>30</v>
      </c>
      <c r="U412" t="s">
        <v>31</v>
      </c>
      <c r="V412" s="3">
        <v>1950</v>
      </c>
    </row>
    <row r="413" spans="1:24" s="2" customFormat="1" x14ac:dyDescent="0.2">
      <c r="A413">
        <v>413</v>
      </c>
      <c r="B413"/>
      <c r="C413" t="s">
        <v>101</v>
      </c>
      <c r="D413" t="s">
        <v>786</v>
      </c>
      <c r="E413" t="s">
        <v>30</v>
      </c>
      <c r="F413" t="s">
        <v>24</v>
      </c>
      <c r="G413" t="s">
        <v>25</v>
      </c>
      <c r="H413" t="str">
        <f t="shared" si="12"/>
        <v xml:space="preserve">DIMLUX ( STUDIO GUSTAVO DI MENNO DE ILUM.) | Recorrência: | Observações: </v>
      </c>
      <c r="I413" t="s">
        <v>26</v>
      </c>
      <c r="J413" s="4">
        <v>212.7</v>
      </c>
      <c r="K413" s="4">
        <v>443246.16</v>
      </c>
      <c r="L413" t="s">
        <v>27</v>
      </c>
      <c r="M413" s="4">
        <v>212.7</v>
      </c>
      <c r="N413" s="3">
        <v>0</v>
      </c>
      <c r="O413" t="s">
        <v>872</v>
      </c>
      <c r="P413" t="s">
        <v>852</v>
      </c>
      <c r="Q413" t="s">
        <v>871</v>
      </c>
      <c r="R413" t="str">
        <f t="shared" si="13"/>
        <v>Sim</v>
      </c>
      <c r="S413" t="s">
        <v>871</v>
      </c>
      <c r="T413" t="s">
        <v>30</v>
      </c>
      <c r="U413" t="s">
        <v>49</v>
      </c>
      <c r="V413" s="3">
        <v>212.7</v>
      </c>
      <c r="W413" t="s">
        <v>49</v>
      </c>
      <c r="X413" s="3">
        <v>212.7</v>
      </c>
    </row>
    <row r="414" spans="1:24" s="2" customFormat="1" x14ac:dyDescent="0.2">
      <c r="A414" s="2">
        <v>414</v>
      </c>
      <c r="B414"/>
      <c r="C414" t="s">
        <v>863</v>
      </c>
      <c r="D414" t="s">
        <v>823</v>
      </c>
      <c r="E414" t="s">
        <v>30</v>
      </c>
      <c r="F414" t="s">
        <v>24</v>
      </c>
      <c r="G414" t="s">
        <v>25</v>
      </c>
      <c r="H414" t="str">
        <f t="shared" si="12"/>
        <v xml:space="preserve">COLORMIX ( BRASMIX COM IMP ) | Recorrência: | Observações: </v>
      </c>
      <c r="I414" t="s">
        <v>26</v>
      </c>
      <c r="J414" s="4">
        <v>702.76</v>
      </c>
      <c r="K414" s="4">
        <v>443948.92</v>
      </c>
      <c r="L414" t="s">
        <v>27</v>
      </c>
      <c r="M414" s="4">
        <v>702.76</v>
      </c>
      <c r="N414" s="3">
        <v>0</v>
      </c>
      <c r="O414" t="s">
        <v>872</v>
      </c>
      <c r="P414" t="s">
        <v>875</v>
      </c>
      <c r="Q414" t="s">
        <v>876</v>
      </c>
      <c r="R414" t="str">
        <f t="shared" si="13"/>
        <v>Sim</v>
      </c>
      <c r="S414" t="s">
        <v>876</v>
      </c>
      <c r="T414" t="s">
        <v>30</v>
      </c>
      <c r="U414" t="s">
        <v>49</v>
      </c>
      <c r="V414" s="3">
        <v>702.76</v>
      </c>
      <c r="W414" t="s">
        <v>49</v>
      </c>
      <c r="X414" s="3">
        <v>702.76</v>
      </c>
    </row>
    <row r="415" spans="1:24" s="2" customFormat="1" x14ac:dyDescent="0.2">
      <c r="A415">
        <v>415</v>
      </c>
      <c r="B415"/>
      <c r="C415" t="s">
        <v>792</v>
      </c>
      <c r="D415" t="s">
        <v>792</v>
      </c>
      <c r="E415" t="s">
        <v>34</v>
      </c>
      <c r="F415" t="s">
        <v>24</v>
      </c>
      <c r="G415" t="s">
        <v>25</v>
      </c>
      <c r="H415" t="str">
        <f t="shared" si="12"/>
        <v xml:space="preserve">EDIFICIO SUPREME | Recorrência:2/4 | Observações: </v>
      </c>
      <c r="I415" t="s">
        <v>26</v>
      </c>
      <c r="J415" s="4">
        <v>5161.75</v>
      </c>
      <c r="K415" s="4">
        <v>449110.67</v>
      </c>
      <c r="L415" t="s">
        <v>27</v>
      </c>
      <c r="M415" s="4">
        <v>5161.75</v>
      </c>
      <c r="N415" s="3">
        <v>0</v>
      </c>
      <c r="O415" t="s">
        <v>876</v>
      </c>
      <c r="P415" t="s">
        <v>839</v>
      </c>
      <c r="Q415" t="s">
        <v>869</v>
      </c>
      <c r="R415" t="str">
        <f t="shared" si="13"/>
        <v>Sim</v>
      </c>
      <c r="S415" t="s">
        <v>869</v>
      </c>
      <c r="T415" t="s">
        <v>30</v>
      </c>
      <c r="U415" t="s">
        <v>31</v>
      </c>
      <c r="V415" s="3">
        <v>5161.75</v>
      </c>
      <c r="W415" t="s">
        <v>32</v>
      </c>
      <c r="X415" s="3">
        <v>5161.75</v>
      </c>
    </row>
    <row r="416" spans="1:24" s="2" customFormat="1" x14ac:dyDescent="0.2">
      <c r="A416" s="2">
        <v>416</v>
      </c>
      <c r="B416"/>
      <c r="C416" t="s">
        <v>258</v>
      </c>
      <c r="D416" t="s">
        <v>877</v>
      </c>
      <c r="E416" t="s">
        <v>30</v>
      </c>
      <c r="F416" t="s">
        <v>24</v>
      </c>
      <c r="G416" t="s">
        <v>25</v>
      </c>
      <c r="H416" t="str">
        <f t="shared" si="12"/>
        <v xml:space="preserve">CASAVESTIDA COMERCIO C C C AL | Recorrência: | Observações: </v>
      </c>
      <c r="I416" t="s">
        <v>26</v>
      </c>
      <c r="J416" s="4">
        <v>107</v>
      </c>
      <c r="K416" s="4">
        <v>449217.67</v>
      </c>
      <c r="L416" t="s">
        <v>27</v>
      </c>
      <c r="M416" s="4">
        <v>107</v>
      </c>
      <c r="N416" s="3">
        <v>0</v>
      </c>
      <c r="O416" t="s">
        <v>876</v>
      </c>
      <c r="P416" t="s">
        <v>836</v>
      </c>
      <c r="Q416" t="s">
        <v>876</v>
      </c>
      <c r="R416" t="str">
        <f t="shared" si="13"/>
        <v>Sim</v>
      </c>
      <c r="S416" t="s">
        <v>876</v>
      </c>
      <c r="T416" t="s">
        <v>30</v>
      </c>
      <c r="U416" t="s">
        <v>49</v>
      </c>
      <c r="V416" s="3">
        <v>107</v>
      </c>
      <c r="W416" t="s">
        <v>49</v>
      </c>
      <c r="X416" s="3">
        <v>107</v>
      </c>
    </row>
    <row r="417" spans="1:24" s="2" customFormat="1" x14ac:dyDescent="0.2">
      <c r="A417">
        <v>417</v>
      </c>
      <c r="B417"/>
      <c r="C417" t="s">
        <v>822</v>
      </c>
      <c r="D417" t="s">
        <v>129</v>
      </c>
      <c r="E417" t="s">
        <v>133</v>
      </c>
      <c r="F417" t="s">
        <v>24</v>
      </c>
      <c r="G417" t="s">
        <v>25</v>
      </c>
      <c r="H417" t="str">
        <f t="shared" si="12"/>
        <v xml:space="preserve">CRISTIANE UFLAKER | Recorrência:2/5 | Observações: </v>
      </c>
      <c r="I417" t="s">
        <v>26</v>
      </c>
      <c r="J417" s="4">
        <v>5000</v>
      </c>
      <c r="K417" s="4">
        <v>454217.67</v>
      </c>
      <c r="L417" t="s">
        <v>27</v>
      </c>
      <c r="M417" s="4">
        <v>5000</v>
      </c>
      <c r="N417" s="3">
        <v>0</v>
      </c>
      <c r="O417" t="s">
        <v>878</v>
      </c>
      <c r="P417" t="s">
        <v>164</v>
      </c>
      <c r="Q417" t="s">
        <v>869</v>
      </c>
      <c r="R417" t="str">
        <f t="shared" si="13"/>
        <v>Sim</v>
      </c>
      <c r="S417" t="s">
        <v>869</v>
      </c>
      <c r="T417" t="s">
        <v>30</v>
      </c>
      <c r="U417" t="s">
        <v>146</v>
      </c>
      <c r="V417" s="3">
        <v>5000</v>
      </c>
      <c r="W417" t="s">
        <v>166</v>
      </c>
      <c r="X417" s="3">
        <v>5000</v>
      </c>
    </row>
    <row r="418" spans="1:24" s="2" customFormat="1" x14ac:dyDescent="0.2">
      <c r="A418" s="2">
        <v>418</v>
      </c>
      <c r="B418"/>
      <c r="C418" t="s">
        <v>863</v>
      </c>
      <c r="D418" t="s">
        <v>226</v>
      </c>
      <c r="E418" t="s">
        <v>73</v>
      </c>
      <c r="F418" t="s">
        <v>24</v>
      </c>
      <c r="G418" t="s">
        <v>25</v>
      </c>
      <c r="H418" t="str">
        <f t="shared" si="12"/>
        <v>ESPAÇO REFORMAR (DMP REFORMAS ) | Recorrência:1/5 | Observações: 10% SOBRE VALOR PARCELADO</v>
      </c>
      <c r="I418" t="s">
        <v>26</v>
      </c>
      <c r="J418" s="4">
        <v>7115.6</v>
      </c>
      <c r="K418" s="4">
        <v>461333.27</v>
      </c>
      <c r="L418" t="s">
        <v>27</v>
      </c>
      <c r="M418" s="4">
        <v>7115.6</v>
      </c>
      <c r="N418" s="3">
        <v>0</v>
      </c>
      <c r="O418" t="s">
        <v>878</v>
      </c>
      <c r="P418" t="s">
        <v>660</v>
      </c>
      <c r="Q418" t="s">
        <v>862</v>
      </c>
      <c r="R418" t="str">
        <f t="shared" si="13"/>
        <v>Sim</v>
      </c>
      <c r="S418" t="s">
        <v>862</v>
      </c>
      <c r="T418" t="s">
        <v>879</v>
      </c>
      <c r="U418" t="s">
        <v>49</v>
      </c>
      <c r="V418" s="3">
        <v>7115.6</v>
      </c>
      <c r="W418" t="s">
        <v>49</v>
      </c>
      <c r="X418" s="3">
        <v>7115.6</v>
      </c>
    </row>
    <row r="419" spans="1:24" s="2" customFormat="1" x14ac:dyDescent="0.2">
      <c r="A419">
        <v>419</v>
      </c>
      <c r="B419"/>
      <c r="C419" t="s">
        <v>453</v>
      </c>
      <c r="D419" t="s">
        <v>226</v>
      </c>
      <c r="E419" t="s">
        <v>210</v>
      </c>
      <c r="F419" t="s">
        <v>24</v>
      </c>
      <c r="G419" t="s">
        <v>25</v>
      </c>
      <c r="H419" t="str">
        <f t="shared" si="12"/>
        <v xml:space="preserve">ESPAÇO REFORMAR (DMP REFORMAS ) | Recorrência:3/6 | Observações: </v>
      </c>
      <c r="I419" t="s">
        <v>26</v>
      </c>
      <c r="J419" s="4">
        <v>2500</v>
      </c>
      <c r="K419" s="4">
        <v>463833.27</v>
      </c>
      <c r="L419" t="s">
        <v>27</v>
      </c>
      <c r="M419" s="4">
        <v>2500</v>
      </c>
      <c r="N419" s="3">
        <v>0</v>
      </c>
      <c r="O419" t="s">
        <v>878</v>
      </c>
      <c r="P419" t="s">
        <v>880</v>
      </c>
      <c r="Q419" t="s">
        <v>880</v>
      </c>
      <c r="R419" t="str">
        <f t="shared" si="13"/>
        <v>Sim</v>
      </c>
      <c r="S419" t="s">
        <v>880</v>
      </c>
      <c r="T419" t="s">
        <v>30</v>
      </c>
      <c r="U419" t="s">
        <v>49</v>
      </c>
      <c r="V419" s="3">
        <v>2500</v>
      </c>
      <c r="W419" t="s">
        <v>49</v>
      </c>
      <c r="X419" s="3">
        <v>2500</v>
      </c>
    </row>
    <row r="420" spans="1:24" s="2" customFormat="1" x14ac:dyDescent="0.2">
      <c r="A420" s="2">
        <v>420</v>
      </c>
      <c r="B420"/>
      <c r="C420" t="s">
        <v>386</v>
      </c>
      <c r="D420" t="s">
        <v>226</v>
      </c>
      <c r="E420" t="s">
        <v>131</v>
      </c>
      <c r="F420" t="s">
        <v>24</v>
      </c>
      <c r="G420" t="s">
        <v>25</v>
      </c>
      <c r="H420" t="str">
        <f t="shared" si="12"/>
        <v xml:space="preserve">ESPAÇO REFORMAR (DMP REFORMAS ) | Recorrência:2/6 | Observações: </v>
      </c>
      <c r="I420" t="s">
        <v>26</v>
      </c>
      <c r="J420" s="4">
        <v>3000</v>
      </c>
      <c r="K420" s="4">
        <v>466833.27</v>
      </c>
      <c r="L420" t="s">
        <v>27</v>
      </c>
      <c r="M420" s="4">
        <v>3000</v>
      </c>
      <c r="N420" s="3">
        <v>0</v>
      </c>
      <c r="O420" t="s">
        <v>878</v>
      </c>
      <c r="P420" t="s">
        <v>881</v>
      </c>
      <c r="Q420" t="s">
        <v>871</v>
      </c>
      <c r="R420" t="str">
        <f t="shared" si="13"/>
        <v>Sim</v>
      </c>
      <c r="S420" t="s">
        <v>871</v>
      </c>
      <c r="T420" t="s">
        <v>30</v>
      </c>
      <c r="U420" t="s">
        <v>49</v>
      </c>
      <c r="V420" s="3">
        <v>3000</v>
      </c>
      <c r="W420" t="s">
        <v>49</v>
      </c>
      <c r="X420" s="3">
        <v>3000</v>
      </c>
    </row>
    <row r="421" spans="1:24" s="2" customFormat="1" x14ac:dyDescent="0.2">
      <c r="A421">
        <v>421</v>
      </c>
      <c r="B421"/>
      <c r="C421" t="s">
        <v>817</v>
      </c>
      <c r="D421" t="s">
        <v>226</v>
      </c>
      <c r="E421" t="s">
        <v>38</v>
      </c>
      <c r="F421" t="s">
        <v>24</v>
      </c>
      <c r="G421" t="s">
        <v>25</v>
      </c>
      <c r="H421" t="str">
        <f t="shared" si="12"/>
        <v xml:space="preserve">ESPAÇO REFORMAR (DMP REFORMAS ) | Recorrência:1/3 | Observações: </v>
      </c>
      <c r="I421" t="s">
        <v>26</v>
      </c>
      <c r="J421" s="4">
        <v>1615.6</v>
      </c>
      <c r="K421" s="4">
        <v>468448.87</v>
      </c>
      <c r="L421" t="s">
        <v>27</v>
      </c>
      <c r="M421" s="4">
        <v>1615.6</v>
      </c>
      <c r="N421" s="3">
        <v>0</v>
      </c>
      <c r="O421" t="s">
        <v>878</v>
      </c>
      <c r="P421" t="s">
        <v>862</v>
      </c>
      <c r="Q421" t="s">
        <v>878</v>
      </c>
      <c r="R421" t="str">
        <f t="shared" si="13"/>
        <v>Sim</v>
      </c>
      <c r="S421" t="s">
        <v>878</v>
      </c>
      <c r="T421" t="s">
        <v>30</v>
      </c>
      <c r="U421" t="s">
        <v>49</v>
      </c>
      <c r="V421" s="3">
        <v>1615.6</v>
      </c>
      <c r="W421" t="s">
        <v>49</v>
      </c>
      <c r="X421" s="3">
        <v>1615.6</v>
      </c>
    </row>
    <row r="422" spans="1:24" s="2" customFormat="1" x14ac:dyDescent="0.2">
      <c r="A422" s="2">
        <v>422</v>
      </c>
      <c r="B422"/>
      <c r="C422" t="s">
        <v>386</v>
      </c>
      <c r="D422" t="s">
        <v>386</v>
      </c>
      <c r="E422" t="s">
        <v>247</v>
      </c>
      <c r="F422" t="s">
        <v>24</v>
      </c>
      <c r="G422" t="s">
        <v>25</v>
      </c>
      <c r="H422" t="str">
        <f t="shared" si="12"/>
        <v xml:space="preserve">GABRIELA BORGES | Recorrência:4/6 | Observações: </v>
      </c>
      <c r="I422" t="s">
        <v>26</v>
      </c>
      <c r="J422" s="4">
        <v>3300</v>
      </c>
      <c r="K422" s="4">
        <v>471748.87</v>
      </c>
      <c r="L422" t="s">
        <v>27</v>
      </c>
      <c r="M422" s="4">
        <v>3300</v>
      </c>
      <c r="N422" s="3">
        <v>0</v>
      </c>
      <c r="O422" t="s">
        <v>882</v>
      </c>
      <c r="P422" t="s">
        <v>857</v>
      </c>
      <c r="Q422" t="s">
        <v>882</v>
      </c>
      <c r="R422" t="str">
        <f t="shared" si="13"/>
        <v>Sim</v>
      </c>
      <c r="S422" t="s">
        <v>882</v>
      </c>
      <c r="T422" t="s">
        <v>30</v>
      </c>
      <c r="U422" t="s">
        <v>274</v>
      </c>
      <c r="V422" s="3">
        <v>3300</v>
      </c>
    </row>
    <row r="423" spans="1:24" s="2" customFormat="1" x14ac:dyDescent="0.2">
      <c r="A423">
        <v>423</v>
      </c>
      <c r="B423" t="s">
        <v>71</v>
      </c>
      <c r="C423" t="s">
        <v>72</v>
      </c>
      <c r="D423" t="s">
        <v>325</v>
      </c>
      <c r="E423" t="s">
        <v>199</v>
      </c>
      <c r="F423" t="s">
        <v>24</v>
      </c>
      <c r="G423" t="s">
        <v>25</v>
      </c>
      <c r="H423" t="str">
        <f t="shared" si="12"/>
        <v xml:space="preserve">VIA MADEIRA (HAEHLING) | Recorrência:3/5 | Observações: </v>
      </c>
      <c r="I423" t="s">
        <v>26</v>
      </c>
      <c r="J423" s="4">
        <v>330</v>
      </c>
      <c r="K423" s="4">
        <v>472078.87</v>
      </c>
      <c r="L423" t="s">
        <v>27</v>
      </c>
      <c r="M423" s="4">
        <v>330</v>
      </c>
      <c r="N423" s="3">
        <v>0</v>
      </c>
      <c r="O423" t="s">
        <v>880</v>
      </c>
      <c r="P423" t="s">
        <v>777</v>
      </c>
      <c r="Q423" t="s">
        <v>883</v>
      </c>
      <c r="R423" t="str">
        <f t="shared" si="13"/>
        <v>Sim</v>
      </c>
      <c r="S423" t="s">
        <v>883</v>
      </c>
      <c r="T423" t="s">
        <v>30</v>
      </c>
      <c r="U423" t="s">
        <v>49</v>
      </c>
      <c r="V423" s="3">
        <v>330</v>
      </c>
      <c r="W423" t="s">
        <v>49</v>
      </c>
      <c r="X423" s="3">
        <v>330</v>
      </c>
    </row>
    <row r="424" spans="1:24" s="2" customFormat="1" x14ac:dyDescent="0.2">
      <c r="A424" s="2">
        <v>424</v>
      </c>
      <c r="B424"/>
      <c r="C424" t="s">
        <v>792</v>
      </c>
      <c r="D424" t="s">
        <v>824</v>
      </c>
      <c r="E424" t="s">
        <v>34</v>
      </c>
      <c r="F424" t="s">
        <v>24</v>
      </c>
      <c r="G424" t="s">
        <v>25</v>
      </c>
      <c r="H424" t="str">
        <f t="shared" si="12"/>
        <v xml:space="preserve">MN ARQUITETURA_MARCIO MUNHOZ | Recorrência:2/4 | Observações: </v>
      </c>
      <c r="I424" t="s">
        <v>26</v>
      </c>
      <c r="J424" s="4">
        <v>5396.38</v>
      </c>
      <c r="K424" s="4">
        <v>477475.25</v>
      </c>
      <c r="L424" t="s">
        <v>27</v>
      </c>
      <c r="M424" s="4">
        <v>5396.38</v>
      </c>
      <c r="N424" s="3">
        <v>0</v>
      </c>
      <c r="O424" t="s">
        <v>880</v>
      </c>
      <c r="P424" t="s">
        <v>852</v>
      </c>
      <c r="Q424" t="s">
        <v>869</v>
      </c>
      <c r="R424" t="str">
        <f t="shared" si="13"/>
        <v>Sim</v>
      </c>
      <c r="S424" t="s">
        <v>869</v>
      </c>
      <c r="T424" t="s">
        <v>30</v>
      </c>
      <c r="U424" t="s">
        <v>825</v>
      </c>
      <c r="V424" s="3">
        <v>5396.38</v>
      </c>
      <c r="W424" t="s">
        <v>825</v>
      </c>
      <c r="X424" s="3">
        <v>5396.38</v>
      </c>
    </row>
    <row r="425" spans="1:24" s="2" customFormat="1" x14ac:dyDescent="0.2">
      <c r="A425">
        <v>425</v>
      </c>
      <c r="B425"/>
      <c r="C425" t="s">
        <v>418</v>
      </c>
      <c r="D425" t="s">
        <v>261</v>
      </c>
      <c r="E425" t="s">
        <v>30</v>
      </c>
      <c r="F425" t="s">
        <v>24</v>
      </c>
      <c r="G425" t="s">
        <v>25</v>
      </c>
      <c r="H425" t="str">
        <f t="shared" si="12"/>
        <v>BRENTWOOD (Alameda Moveis Dec) | Recorrência: | Observações: pedidos V5077355 e  V5077358</v>
      </c>
      <c r="I425" t="s">
        <v>26</v>
      </c>
      <c r="J425" s="4">
        <v>3164.62</v>
      </c>
      <c r="K425" s="4">
        <v>480639.87</v>
      </c>
      <c r="L425" t="s">
        <v>27</v>
      </c>
      <c r="M425" s="4">
        <v>3164.62</v>
      </c>
      <c r="N425" s="3">
        <v>0</v>
      </c>
      <c r="O425" t="s">
        <v>880</v>
      </c>
      <c r="P425" t="s">
        <v>812</v>
      </c>
      <c r="Q425" t="s">
        <v>848</v>
      </c>
      <c r="R425" t="str">
        <f t="shared" si="13"/>
        <v>Sim</v>
      </c>
      <c r="S425" t="s">
        <v>848</v>
      </c>
      <c r="T425" t="s">
        <v>884</v>
      </c>
      <c r="U425" t="s">
        <v>49</v>
      </c>
      <c r="V425" s="3">
        <v>3164.62</v>
      </c>
      <c r="W425" t="s">
        <v>49</v>
      </c>
      <c r="X425" s="3">
        <v>3164.62</v>
      </c>
    </row>
    <row r="426" spans="1:24" s="2" customFormat="1" x14ac:dyDescent="0.2">
      <c r="A426" s="2">
        <v>426</v>
      </c>
      <c r="B426"/>
      <c r="C426" t="s">
        <v>792</v>
      </c>
      <c r="D426" t="s">
        <v>325</v>
      </c>
      <c r="E426" t="s">
        <v>67</v>
      </c>
      <c r="F426" t="s">
        <v>24</v>
      </c>
      <c r="G426" t="s">
        <v>25</v>
      </c>
      <c r="H426" t="str">
        <f t="shared" si="12"/>
        <v>VIA MADEIRA (HAEHLING) | Recorrência:1/2 | Observações: Deposito 449 (Gapaz x Supreme)</v>
      </c>
      <c r="I426" t="s">
        <v>26</v>
      </c>
      <c r="J426" s="4">
        <v>119</v>
      </c>
      <c r="K426" s="4">
        <v>480758.87</v>
      </c>
      <c r="L426" t="s">
        <v>27</v>
      </c>
      <c r="M426" s="4">
        <v>119</v>
      </c>
      <c r="N426" s="3">
        <v>0</v>
      </c>
      <c r="O426" t="s">
        <v>880</v>
      </c>
      <c r="P426" t="s">
        <v>848</v>
      </c>
      <c r="Q426" t="s">
        <v>862</v>
      </c>
      <c r="R426" t="str">
        <f t="shared" si="13"/>
        <v>Sim</v>
      </c>
      <c r="S426" t="s">
        <v>862</v>
      </c>
      <c r="T426" t="s">
        <v>885</v>
      </c>
      <c r="U426" t="s">
        <v>49</v>
      </c>
      <c r="V426" s="3">
        <v>119</v>
      </c>
      <c r="W426" t="s">
        <v>49</v>
      </c>
      <c r="X426" s="3">
        <v>119</v>
      </c>
    </row>
    <row r="427" spans="1:24" s="2" customFormat="1" x14ac:dyDescent="0.2">
      <c r="A427">
        <v>427</v>
      </c>
      <c r="B427"/>
      <c r="C427" t="s">
        <v>258</v>
      </c>
      <c r="D427" t="s">
        <v>258</v>
      </c>
      <c r="E427" t="s">
        <v>41</v>
      </c>
      <c r="F427" t="s">
        <v>24</v>
      </c>
      <c r="G427" t="s">
        <v>25</v>
      </c>
      <c r="H427" t="str">
        <f t="shared" si="12"/>
        <v>MANUELA REZENDE DE CARVALHO | Recorrência:3/4 | Observações: 01 DE 04</v>
      </c>
      <c r="I427" t="s">
        <v>26</v>
      </c>
      <c r="J427" s="4">
        <v>2500</v>
      </c>
      <c r="K427" s="4">
        <v>483258.87</v>
      </c>
      <c r="L427" t="s">
        <v>27</v>
      </c>
      <c r="M427" s="4">
        <v>2500</v>
      </c>
      <c r="N427" s="3">
        <v>0</v>
      </c>
      <c r="O427" t="s">
        <v>886</v>
      </c>
      <c r="P427" t="s">
        <v>460</v>
      </c>
      <c r="Q427" t="s">
        <v>718</v>
      </c>
      <c r="R427" t="str">
        <f t="shared" si="13"/>
        <v>Sim</v>
      </c>
      <c r="S427" t="s">
        <v>718</v>
      </c>
      <c r="T427" t="s">
        <v>887</v>
      </c>
      <c r="U427" t="s">
        <v>146</v>
      </c>
      <c r="V427" s="3">
        <v>2500</v>
      </c>
      <c r="W427" t="s">
        <v>166</v>
      </c>
      <c r="X427" s="3">
        <v>2500</v>
      </c>
    </row>
    <row r="428" spans="1:24" s="2" customFormat="1" x14ac:dyDescent="0.2">
      <c r="A428" s="2">
        <v>428</v>
      </c>
      <c r="B428"/>
      <c r="C428" t="s">
        <v>258</v>
      </c>
      <c r="D428" t="s">
        <v>258</v>
      </c>
      <c r="E428" t="s">
        <v>465</v>
      </c>
      <c r="F428" t="s">
        <v>24</v>
      </c>
      <c r="G428" t="s">
        <v>25</v>
      </c>
      <c r="H428" t="str">
        <f t="shared" si="12"/>
        <v xml:space="preserve">MANUELA REZENDE DE CARVALHO | Recorrência:4/4 | Observações: </v>
      </c>
      <c r="I428" t="s">
        <v>26</v>
      </c>
      <c r="J428" s="4">
        <v>2500</v>
      </c>
      <c r="K428" s="4">
        <v>485758.87</v>
      </c>
      <c r="L428" t="s">
        <v>27</v>
      </c>
      <c r="M428" s="4">
        <v>2500</v>
      </c>
      <c r="N428" s="3">
        <v>0</v>
      </c>
      <c r="O428" t="s">
        <v>886</v>
      </c>
      <c r="P428" t="s">
        <v>551</v>
      </c>
      <c r="Q428" t="s">
        <v>776</v>
      </c>
      <c r="R428" t="str">
        <f t="shared" si="13"/>
        <v>Sim</v>
      </c>
      <c r="S428" t="s">
        <v>776</v>
      </c>
      <c r="T428" t="s">
        <v>30</v>
      </c>
      <c r="U428" t="s">
        <v>146</v>
      </c>
      <c r="V428" s="3">
        <v>2500</v>
      </c>
      <c r="W428" t="s">
        <v>166</v>
      </c>
      <c r="X428" s="3">
        <v>2500</v>
      </c>
    </row>
    <row r="429" spans="1:24" s="2" customFormat="1" x14ac:dyDescent="0.2">
      <c r="A429">
        <v>429</v>
      </c>
      <c r="B429"/>
      <c r="C429" t="s">
        <v>258</v>
      </c>
      <c r="D429" t="s">
        <v>888</v>
      </c>
      <c r="E429" t="s">
        <v>30</v>
      </c>
      <c r="F429" t="s">
        <v>24</v>
      </c>
      <c r="G429" t="s">
        <v>25</v>
      </c>
      <c r="H429" t="str">
        <f t="shared" si="12"/>
        <v xml:space="preserve">ARTEC SERVIÇOS DE ENGENHARIA  | Recorrência: | Observações: 5% RT - PGTO FINAL DA OBRA </v>
      </c>
      <c r="I429" t="s">
        <v>26</v>
      </c>
      <c r="J429" s="4">
        <v>2278.1999999999998</v>
      </c>
      <c r="K429" s="4">
        <v>488037.07</v>
      </c>
      <c r="L429" t="s">
        <v>27</v>
      </c>
      <c r="M429" s="4">
        <v>2278.1999999999998</v>
      </c>
      <c r="N429" s="3">
        <v>0</v>
      </c>
      <c r="O429" t="s">
        <v>886</v>
      </c>
      <c r="P429" t="s">
        <v>438</v>
      </c>
      <c r="Q429" t="s">
        <v>862</v>
      </c>
      <c r="R429" t="str">
        <f t="shared" si="13"/>
        <v>Sim</v>
      </c>
      <c r="S429" t="s">
        <v>862</v>
      </c>
      <c r="T429" t="s">
        <v>889</v>
      </c>
      <c r="U429" t="s">
        <v>49</v>
      </c>
      <c r="V429" s="3">
        <v>2278.1999999999998</v>
      </c>
      <c r="W429" t="s">
        <v>49</v>
      </c>
      <c r="X429" s="3">
        <v>2278.1999999999998</v>
      </c>
    </row>
    <row r="430" spans="1:24" s="2" customFormat="1" x14ac:dyDescent="0.2">
      <c r="A430" s="2">
        <v>430</v>
      </c>
      <c r="B430"/>
      <c r="C430" t="s">
        <v>792</v>
      </c>
      <c r="D430" t="s">
        <v>349</v>
      </c>
      <c r="E430" t="s">
        <v>30</v>
      </c>
      <c r="F430" t="s">
        <v>24</v>
      </c>
      <c r="G430" t="s">
        <v>25</v>
      </c>
      <c r="H430" t="str">
        <f t="shared" si="12"/>
        <v xml:space="preserve">ORUY (KAWÁ IND E COMERCIO) | Recorrência: | Observações: </v>
      </c>
      <c r="I430" t="s">
        <v>26</v>
      </c>
      <c r="J430" s="4">
        <v>96.36</v>
      </c>
      <c r="K430" s="4">
        <v>488133.43</v>
      </c>
      <c r="L430" t="s">
        <v>27</v>
      </c>
      <c r="M430" s="4">
        <v>96.36</v>
      </c>
      <c r="N430" s="3">
        <v>0</v>
      </c>
      <c r="O430" t="s">
        <v>857</v>
      </c>
      <c r="P430" t="s">
        <v>865</v>
      </c>
      <c r="Q430" t="s">
        <v>862</v>
      </c>
      <c r="R430" t="str">
        <f t="shared" si="13"/>
        <v>Sim</v>
      </c>
      <c r="S430" t="s">
        <v>862</v>
      </c>
      <c r="T430" t="s">
        <v>30</v>
      </c>
      <c r="U430" t="s">
        <v>49</v>
      </c>
      <c r="V430" s="3">
        <v>96.36</v>
      </c>
      <c r="W430" t="s">
        <v>49</v>
      </c>
      <c r="X430" s="3">
        <v>96.36</v>
      </c>
    </row>
    <row r="431" spans="1:24" s="2" customFormat="1" x14ac:dyDescent="0.2">
      <c r="A431">
        <v>431</v>
      </c>
      <c r="B431"/>
      <c r="C431" t="s">
        <v>297</v>
      </c>
      <c r="D431" t="s">
        <v>715</v>
      </c>
      <c r="E431" t="s">
        <v>518</v>
      </c>
      <c r="F431" t="s">
        <v>63</v>
      </c>
      <c r="G431" t="s">
        <v>25</v>
      </c>
      <c r="H431" t="str">
        <f t="shared" si="12"/>
        <v xml:space="preserve">DARF PREVIDENCIARIO (ANTIGO GPS) | Recorrência:4/12 | Observações: valor poderá ser alterado </v>
      </c>
      <c r="I431" t="s">
        <v>755</v>
      </c>
      <c r="J431" s="5">
        <v>-34.33</v>
      </c>
      <c r="K431" s="4">
        <v>488133.43</v>
      </c>
      <c r="L431" t="s">
        <v>756</v>
      </c>
      <c r="M431" s="5">
        <v>-1335.04</v>
      </c>
      <c r="N431" s="3">
        <v>0</v>
      </c>
      <c r="O431" t="s">
        <v>857</v>
      </c>
      <c r="P431" t="s">
        <v>864</v>
      </c>
      <c r="Q431" t="s">
        <v>857</v>
      </c>
      <c r="R431" t="str">
        <f t="shared" si="13"/>
        <v>Sim</v>
      </c>
      <c r="S431" t="s">
        <v>857</v>
      </c>
      <c r="T431" t="s">
        <v>717</v>
      </c>
      <c r="U431" t="s">
        <v>677</v>
      </c>
      <c r="V431" s="3">
        <v>-34.33</v>
      </c>
      <c r="W431" t="s">
        <v>376</v>
      </c>
      <c r="X431" s="3">
        <v>-34.33</v>
      </c>
    </row>
    <row r="432" spans="1:24" s="2" customFormat="1" x14ac:dyDescent="0.2">
      <c r="A432" s="2">
        <v>432</v>
      </c>
      <c r="B432"/>
      <c r="C432" t="s">
        <v>891</v>
      </c>
      <c r="D432" t="s">
        <v>758</v>
      </c>
      <c r="E432" t="s">
        <v>148</v>
      </c>
      <c r="F432" t="s">
        <v>24</v>
      </c>
      <c r="G432" t="s">
        <v>25</v>
      </c>
      <c r="H432" t="str">
        <f t="shared" si="12"/>
        <v xml:space="preserve">ELIAS_MARCENEIRO | Recorrência:3/3 | Observações: </v>
      </c>
      <c r="I432" t="s">
        <v>26</v>
      </c>
      <c r="J432" s="4">
        <v>1070</v>
      </c>
      <c r="K432" s="4">
        <v>489203.43</v>
      </c>
      <c r="L432" t="s">
        <v>27</v>
      </c>
      <c r="M432" s="4">
        <v>1070</v>
      </c>
      <c r="N432" s="3">
        <v>0</v>
      </c>
      <c r="O432" t="s">
        <v>890</v>
      </c>
      <c r="P432" t="s">
        <v>880</v>
      </c>
      <c r="Q432" t="s">
        <v>890</v>
      </c>
      <c r="R432" t="str">
        <f t="shared" si="13"/>
        <v>Sim</v>
      </c>
      <c r="S432" t="s">
        <v>890</v>
      </c>
      <c r="T432" t="s">
        <v>30</v>
      </c>
      <c r="U432" t="s">
        <v>49</v>
      </c>
      <c r="V432" s="3">
        <v>1070</v>
      </c>
      <c r="W432" t="s">
        <v>49</v>
      </c>
      <c r="X432" s="3">
        <v>1070</v>
      </c>
    </row>
    <row r="433" spans="1:24" s="2" customFormat="1" x14ac:dyDescent="0.2">
      <c r="A433">
        <v>433</v>
      </c>
      <c r="B433"/>
      <c r="C433" t="s">
        <v>817</v>
      </c>
      <c r="D433" t="s">
        <v>758</v>
      </c>
      <c r="E433" t="s">
        <v>73</v>
      </c>
      <c r="F433" t="s">
        <v>24</v>
      </c>
      <c r="G433" t="s">
        <v>25</v>
      </c>
      <c r="H433" t="str">
        <f t="shared" si="12"/>
        <v>ELIAS_MARCENEIRO | Recorrência:1/5 | Observações: PEDIDO PARCELADO EM 5X</v>
      </c>
      <c r="I433" t="s">
        <v>26</v>
      </c>
      <c r="J433" s="4">
        <v>1240</v>
      </c>
      <c r="K433" s="4">
        <v>490443.43</v>
      </c>
      <c r="L433" t="s">
        <v>27</v>
      </c>
      <c r="M433" s="4">
        <v>1240</v>
      </c>
      <c r="N433" s="3">
        <v>0</v>
      </c>
      <c r="O433" t="s">
        <v>892</v>
      </c>
      <c r="P433" t="s">
        <v>857</v>
      </c>
      <c r="Q433" t="s">
        <v>892</v>
      </c>
      <c r="R433" t="str">
        <f t="shared" si="13"/>
        <v>Sim</v>
      </c>
      <c r="S433" t="s">
        <v>892</v>
      </c>
      <c r="T433" t="s">
        <v>893</v>
      </c>
      <c r="U433" t="s">
        <v>49</v>
      </c>
      <c r="V433" s="3">
        <v>1240</v>
      </c>
      <c r="W433" t="s">
        <v>494</v>
      </c>
      <c r="X433" s="3">
        <v>1240</v>
      </c>
    </row>
    <row r="434" spans="1:24" s="2" customFormat="1" x14ac:dyDescent="0.2">
      <c r="A434" s="2">
        <v>434</v>
      </c>
      <c r="B434"/>
      <c r="C434" t="s">
        <v>539</v>
      </c>
      <c r="D434" t="s">
        <v>226</v>
      </c>
      <c r="E434" t="s">
        <v>30</v>
      </c>
      <c r="F434" t="s">
        <v>24</v>
      </c>
      <c r="G434" t="s">
        <v>25</v>
      </c>
      <c r="H434" t="str">
        <f t="shared" si="12"/>
        <v xml:space="preserve">ESPAÇO REFORMAR (DMP REFORMAS ) | Recorrência: | Observações: </v>
      </c>
      <c r="I434" t="s">
        <v>26</v>
      </c>
      <c r="J434" s="4">
        <v>2258.4699999999998</v>
      </c>
      <c r="K434" s="4">
        <v>492701.9</v>
      </c>
      <c r="L434" t="s">
        <v>27</v>
      </c>
      <c r="M434" s="4">
        <v>2258.4699999999998</v>
      </c>
      <c r="N434" s="3">
        <v>0</v>
      </c>
      <c r="O434" t="s">
        <v>892</v>
      </c>
      <c r="P434" t="s">
        <v>654</v>
      </c>
      <c r="Q434" t="s">
        <v>743</v>
      </c>
      <c r="R434" t="str">
        <f t="shared" si="13"/>
        <v>Sim</v>
      </c>
      <c r="S434" t="s">
        <v>743</v>
      </c>
      <c r="T434" t="s">
        <v>30</v>
      </c>
      <c r="U434" t="s">
        <v>49</v>
      </c>
      <c r="V434" s="3">
        <v>2258.4699999999998</v>
      </c>
      <c r="W434" t="s">
        <v>494</v>
      </c>
      <c r="X434" s="3">
        <v>2258.4699999999998</v>
      </c>
    </row>
    <row r="435" spans="1:24" s="2" customFormat="1" x14ac:dyDescent="0.2">
      <c r="A435">
        <v>435</v>
      </c>
      <c r="B435"/>
      <c r="C435" t="s">
        <v>153</v>
      </c>
      <c r="D435" t="s">
        <v>838</v>
      </c>
      <c r="E435" t="s">
        <v>894</v>
      </c>
      <c r="F435" t="s">
        <v>63</v>
      </c>
      <c r="G435" t="s">
        <v>25</v>
      </c>
      <c r="H435" t="str">
        <f t="shared" si="12"/>
        <v xml:space="preserve">CARTÃO DE CREDITO_ FINAL 5507 | Recorrência:3/10 | Observações: </v>
      </c>
      <c r="I435" t="s">
        <v>26</v>
      </c>
      <c r="J435" s="5">
        <v>-995.29</v>
      </c>
      <c r="K435" s="4">
        <v>492701.9</v>
      </c>
      <c r="L435" t="s">
        <v>756</v>
      </c>
      <c r="M435" s="5">
        <v>-995.29</v>
      </c>
      <c r="N435" s="3">
        <v>0</v>
      </c>
      <c r="O435" t="s">
        <v>892</v>
      </c>
      <c r="P435" t="s">
        <v>892</v>
      </c>
      <c r="Q435" t="s">
        <v>892</v>
      </c>
      <c r="R435" t="str">
        <f t="shared" si="13"/>
        <v>Sim</v>
      </c>
      <c r="S435" t="s">
        <v>892</v>
      </c>
      <c r="T435" t="s">
        <v>30</v>
      </c>
      <c r="U435" t="s">
        <v>764</v>
      </c>
      <c r="V435" s="3">
        <v>-995.29</v>
      </c>
      <c r="W435" t="s">
        <v>158</v>
      </c>
      <c r="X435" s="3">
        <v>-995.29</v>
      </c>
    </row>
    <row r="436" spans="1:24" s="2" customFormat="1" x14ac:dyDescent="0.2">
      <c r="A436" s="2">
        <v>436</v>
      </c>
      <c r="B436"/>
      <c r="C436" t="s">
        <v>297</v>
      </c>
      <c r="D436" t="s">
        <v>481</v>
      </c>
      <c r="E436" t="s">
        <v>398</v>
      </c>
      <c r="F436" t="s">
        <v>63</v>
      </c>
      <c r="G436" t="s">
        <v>25</v>
      </c>
      <c r="H436" t="str">
        <f t="shared" si="12"/>
        <v>DARF_COFINS | Recorrência:2/12 | Observações: APURAÇÃO março 2022</v>
      </c>
      <c r="I436" t="s">
        <v>26</v>
      </c>
      <c r="J436" s="5">
        <v>-173.86</v>
      </c>
      <c r="K436" s="4">
        <v>492528.04</v>
      </c>
      <c r="L436" t="s">
        <v>27</v>
      </c>
      <c r="M436" s="5">
        <v>-173.86</v>
      </c>
      <c r="N436" s="3">
        <v>0</v>
      </c>
      <c r="O436" t="s">
        <v>883</v>
      </c>
      <c r="P436" t="s">
        <v>790</v>
      </c>
      <c r="Q436" t="s">
        <v>883</v>
      </c>
      <c r="R436" t="str">
        <f t="shared" si="13"/>
        <v>Sim</v>
      </c>
      <c r="S436" t="s">
        <v>883</v>
      </c>
      <c r="T436" t="s">
        <v>895</v>
      </c>
      <c r="U436" t="s">
        <v>483</v>
      </c>
      <c r="V436" s="3">
        <v>-173.86</v>
      </c>
      <c r="W436" t="s">
        <v>190</v>
      </c>
      <c r="X436" s="3">
        <v>-173.86</v>
      </c>
    </row>
    <row r="437" spans="1:24" s="2" customFormat="1" x14ac:dyDescent="0.2">
      <c r="A437">
        <v>437</v>
      </c>
      <c r="B437"/>
      <c r="C437" t="s">
        <v>297</v>
      </c>
      <c r="D437" t="s">
        <v>684</v>
      </c>
      <c r="E437" t="s">
        <v>471</v>
      </c>
      <c r="F437" t="s">
        <v>63</v>
      </c>
      <c r="G437" t="s">
        <v>25</v>
      </c>
      <c r="H437" t="str">
        <f t="shared" si="12"/>
        <v xml:space="preserve">DARF_ PIS | Recorrência:3/12 | Observações: </v>
      </c>
      <c r="I437" t="s">
        <v>26</v>
      </c>
      <c r="J437" s="5">
        <v>-37.69</v>
      </c>
      <c r="K437" s="4">
        <v>492490.35</v>
      </c>
      <c r="L437" t="s">
        <v>27</v>
      </c>
      <c r="M437" s="5">
        <v>-37.69</v>
      </c>
      <c r="N437" s="3">
        <v>0</v>
      </c>
      <c r="O437" t="s">
        <v>883</v>
      </c>
      <c r="P437" t="s">
        <v>790</v>
      </c>
      <c r="Q437" t="s">
        <v>883</v>
      </c>
      <c r="R437" t="str">
        <f t="shared" si="13"/>
        <v>Sim</v>
      </c>
      <c r="S437" t="s">
        <v>883</v>
      </c>
      <c r="T437" t="s">
        <v>30</v>
      </c>
      <c r="U437" t="s">
        <v>483</v>
      </c>
      <c r="V437" s="3">
        <v>-37.69</v>
      </c>
      <c r="W437" t="s">
        <v>376</v>
      </c>
      <c r="X437" s="3">
        <v>-37.69</v>
      </c>
    </row>
    <row r="438" spans="1:24" s="2" customFormat="1" x14ac:dyDescent="0.2">
      <c r="A438" s="2">
        <v>438</v>
      </c>
      <c r="B438"/>
      <c r="C438" t="s">
        <v>304</v>
      </c>
      <c r="D438" t="s">
        <v>85</v>
      </c>
      <c r="E438" t="s">
        <v>38</v>
      </c>
      <c r="F438" t="s">
        <v>24</v>
      </c>
      <c r="G438" t="s">
        <v>25</v>
      </c>
      <c r="H438" t="str">
        <f t="shared" si="12"/>
        <v>JULIANA COVINO E THIAGO | Recorrência:1/3 | Observações: Exclusão marcenaria &gt; diminuindo valor gerenciamento</v>
      </c>
      <c r="I438" t="s">
        <v>26</v>
      </c>
      <c r="J438" s="4">
        <v>3000</v>
      </c>
      <c r="K438" s="4">
        <v>495490.35</v>
      </c>
      <c r="L438" t="s">
        <v>27</v>
      </c>
      <c r="M438" s="4">
        <v>3000</v>
      </c>
      <c r="N438" s="3">
        <v>0</v>
      </c>
      <c r="O438" t="s">
        <v>883</v>
      </c>
      <c r="P438" t="s">
        <v>534</v>
      </c>
      <c r="Q438" t="s">
        <v>883</v>
      </c>
      <c r="R438" t="str">
        <f t="shared" si="13"/>
        <v>Sim</v>
      </c>
      <c r="S438" t="s">
        <v>883</v>
      </c>
      <c r="T438" t="s">
        <v>896</v>
      </c>
      <c r="U438" t="s">
        <v>274</v>
      </c>
      <c r="V438" s="3">
        <v>3000</v>
      </c>
      <c r="W438" t="s">
        <v>166</v>
      </c>
      <c r="X438" s="3">
        <v>3000</v>
      </c>
    </row>
    <row r="439" spans="1:24" s="2" customFormat="1" x14ac:dyDescent="0.2">
      <c r="A439">
        <v>439</v>
      </c>
      <c r="B439"/>
      <c r="C439" t="s">
        <v>304</v>
      </c>
      <c r="D439" t="s">
        <v>85</v>
      </c>
      <c r="E439" t="s">
        <v>195</v>
      </c>
      <c r="F439" t="s">
        <v>24</v>
      </c>
      <c r="G439" t="s">
        <v>25</v>
      </c>
      <c r="H439" t="str">
        <f t="shared" si="12"/>
        <v>JULIANA COVINO E THIAGO | Recorrência:2/3 | Observações: Exclusão marcenaria &gt; diminuindo valor gerenciamento</v>
      </c>
      <c r="I439" t="s">
        <v>26</v>
      </c>
      <c r="J439" s="4">
        <v>3000</v>
      </c>
      <c r="K439" s="4">
        <v>498490.35</v>
      </c>
      <c r="L439" t="s">
        <v>27</v>
      </c>
      <c r="M439" s="4">
        <v>3000</v>
      </c>
      <c r="N439" s="3">
        <v>0</v>
      </c>
      <c r="O439" t="s">
        <v>883</v>
      </c>
      <c r="P439" t="s">
        <v>602</v>
      </c>
      <c r="Q439" t="s">
        <v>897</v>
      </c>
      <c r="R439" t="str">
        <f t="shared" si="13"/>
        <v>Sim</v>
      </c>
      <c r="S439" t="s">
        <v>897</v>
      </c>
      <c r="T439" t="s">
        <v>896</v>
      </c>
      <c r="U439" t="s">
        <v>274</v>
      </c>
      <c r="V439" s="3">
        <v>3000</v>
      </c>
      <c r="W439" t="s">
        <v>166</v>
      </c>
      <c r="X439" s="3">
        <v>3000</v>
      </c>
    </row>
    <row r="440" spans="1:24" s="2" customFormat="1" x14ac:dyDescent="0.2">
      <c r="A440" s="2">
        <v>440</v>
      </c>
      <c r="B440"/>
      <c r="C440" t="s">
        <v>304</v>
      </c>
      <c r="D440" t="s">
        <v>85</v>
      </c>
      <c r="E440" t="s">
        <v>148</v>
      </c>
      <c r="F440" t="s">
        <v>24</v>
      </c>
      <c r="G440" t="s">
        <v>25</v>
      </c>
      <c r="H440" t="str">
        <f t="shared" si="12"/>
        <v>JULIANA COVINO E THIAGO | Recorrência:3/3 | Observações: Exclusão marcenaria &gt; diminuindo valor gerenciamento</v>
      </c>
      <c r="I440" t="s">
        <v>26</v>
      </c>
      <c r="J440" s="4">
        <v>3000</v>
      </c>
      <c r="K440" s="4">
        <v>501490.35</v>
      </c>
      <c r="L440" t="s">
        <v>27</v>
      </c>
      <c r="M440" s="4">
        <v>3000</v>
      </c>
      <c r="N440" s="3">
        <v>0</v>
      </c>
      <c r="O440" t="s">
        <v>883</v>
      </c>
      <c r="P440" t="s">
        <v>609</v>
      </c>
      <c r="Q440" t="s">
        <v>898</v>
      </c>
      <c r="R440" t="str">
        <f t="shared" si="13"/>
        <v>Sim</v>
      </c>
      <c r="S440" t="s">
        <v>898</v>
      </c>
      <c r="T440" t="s">
        <v>896</v>
      </c>
      <c r="U440" t="s">
        <v>274</v>
      </c>
      <c r="V440" s="3">
        <v>3000</v>
      </c>
      <c r="W440" t="s">
        <v>166</v>
      </c>
      <c r="X440" s="3">
        <v>3000</v>
      </c>
    </row>
    <row r="441" spans="1:24" s="2" customFormat="1" x14ac:dyDescent="0.2">
      <c r="A441">
        <v>441</v>
      </c>
      <c r="B441"/>
      <c r="C441" t="s">
        <v>418</v>
      </c>
      <c r="D441" t="s">
        <v>900</v>
      </c>
      <c r="E441" t="s">
        <v>30</v>
      </c>
      <c r="F441" t="s">
        <v>24</v>
      </c>
      <c r="G441" t="s">
        <v>25</v>
      </c>
      <c r="H441" t="str">
        <f t="shared" si="12"/>
        <v xml:space="preserve">ARTACHOS DECORAÇÕES (Com. Tapeçaria e Colchões Artachos) | Recorrência: | Observações: </v>
      </c>
      <c r="I441" t="s">
        <v>26</v>
      </c>
      <c r="J441" s="4">
        <v>536.5</v>
      </c>
      <c r="K441" s="4">
        <v>502026.85</v>
      </c>
      <c r="L441" t="s">
        <v>27</v>
      </c>
      <c r="M441" s="4">
        <v>536.5</v>
      </c>
      <c r="N441" s="3">
        <v>0</v>
      </c>
      <c r="O441" t="s">
        <v>899</v>
      </c>
      <c r="P441" t="s">
        <v>522</v>
      </c>
      <c r="Q441" t="s">
        <v>759</v>
      </c>
      <c r="R441" t="str">
        <f t="shared" si="13"/>
        <v>Sim</v>
      </c>
      <c r="S441" t="s">
        <v>759</v>
      </c>
      <c r="T441" t="s">
        <v>30</v>
      </c>
      <c r="U441" t="s">
        <v>49</v>
      </c>
      <c r="V441" s="3">
        <v>536.5</v>
      </c>
      <c r="W441" t="s">
        <v>49</v>
      </c>
      <c r="X441" s="3">
        <v>536.5</v>
      </c>
    </row>
    <row r="442" spans="1:24" s="2" customFormat="1" x14ac:dyDescent="0.2">
      <c r="A442" s="2">
        <v>442</v>
      </c>
      <c r="B442"/>
      <c r="C442" t="s">
        <v>297</v>
      </c>
      <c r="D442" t="s">
        <v>902</v>
      </c>
      <c r="E442" t="s">
        <v>398</v>
      </c>
      <c r="F442" t="s">
        <v>63</v>
      </c>
      <c r="G442" t="s">
        <v>25</v>
      </c>
      <c r="H442" t="str">
        <f t="shared" si="12"/>
        <v>DARF_IRPJ_trimestral  | Recorrência:2/12 | Observações: trimestral</v>
      </c>
      <c r="I442" t="s">
        <v>26</v>
      </c>
      <c r="J442" s="5">
        <v>-2334.54</v>
      </c>
      <c r="K442" s="4">
        <v>499692.31</v>
      </c>
      <c r="L442" t="s">
        <v>27</v>
      </c>
      <c r="M442" s="5">
        <v>-2334.54</v>
      </c>
      <c r="N442" s="3">
        <v>0</v>
      </c>
      <c r="O442" t="s">
        <v>901</v>
      </c>
      <c r="P442" t="s">
        <v>790</v>
      </c>
      <c r="Q442" t="s">
        <v>862</v>
      </c>
      <c r="R442" t="str">
        <f t="shared" si="13"/>
        <v>Sim</v>
      </c>
      <c r="S442" t="s">
        <v>862</v>
      </c>
      <c r="T442" t="s">
        <v>903</v>
      </c>
      <c r="U442" t="s">
        <v>280</v>
      </c>
      <c r="V442" s="3">
        <v>-2334.54</v>
      </c>
    </row>
    <row r="443" spans="1:24" s="2" customFormat="1" x14ac:dyDescent="0.2">
      <c r="A443">
        <v>443</v>
      </c>
      <c r="B443"/>
      <c r="C443" t="s">
        <v>297</v>
      </c>
      <c r="D443" t="s">
        <v>904</v>
      </c>
      <c r="E443" t="s">
        <v>34</v>
      </c>
      <c r="F443" t="s">
        <v>63</v>
      </c>
      <c r="G443" t="s">
        <v>25</v>
      </c>
      <c r="H443" t="str">
        <f t="shared" si="12"/>
        <v>DARF_CSLL_trimestral | Recorrência:2/4 | Observações: trimestral</v>
      </c>
      <c r="I443" t="s">
        <v>26</v>
      </c>
      <c r="J443" s="5">
        <v>-1432.83</v>
      </c>
      <c r="K443" s="4">
        <v>498259.48</v>
      </c>
      <c r="L443" t="s">
        <v>27</v>
      </c>
      <c r="M443" s="5">
        <v>-1432.83</v>
      </c>
      <c r="N443" s="3">
        <v>0</v>
      </c>
      <c r="O443" t="s">
        <v>901</v>
      </c>
      <c r="P443" t="s">
        <v>790</v>
      </c>
      <c r="Q443" t="s">
        <v>862</v>
      </c>
      <c r="R443" t="str">
        <f t="shared" si="13"/>
        <v>Sim</v>
      </c>
      <c r="S443" t="s">
        <v>862</v>
      </c>
      <c r="T443" t="s">
        <v>903</v>
      </c>
      <c r="U443" t="s">
        <v>728</v>
      </c>
      <c r="V443" s="3">
        <v>-1432.83</v>
      </c>
      <c r="W443" t="s">
        <v>376</v>
      </c>
      <c r="X443" s="3">
        <v>-1432.83</v>
      </c>
    </row>
    <row r="444" spans="1:24" s="2" customFormat="1" x14ac:dyDescent="0.2">
      <c r="A444" s="2">
        <v>444</v>
      </c>
      <c r="B444"/>
      <c r="C444" t="s">
        <v>153</v>
      </c>
      <c r="D444" t="s">
        <v>572</v>
      </c>
      <c r="E444" t="s">
        <v>634</v>
      </c>
      <c r="F444" t="s">
        <v>63</v>
      </c>
      <c r="G444" t="s">
        <v>25</v>
      </c>
      <c r="H444" t="str">
        <f t="shared" si="12"/>
        <v xml:space="preserve">SALARIO FELIPE | Recorrência:6/12 | Observações: </v>
      </c>
      <c r="I444" t="s">
        <v>26</v>
      </c>
      <c r="J444" s="5">
        <v>-994.7</v>
      </c>
      <c r="K444" s="4">
        <v>497264.78</v>
      </c>
      <c r="L444" t="s">
        <v>27</v>
      </c>
      <c r="M444" s="5">
        <v>-994.7</v>
      </c>
      <c r="N444" s="3">
        <v>0</v>
      </c>
      <c r="O444" t="s">
        <v>867</v>
      </c>
      <c r="P444" t="s">
        <v>852</v>
      </c>
      <c r="Q444" t="s">
        <v>867</v>
      </c>
      <c r="R444" t="str">
        <f t="shared" si="13"/>
        <v>Sim</v>
      </c>
      <c r="S444" t="s">
        <v>867</v>
      </c>
      <c r="T444" t="s">
        <v>30</v>
      </c>
      <c r="U444" t="s">
        <v>323</v>
      </c>
      <c r="V444" s="3">
        <v>-994.7</v>
      </c>
      <c r="W444" t="s">
        <v>324</v>
      </c>
      <c r="X444" s="3">
        <v>-994.7</v>
      </c>
    </row>
    <row r="445" spans="1:24" s="2" customFormat="1" x14ac:dyDescent="0.2">
      <c r="A445">
        <v>445</v>
      </c>
      <c r="B445"/>
      <c r="C445"/>
      <c r="D445" t="s">
        <v>905</v>
      </c>
      <c r="E445" t="s">
        <v>861</v>
      </c>
      <c r="F445" t="s">
        <v>63</v>
      </c>
      <c r="G445" t="s">
        <v>25</v>
      </c>
      <c r="H445" t="str">
        <f t="shared" si="12"/>
        <v xml:space="preserve">SALÁRIO JULYA | Recorrência:1/8 | Observações: </v>
      </c>
      <c r="I445" t="s">
        <v>26</v>
      </c>
      <c r="J445" s="5">
        <v>-3736.47</v>
      </c>
      <c r="K445" s="4">
        <v>493528.31</v>
      </c>
      <c r="L445" t="s">
        <v>27</v>
      </c>
      <c r="M445" s="5">
        <v>-3736.47</v>
      </c>
      <c r="N445" s="3">
        <v>0</v>
      </c>
      <c r="O445" t="s">
        <v>867</v>
      </c>
      <c r="P445" t="s">
        <v>867</v>
      </c>
      <c r="Q445" t="s">
        <v>867</v>
      </c>
      <c r="R445" t="str">
        <f t="shared" si="13"/>
        <v>Sim</v>
      </c>
      <c r="S445" t="s">
        <v>867</v>
      </c>
      <c r="T445" t="s">
        <v>30</v>
      </c>
      <c r="U445" t="s">
        <v>323</v>
      </c>
      <c r="V445" s="3">
        <v>-3736.47</v>
      </c>
    </row>
    <row r="446" spans="1:24" s="2" customFormat="1" x14ac:dyDescent="0.2">
      <c r="A446" s="2">
        <v>446</v>
      </c>
      <c r="B446"/>
      <c r="C446" t="s">
        <v>710</v>
      </c>
      <c r="D446" t="s">
        <v>711</v>
      </c>
      <c r="E446" t="s">
        <v>518</v>
      </c>
      <c r="F446" t="s">
        <v>63</v>
      </c>
      <c r="G446" t="s">
        <v>25</v>
      </c>
      <c r="H446" t="str">
        <f t="shared" si="12"/>
        <v>ELETROPAULO_ENERGIA _ITAIM | Recorrência:4/12 | Observações: REFERENTE :MARÇO E ABRIL</v>
      </c>
      <c r="I446" t="s">
        <v>26</v>
      </c>
      <c r="J446" s="5">
        <v>-1085.19</v>
      </c>
      <c r="K446" s="4">
        <v>492443.12</v>
      </c>
      <c r="L446" t="s">
        <v>27</v>
      </c>
      <c r="M446" s="5">
        <v>-1085.19</v>
      </c>
      <c r="N446" s="3">
        <v>0</v>
      </c>
      <c r="O446" t="s">
        <v>906</v>
      </c>
      <c r="P446" t="s">
        <v>821</v>
      </c>
      <c r="Q446" t="s">
        <v>906</v>
      </c>
      <c r="R446" t="str">
        <f t="shared" si="13"/>
        <v>Sim</v>
      </c>
      <c r="S446" t="s">
        <v>906</v>
      </c>
      <c r="T446" t="s">
        <v>907</v>
      </c>
      <c r="U446" t="s">
        <v>125</v>
      </c>
      <c r="V446" s="3">
        <v>-1085.19</v>
      </c>
      <c r="W446" t="s">
        <v>324</v>
      </c>
      <c r="X446" s="3">
        <v>-1085.19</v>
      </c>
    </row>
    <row r="447" spans="1:24" s="2" customFormat="1" x14ac:dyDescent="0.2">
      <c r="A447">
        <v>447</v>
      </c>
      <c r="B447"/>
      <c r="C447" t="s">
        <v>153</v>
      </c>
      <c r="D447" t="s">
        <v>630</v>
      </c>
      <c r="E447" t="s">
        <v>566</v>
      </c>
      <c r="F447" t="s">
        <v>63</v>
      </c>
      <c r="G447" t="s">
        <v>25</v>
      </c>
      <c r="H447" t="str">
        <f t="shared" si="12"/>
        <v xml:space="preserve">PRÓ-LABORE MAYARA | Recorrência:5/12 | Observações: </v>
      </c>
      <c r="I447" t="s">
        <v>26</v>
      </c>
      <c r="J447" s="5">
        <v>-15000</v>
      </c>
      <c r="K447" s="4">
        <v>477443.12</v>
      </c>
      <c r="L447" t="s">
        <v>27</v>
      </c>
      <c r="M447" s="5">
        <v>-15000</v>
      </c>
      <c r="N447" s="3">
        <v>0</v>
      </c>
      <c r="O447" t="s">
        <v>906</v>
      </c>
      <c r="P447" t="s">
        <v>836</v>
      </c>
      <c r="Q447" t="s">
        <v>908</v>
      </c>
      <c r="R447" t="str">
        <f t="shared" si="13"/>
        <v>Sim</v>
      </c>
      <c r="S447" t="s">
        <v>908</v>
      </c>
      <c r="T447" t="s">
        <v>30</v>
      </c>
      <c r="U447" t="s">
        <v>631</v>
      </c>
      <c r="V447" s="3">
        <v>-15000</v>
      </c>
      <c r="W447" t="s">
        <v>632</v>
      </c>
      <c r="X447" s="3">
        <v>-15000</v>
      </c>
    </row>
    <row r="448" spans="1:24" s="2" customFormat="1" x14ac:dyDescent="0.2">
      <c r="A448" s="2">
        <v>448</v>
      </c>
      <c r="B448"/>
      <c r="C448"/>
      <c r="D448" t="s">
        <v>633</v>
      </c>
      <c r="E448" t="s">
        <v>566</v>
      </c>
      <c r="F448" t="s">
        <v>63</v>
      </c>
      <c r="G448" t="s">
        <v>25</v>
      </c>
      <c r="H448" t="str">
        <f t="shared" si="12"/>
        <v xml:space="preserve">PRÓ-LABORE NATASHA | Recorrência:5/12 | Observações: </v>
      </c>
      <c r="I448" t="s">
        <v>26</v>
      </c>
      <c r="J448" s="5">
        <v>-15000</v>
      </c>
      <c r="K448" s="4">
        <v>462443.12</v>
      </c>
      <c r="L448" t="s">
        <v>27</v>
      </c>
      <c r="M448" s="5">
        <v>-15000</v>
      </c>
      <c r="N448" s="3">
        <v>0</v>
      </c>
      <c r="O448" t="s">
        <v>906</v>
      </c>
      <c r="P448" t="s">
        <v>852</v>
      </c>
      <c r="Q448" t="s">
        <v>908</v>
      </c>
      <c r="R448" t="str">
        <f t="shared" si="13"/>
        <v>Sim</v>
      </c>
      <c r="S448" t="s">
        <v>908</v>
      </c>
      <c r="T448" t="s">
        <v>30</v>
      </c>
      <c r="U448" t="s">
        <v>631</v>
      </c>
      <c r="V448" s="3">
        <v>-15000</v>
      </c>
    </row>
    <row r="449" spans="1:24" s="2" customFormat="1" x14ac:dyDescent="0.2">
      <c r="A449">
        <v>449</v>
      </c>
      <c r="B449"/>
      <c r="C449"/>
      <c r="D449" t="s">
        <v>151</v>
      </c>
      <c r="E449" t="s">
        <v>566</v>
      </c>
      <c r="F449" t="s">
        <v>63</v>
      </c>
      <c r="G449" t="s">
        <v>25</v>
      </c>
      <c r="H449" t="str">
        <f t="shared" si="12"/>
        <v xml:space="preserve">SODEXO - Eliane  | Recorrência:5/12 | Observações: </v>
      </c>
      <c r="I449" t="s">
        <v>26</v>
      </c>
      <c r="J449" s="5">
        <v>-594</v>
      </c>
      <c r="K449" s="4">
        <v>461849.12</v>
      </c>
      <c r="L449" t="s">
        <v>27</v>
      </c>
      <c r="M449" s="5">
        <v>-594</v>
      </c>
      <c r="N449" s="3">
        <v>0</v>
      </c>
      <c r="O449" t="s">
        <v>906</v>
      </c>
      <c r="P449" t="s">
        <v>857</v>
      </c>
      <c r="Q449" t="s">
        <v>909</v>
      </c>
      <c r="R449" t="str">
        <f t="shared" si="13"/>
        <v>Sim</v>
      </c>
      <c r="S449" t="s">
        <v>909</v>
      </c>
      <c r="T449" t="s">
        <v>30</v>
      </c>
      <c r="U449" t="s">
        <v>93</v>
      </c>
      <c r="V449" s="3">
        <v>-594</v>
      </c>
    </row>
    <row r="450" spans="1:24" s="2" customFormat="1" x14ac:dyDescent="0.2">
      <c r="A450" s="2">
        <v>450</v>
      </c>
      <c r="B450"/>
      <c r="C450" t="s">
        <v>153</v>
      </c>
      <c r="D450" t="s">
        <v>519</v>
      </c>
      <c r="E450" t="s">
        <v>910</v>
      </c>
      <c r="F450" t="s">
        <v>63</v>
      </c>
      <c r="G450" t="s">
        <v>25</v>
      </c>
      <c r="H450" t="str">
        <f t="shared" si="12"/>
        <v xml:space="preserve">SALÁRIO POLIANA  | Recorrência:10/12 | Observações: ESTAGIÁRIA </v>
      </c>
      <c r="I450" t="s">
        <v>26</v>
      </c>
      <c r="J450" s="5">
        <v>-1807.05</v>
      </c>
      <c r="K450" s="4">
        <v>460042.07</v>
      </c>
      <c r="L450" t="s">
        <v>27</v>
      </c>
      <c r="M450" s="5">
        <v>-1807.05</v>
      </c>
      <c r="N450" s="3">
        <v>0</v>
      </c>
      <c r="O450" t="s">
        <v>906</v>
      </c>
      <c r="P450" t="s">
        <v>777</v>
      </c>
      <c r="Q450" t="s">
        <v>908</v>
      </c>
      <c r="R450" t="str">
        <f t="shared" si="13"/>
        <v>Sim</v>
      </c>
      <c r="S450" t="s">
        <v>908</v>
      </c>
      <c r="T450" t="s">
        <v>322</v>
      </c>
      <c r="U450" t="s">
        <v>323</v>
      </c>
      <c r="V450" s="3">
        <v>-1807.05</v>
      </c>
      <c r="W450" t="s">
        <v>324</v>
      </c>
      <c r="X450" s="3">
        <v>-1807.05</v>
      </c>
    </row>
    <row r="451" spans="1:24" s="2" customFormat="1" x14ac:dyDescent="0.2">
      <c r="A451">
        <v>451</v>
      </c>
      <c r="B451"/>
      <c r="C451" t="s">
        <v>153</v>
      </c>
      <c r="D451" t="s">
        <v>635</v>
      </c>
      <c r="E451" t="s">
        <v>566</v>
      </c>
      <c r="F451" t="s">
        <v>63</v>
      </c>
      <c r="G451" t="s">
        <v>25</v>
      </c>
      <c r="H451" t="str">
        <f t="shared" ref="H451:H514" si="14">D451&amp;" | "&amp;$E$1&amp;E451&amp;" | Observações: "&amp;T451</f>
        <v xml:space="preserve">SALÁRIO HELOISA | Recorrência:5/12 | Observações: </v>
      </c>
      <c r="I451" t="s">
        <v>26</v>
      </c>
      <c r="J451" s="5">
        <v>-4198.2299999999996</v>
      </c>
      <c r="K451" s="4">
        <v>455843.84000000003</v>
      </c>
      <c r="L451" t="s">
        <v>27</v>
      </c>
      <c r="M451" s="5">
        <v>-4198.2299999999996</v>
      </c>
      <c r="N451" s="3">
        <v>0</v>
      </c>
      <c r="O451" t="s">
        <v>906</v>
      </c>
      <c r="P451" t="s">
        <v>854</v>
      </c>
      <c r="Q451" t="s">
        <v>908</v>
      </c>
      <c r="R451" t="str">
        <f t="shared" ref="R451:R514" si="15">IF(Q451=S451,"Sim","nao")</f>
        <v>Sim</v>
      </c>
      <c r="S451" t="s">
        <v>908</v>
      </c>
      <c r="T451" t="s">
        <v>30</v>
      </c>
      <c r="U451" t="s">
        <v>323</v>
      </c>
      <c r="V451" s="3">
        <v>-4198.2299999999996</v>
      </c>
      <c r="W451" t="s">
        <v>324</v>
      </c>
      <c r="X451" s="3">
        <v>-4198.2299999999996</v>
      </c>
    </row>
    <row r="452" spans="1:24" s="2" customFormat="1" x14ac:dyDescent="0.2">
      <c r="A452" s="2">
        <v>452</v>
      </c>
      <c r="B452"/>
      <c r="C452" t="s">
        <v>153</v>
      </c>
      <c r="D452" t="s">
        <v>636</v>
      </c>
      <c r="E452" t="s">
        <v>566</v>
      </c>
      <c r="F452" t="s">
        <v>63</v>
      </c>
      <c r="G452" t="s">
        <v>25</v>
      </c>
      <c r="H452" t="str">
        <f t="shared" si="14"/>
        <v xml:space="preserve">SALÁRIO ELIANE | Recorrência:5/12 | Observações: </v>
      </c>
      <c r="I452" t="s">
        <v>26</v>
      </c>
      <c r="J452" s="5">
        <v>-1384.39</v>
      </c>
      <c r="K452" s="4">
        <v>454459.45</v>
      </c>
      <c r="L452" t="s">
        <v>27</v>
      </c>
      <c r="M452" s="5">
        <v>-1384.39</v>
      </c>
      <c r="N452" s="3">
        <v>0</v>
      </c>
      <c r="O452" t="s">
        <v>906</v>
      </c>
      <c r="P452" t="s">
        <v>911</v>
      </c>
      <c r="Q452" t="s">
        <v>908</v>
      </c>
      <c r="R452" t="str">
        <f t="shared" si="15"/>
        <v>Sim</v>
      </c>
      <c r="S452" t="s">
        <v>908</v>
      </c>
      <c r="T452" t="s">
        <v>30</v>
      </c>
      <c r="U452" t="s">
        <v>323</v>
      </c>
      <c r="V452" s="3">
        <v>-1384.39</v>
      </c>
      <c r="W452" t="s">
        <v>324</v>
      </c>
      <c r="X452" s="3">
        <v>-1384.39</v>
      </c>
    </row>
    <row r="453" spans="1:24" s="2" customFormat="1" x14ac:dyDescent="0.2">
      <c r="A453">
        <v>453</v>
      </c>
      <c r="B453"/>
      <c r="C453"/>
      <c r="D453" t="s">
        <v>689</v>
      </c>
      <c r="E453" t="s">
        <v>518</v>
      </c>
      <c r="F453" t="s">
        <v>63</v>
      </c>
      <c r="G453" t="s">
        <v>25</v>
      </c>
      <c r="H453" t="str">
        <f t="shared" si="14"/>
        <v xml:space="preserve">LIMPEZA_JULIANA COSTA SOARES | Recorrência:4/12 | Observações: </v>
      </c>
      <c r="I453" t="s">
        <v>26</v>
      </c>
      <c r="J453" s="5">
        <v>-480</v>
      </c>
      <c r="K453" s="4">
        <v>453979.45</v>
      </c>
      <c r="L453" t="s">
        <v>27</v>
      </c>
      <c r="M453" s="5">
        <v>-480</v>
      </c>
      <c r="N453" s="3">
        <v>0</v>
      </c>
      <c r="O453" t="s">
        <v>906</v>
      </c>
      <c r="P453" t="s">
        <v>854</v>
      </c>
      <c r="Q453" t="s">
        <v>899</v>
      </c>
      <c r="R453" t="str">
        <f t="shared" si="15"/>
        <v>Sim</v>
      </c>
      <c r="S453" t="s">
        <v>899</v>
      </c>
      <c r="T453" t="s">
        <v>30</v>
      </c>
      <c r="U453" t="s">
        <v>783</v>
      </c>
      <c r="V453" s="3">
        <v>-480</v>
      </c>
    </row>
    <row r="454" spans="1:24" s="2" customFormat="1" x14ac:dyDescent="0.2">
      <c r="A454" s="2">
        <v>454</v>
      </c>
      <c r="B454"/>
      <c r="C454" t="s">
        <v>153</v>
      </c>
      <c r="D454" t="s">
        <v>733</v>
      </c>
      <c r="E454" t="s">
        <v>518</v>
      </c>
      <c r="F454" t="s">
        <v>63</v>
      </c>
      <c r="G454" t="s">
        <v>25</v>
      </c>
      <c r="H454" t="str">
        <f t="shared" si="14"/>
        <v xml:space="preserve">ISABELA ROSSI _ ESTAGIÁRIA  | Recorrência:4/12 | Observações: </v>
      </c>
      <c r="I454" t="s">
        <v>26</v>
      </c>
      <c r="J454" s="5">
        <v>-967.75</v>
      </c>
      <c r="K454" s="4">
        <v>453011.7</v>
      </c>
      <c r="L454" t="s">
        <v>27</v>
      </c>
      <c r="M454" s="5">
        <v>-967.75</v>
      </c>
      <c r="N454" s="3">
        <v>0</v>
      </c>
      <c r="O454" t="s">
        <v>906</v>
      </c>
      <c r="P454" t="s">
        <v>854</v>
      </c>
      <c r="Q454" t="s">
        <v>908</v>
      </c>
      <c r="R454" t="str">
        <f t="shared" si="15"/>
        <v>Sim</v>
      </c>
      <c r="S454" t="s">
        <v>908</v>
      </c>
      <c r="T454" t="s">
        <v>30</v>
      </c>
      <c r="U454" t="s">
        <v>323</v>
      </c>
      <c r="V454" s="3">
        <v>-967.75</v>
      </c>
      <c r="W454" t="s">
        <v>324</v>
      </c>
      <c r="X454" s="3">
        <v>-967.75</v>
      </c>
    </row>
    <row r="455" spans="1:24" s="2" customFormat="1" x14ac:dyDescent="0.2">
      <c r="A455">
        <v>455</v>
      </c>
      <c r="B455"/>
      <c r="C455" t="s">
        <v>153</v>
      </c>
      <c r="D455" t="s">
        <v>659</v>
      </c>
      <c r="E455" t="s">
        <v>912</v>
      </c>
      <c r="F455" t="s">
        <v>63</v>
      </c>
      <c r="G455" t="s">
        <v>25</v>
      </c>
      <c r="H455" t="str">
        <f t="shared" si="14"/>
        <v xml:space="preserve">VALE TRANSPORTE _ELIANE | Recorrência:2/8 | Observações: </v>
      </c>
      <c r="I455" t="s">
        <v>26</v>
      </c>
      <c r="J455" s="5">
        <v>-387.2</v>
      </c>
      <c r="K455" s="4">
        <v>452624.5</v>
      </c>
      <c r="L455" t="s">
        <v>27</v>
      </c>
      <c r="M455" s="5">
        <v>-387.2</v>
      </c>
      <c r="N455" s="3">
        <v>0</v>
      </c>
      <c r="O455" t="s">
        <v>906</v>
      </c>
      <c r="P455" t="s">
        <v>867</v>
      </c>
      <c r="Q455" t="s">
        <v>913</v>
      </c>
      <c r="R455" t="str">
        <f t="shared" si="15"/>
        <v>Sim</v>
      </c>
      <c r="S455" t="s">
        <v>913</v>
      </c>
      <c r="T455" t="s">
        <v>30</v>
      </c>
      <c r="U455" t="s">
        <v>662</v>
      </c>
      <c r="V455" s="3">
        <v>-387.2</v>
      </c>
      <c r="W455" t="s">
        <v>698</v>
      </c>
      <c r="X455" s="3">
        <v>-387.2</v>
      </c>
    </row>
    <row r="456" spans="1:24" s="2" customFormat="1" x14ac:dyDescent="0.2">
      <c r="A456" s="2">
        <v>456</v>
      </c>
      <c r="B456"/>
      <c r="C456" t="s">
        <v>828</v>
      </c>
      <c r="D456" t="s">
        <v>830</v>
      </c>
      <c r="E456" t="s">
        <v>915</v>
      </c>
      <c r="F456" t="s">
        <v>63</v>
      </c>
      <c r="G456" t="s">
        <v>25</v>
      </c>
      <c r="H456" t="str">
        <f t="shared" si="14"/>
        <v xml:space="preserve">PREFEITURA DO MUNICIPIO DE BERTIOGA | Recorrência:2/41 | Observações: REF.02 PAGAMENTOS </v>
      </c>
      <c r="I456" t="s">
        <v>26</v>
      </c>
      <c r="J456" s="5">
        <v>-212.86</v>
      </c>
      <c r="K456" s="4">
        <v>452411.64</v>
      </c>
      <c r="L456" t="s">
        <v>27</v>
      </c>
      <c r="M456" s="5">
        <v>-212.86</v>
      </c>
      <c r="N456" s="3">
        <v>0</v>
      </c>
      <c r="O456" t="s">
        <v>914</v>
      </c>
      <c r="P456" t="s">
        <v>880</v>
      </c>
      <c r="Q456" t="s">
        <v>911</v>
      </c>
      <c r="R456" t="str">
        <f t="shared" si="15"/>
        <v>Sim</v>
      </c>
      <c r="S456" t="s">
        <v>911</v>
      </c>
      <c r="T456" t="s">
        <v>831</v>
      </c>
      <c r="U456" t="s">
        <v>832</v>
      </c>
      <c r="V456" s="3">
        <v>-212.86</v>
      </c>
    </row>
    <row r="457" spans="1:24" s="2" customFormat="1" x14ac:dyDescent="0.2">
      <c r="A457">
        <v>457</v>
      </c>
      <c r="B457"/>
      <c r="C457" t="s">
        <v>418</v>
      </c>
      <c r="D457" t="s">
        <v>916</v>
      </c>
      <c r="E457" t="s">
        <v>30</v>
      </c>
      <c r="F457" t="s">
        <v>24</v>
      </c>
      <c r="G457" t="s">
        <v>25</v>
      </c>
      <c r="H457" t="str">
        <f t="shared" si="14"/>
        <v xml:space="preserve">RT - ORLEAN (MGS COM PAPÉIS E TECIDOS) | Recorrência: | Observações: </v>
      </c>
      <c r="I457" t="s">
        <v>26</v>
      </c>
      <c r="J457" s="4">
        <v>395.2</v>
      </c>
      <c r="K457" s="4">
        <v>452806.84</v>
      </c>
      <c r="L457" t="s">
        <v>27</v>
      </c>
      <c r="M457" s="4">
        <v>395.2</v>
      </c>
      <c r="N457" s="3">
        <v>0</v>
      </c>
      <c r="O457" t="s">
        <v>914</v>
      </c>
      <c r="P457" t="s">
        <v>852</v>
      </c>
      <c r="Q457" t="s">
        <v>914</v>
      </c>
      <c r="R457" t="str">
        <f t="shared" si="15"/>
        <v>Sim</v>
      </c>
      <c r="S457" t="s">
        <v>914</v>
      </c>
      <c r="T457" t="s">
        <v>30</v>
      </c>
      <c r="U457" t="s">
        <v>49</v>
      </c>
      <c r="V457" s="3">
        <v>395.2</v>
      </c>
      <c r="W457" t="s">
        <v>494</v>
      </c>
      <c r="X457" s="3">
        <v>395.2</v>
      </c>
    </row>
    <row r="458" spans="1:24" s="2" customFormat="1" x14ac:dyDescent="0.2">
      <c r="A458" s="2">
        <v>458</v>
      </c>
      <c r="B458"/>
      <c r="C458" t="s">
        <v>917</v>
      </c>
      <c r="D458" t="s">
        <v>917</v>
      </c>
      <c r="E458" t="s">
        <v>38</v>
      </c>
      <c r="F458" t="s">
        <v>24</v>
      </c>
      <c r="G458" t="s">
        <v>25</v>
      </c>
      <c r="H458" t="str">
        <f t="shared" si="14"/>
        <v xml:space="preserve">RONEI GOMES E CLAUDIA | Recorrência:1/3 | Observações: </v>
      </c>
      <c r="I458" t="s">
        <v>26</v>
      </c>
      <c r="J458" s="4">
        <v>6900</v>
      </c>
      <c r="K458" s="4">
        <v>459706.84</v>
      </c>
      <c r="L458" t="s">
        <v>27</v>
      </c>
      <c r="M458" s="4">
        <v>6900</v>
      </c>
      <c r="N458" s="3">
        <v>0</v>
      </c>
      <c r="O458" t="s">
        <v>914</v>
      </c>
      <c r="P458" t="s">
        <v>862</v>
      </c>
      <c r="Q458" t="s">
        <v>908</v>
      </c>
      <c r="R458" t="str">
        <f t="shared" si="15"/>
        <v>Sim</v>
      </c>
      <c r="S458" t="s">
        <v>908</v>
      </c>
      <c r="T458" t="s">
        <v>30</v>
      </c>
      <c r="U458" t="s">
        <v>31</v>
      </c>
      <c r="V458" s="3">
        <v>6900</v>
      </c>
      <c r="W458" t="s">
        <v>494</v>
      </c>
      <c r="X458" s="3">
        <v>6900</v>
      </c>
    </row>
    <row r="459" spans="1:24" s="2" customFormat="1" x14ac:dyDescent="0.2">
      <c r="A459">
        <v>459</v>
      </c>
      <c r="B459"/>
      <c r="C459" t="s">
        <v>918</v>
      </c>
      <c r="D459" t="s">
        <v>823</v>
      </c>
      <c r="E459" t="s">
        <v>30</v>
      </c>
      <c r="F459" t="s">
        <v>24</v>
      </c>
      <c r="G459" t="s">
        <v>25</v>
      </c>
      <c r="H459" t="str">
        <f t="shared" si="14"/>
        <v xml:space="preserve">COLORMIX ( BRASMIX COM IMP ) | Recorrência: | Observações: </v>
      </c>
      <c r="I459" t="s">
        <v>26</v>
      </c>
      <c r="J459" s="4">
        <v>721.19</v>
      </c>
      <c r="K459" s="4">
        <v>460428.03</v>
      </c>
      <c r="L459" t="s">
        <v>27</v>
      </c>
      <c r="M459" s="4">
        <v>721.19</v>
      </c>
      <c r="N459" s="3">
        <v>0</v>
      </c>
      <c r="O459" t="s">
        <v>914</v>
      </c>
      <c r="P459" t="s">
        <v>919</v>
      </c>
      <c r="Q459" t="s">
        <v>919</v>
      </c>
      <c r="R459" t="str">
        <f t="shared" si="15"/>
        <v>Sim</v>
      </c>
      <c r="S459" t="s">
        <v>919</v>
      </c>
      <c r="T459" t="s">
        <v>30</v>
      </c>
      <c r="U459" t="s">
        <v>49</v>
      </c>
      <c r="V459" s="3">
        <v>721.19</v>
      </c>
      <c r="W459" t="s">
        <v>494</v>
      </c>
      <c r="X459" s="3">
        <v>721.19</v>
      </c>
    </row>
    <row r="460" spans="1:24" s="2" customFormat="1" x14ac:dyDescent="0.2">
      <c r="A460" s="2">
        <v>460</v>
      </c>
      <c r="B460"/>
      <c r="C460" t="s">
        <v>180</v>
      </c>
      <c r="D460" t="s">
        <v>274</v>
      </c>
      <c r="E460" t="s">
        <v>199</v>
      </c>
      <c r="F460" t="s">
        <v>24</v>
      </c>
      <c r="G460" t="s">
        <v>25</v>
      </c>
      <c r="H460" t="str">
        <f t="shared" si="14"/>
        <v xml:space="preserve">GERENCIAMENTO | Recorrência:3/5 | Observações: </v>
      </c>
      <c r="I460" t="s">
        <v>26</v>
      </c>
      <c r="J460" s="4">
        <v>4500</v>
      </c>
      <c r="K460" s="4">
        <v>464928.03</v>
      </c>
      <c r="L460" t="s">
        <v>27</v>
      </c>
      <c r="M460" s="4">
        <v>4500</v>
      </c>
      <c r="N460" s="3">
        <v>0</v>
      </c>
      <c r="O460" t="s">
        <v>908</v>
      </c>
      <c r="P460" t="s">
        <v>295</v>
      </c>
      <c r="Q460" t="s">
        <v>908</v>
      </c>
      <c r="R460" t="str">
        <f t="shared" si="15"/>
        <v>Sim</v>
      </c>
      <c r="S460" t="s">
        <v>908</v>
      </c>
      <c r="T460" t="s">
        <v>30</v>
      </c>
      <c r="U460" t="s">
        <v>274</v>
      </c>
      <c r="V460" s="3">
        <v>4500</v>
      </c>
      <c r="W460" t="s">
        <v>166</v>
      </c>
      <c r="X460" s="3">
        <v>4500</v>
      </c>
    </row>
    <row r="461" spans="1:24" s="2" customFormat="1" x14ac:dyDescent="0.2">
      <c r="A461">
        <v>461</v>
      </c>
      <c r="B461"/>
      <c r="C461" t="s">
        <v>574</v>
      </c>
      <c r="D461" t="s">
        <v>575</v>
      </c>
      <c r="E461" t="s">
        <v>634</v>
      </c>
      <c r="F461" t="s">
        <v>63</v>
      </c>
      <c r="G461" t="s">
        <v>25</v>
      </c>
      <c r="H461" t="str">
        <f t="shared" si="14"/>
        <v>ALUGUEL+CONDOMINIO+IPTU | Recorrência:6/12 | Observações: REF: 04/21 _VENC 05/22</v>
      </c>
      <c r="I461" t="s">
        <v>26</v>
      </c>
      <c r="J461" s="5">
        <v>-5585.41</v>
      </c>
      <c r="K461" s="4">
        <v>459342.62</v>
      </c>
      <c r="L461" t="s">
        <v>27</v>
      </c>
      <c r="M461" s="5">
        <v>-5585.41</v>
      </c>
      <c r="N461" s="3">
        <v>0</v>
      </c>
      <c r="O461" t="s">
        <v>908</v>
      </c>
      <c r="P461" t="s">
        <v>920</v>
      </c>
      <c r="Q461" t="s">
        <v>908</v>
      </c>
      <c r="R461" t="str">
        <f t="shared" si="15"/>
        <v>Sim</v>
      </c>
      <c r="S461" t="s">
        <v>908</v>
      </c>
      <c r="T461" t="s">
        <v>921</v>
      </c>
      <c r="U461" t="s">
        <v>571</v>
      </c>
      <c r="V461" s="3">
        <v>-5585.41</v>
      </c>
      <c r="W461" t="s">
        <v>577</v>
      </c>
      <c r="X461" s="3">
        <v>-5585.41</v>
      </c>
    </row>
    <row r="462" spans="1:24" s="2" customFormat="1" x14ac:dyDescent="0.2">
      <c r="A462" s="2">
        <v>462</v>
      </c>
      <c r="B462"/>
      <c r="C462" t="s">
        <v>153</v>
      </c>
      <c r="D462" t="s">
        <v>650</v>
      </c>
      <c r="E462" t="s">
        <v>566</v>
      </c>
      <c r="F462" t="s">
        <v>63</v>
      </c>
      <c r="G462" t="s">
        <v>25</v>
      </c>
      <c r="H462" t="str">
        <f t="shared" si="14"/>
        <v xml:space="preserve">FGTS | Recorrência:5/12 | Observações: </v>
      </c>
      <c r="I462" t="s">
        <v>26</v>
      </c>
      <c r="J462" s="5">
        <v>-120.1</v>
      </c>
      <c r="K462" s="4">
        <v>459222.52</v>
      </c>
      <c r="L462" t="s">
        <v>27</v>
      </c>
      <c r="M462" s="5">
        <v>-120.1</v>
      </c>
      <c r="N462" s="3">
        <v>0</v>
      </c>
      <c r="O462" t="s">
        <v>922</v>
      </c>
      <c r="P462" t="s">
        <v>836</v>
      </c>
      <c r="Q462" t="s">
        <v>922</v>
      </c>
      <c r="R462" t="str">
        <f t="shared" si="15"/>
        <v>Sim</v>
      </c>
      <c r="S462" t="s">
        <v>922</v>
      </c>
      <c r="T462" t="s">
        <v>30</v>
      </c>
      <c r="U462" t="s">
        <v>651</v>
      </c>
      <c r="V462" s="3">
        <v>-120.1</v>
      </c>
      <c r="W462" t="s">
        <v>376</v>
      </c>
      <c r="X462" s="3">
        <v>-120.1</v>
      </c>
    </row>
    <row r="463" spans="1:24" s="2" customFormat="1" x14ac:dyDescent="0.2">
      <c r="A463">
        <v>463</v>
      </c>
      <c r="B463"/>
      <c r="C463"/>
      <c r="D463" t="s">
        <v>317</v>
      </c>
      <c r="E463" t="s">
        <v>30</v>
      </c>
      <c r="F463" t="s">
        <v>63</v>
      </c>
      <c r="G463" t="s">
        <v>25</v>
      </c>
      <c r="H463" t="str">
        <f t="shared" si="14"/>
        <v xml:space="preserve">WEBDAS HOSPEDAGEM DO SITE | Recorrência: | Observações: </v>
      </c>
      <c r="I463" t="s">
        <v>26</v>
      </c>
      <c r="J463" s="5">
        <v>-132.80000000000001</v>
      </c>
      <c r="K463" s="4">
        <v>459089.72</v>
      </c>
      <c r="L463" t="s">
        <v>27</v>
      </c>
      <c r="M463" s="5">
        <v>-132.80000000000001</v>
      </c>
      <c r="N463" s="3">
        <v>0</v>
      </c>
      <c r="O463" t="s">
        <v>922</v>
      </c>
      <c r="P463" t="s">
        <v>736</v>
      </c>
      <c r="Q463" t="s">
        <v>908</v>
      </c>
      <c r="R463" t="str">
        <f t="shared" si="15"/>
        <v>Sim</v>
      </c>
      <c r="S463" t="s">
        <v>908</v>
      </c>
      <c r="T463" t="s">
        <v>30</v>
      </c>
      <c r="U463" t="s">
        <v>319</v>
      </c>
      <c r="V463" s="3">
        <v>-132.80000000000001</v>
      </c>
    </row>
    <row r="464" spans="1:24" s="2" customFormat="1" x14ac:dyDescent="0.2">
      <c r="A464" s="2">
        <v>464</v>
      </c>
      <c r="B464"/>
      <c r="C464" t="s">
        <v>386</v>
      </c>
      <c r="D464" t="s">
        <v>226</v>
      </c>
      <c r="E464" t="s">
        <v>210</v>
      </c>
      <c r="F464" t="s">
        <v>24</v>
      </c>
      <c r="G464" t="s">
        <v>25</v>
      </c>
      <c r="H464" t="str">
        <f t="shared" si="14"/>
        <v xml:space="preserve">ESPAÇO REFORMAR (DMP REFORMAS ) | Recorrência:3/6 | Observações: </v>
      </c>
      <c r="I464" t="s">
        <v>26</v>
      </c>
      <c r="J464" s="4">
        <v>3500</v>
      </c>
      <c r="K464" s="4">
        <v>462589.72</v>
      </c>
      <c r="L464" t="s">
        <v>27</v>
      </c>
      <c r="M464" s="4">
        <v>3500</v>
      </c>
      <c r="N464" s="3">
        <v>0</v>
      </c>
      <c r="O464" t="s">
        <v>922</v>
      </c>
      <c r="P464" t="s">
        <v>858</v>
      </c>
      <c r="Q464" t="s">
        <v>923</v>
      </c>
      <c r="R464" t="str">
        <f t="shared" si="15"/>
        <v>Sim</v>
      </c>
      <c r="S464" t="s">
        <v>923</v>
      </c>
      <c r="T464" t="s">
        <v>30</v>
      </c>
      <c r="U464" t="s">
        <v>49</v>
      </c>
      <c r="V464" s="3">
        <v>3500</v>
      </c>
      <c r="W464" t="s">
        <v>49</v>
      </c>
      <c r="X464" s="3">
        <v>3500</v>
      </c>
    </row>
    <row r="465" spans="1:24" s="2" customFormat="1" x14ac:dyDescent="0.2">
      <c r="A465">
        <v>465</v>
      </c>
      <c r="B465"/>
      <c r="C465" t="s">
        <v>666</v>
      </c>
      <c r="D465" t="s">
        <v>667</v>
      </c>
      <c r="E465" t="s">
        <v>566</v>
      </c>
      <c r="F465" t="s">
        <v>63</v>
      </c>
      <c r="G465" t="s">
        <v>25</v>
      </c>
      <c r="H465" t="str">
        <f t="shared" si="14"/>
        <v>TELEFONIA E INTERNET | Recorrência:5/12 | Observações: conta Mayara paga pelo APP&gt; Lembrar o Pagamento</v>
      </c>
      <c r="I465" t="s">
        <v>26</v>
      </c>
      <c r="J465" s="5">
        <v>-139.99</v>
      </c>
      <c r="K465" s="4">
        <v>462449.73</v>
      </c>
      <c r="L465" t="s">
        <v>27</v>
      </c>
      <c r="M465" s="5">
        <v>-139.99</v>
      </c>
      <c r="N465" s="3">
        <v>0</v>
      </c>
      <c r="O465" t="s">
        <v>858</v>
      </c>
      <c r="P465" t="s">
        <v>869</v>
      </c>
      <c r="Q465" t="s">
        <v>924</v>
      </c>
      <c r="R465" t="str">
        <f t="shared" si="15"/>
        <v>Sim</v>
      </c>
      <c r="S465" t="s">
        <v>924</v>
      </c>
      <c r="T465" t="s">
        <v>669</v>
      </c>
      <c r="U465" t="s">
        <v>670</v>
      </c>
      <c r="V465" s="3">
        <v>-139.99</v>
      </c>
      <c r="W465" t="s">
        <v>324</v>
      </c>
      <c r="X465" s="3">
        <v>-139.99</v>
      </c>
    </row>
    <row r="466" spans="1:24" s="2" customFormat="1" x14ac:dyDescent="0.2">
      <c r="A466" s="2">
        <v>466</v>
      </c>
      <c r="B466" t="s">
        <v>647</v>
      </c>
      <c r="C466" t="s">
        <v>648</v>
      </c>
      <c r="D466" t="s">
        <v>649</v>
      </c>
      <c r="E466" t="s">
        <v>566</v>
      </c>
      <c r="F466" t="s">
        <v>63</v>
      </c>
      <c r="G466" t="s">
        <v>25</v>
      </c>
      <c r="H466" t="str">
        <f t="shared" si="14"/>
        <v xml:space="preserve">HONORÁRIOS CONTÁBEIS | Recorrência:5/12 | Observações: </v>
      </c>
      <c r="I466" t="s">
        <v>26</v>
      </c>
      <c r="J466" s="5">
        <v>-830</v>
      </c>
      <c r="K466" s="4">
        <v>461619.73</v>
      </c>
      <c r="L466" t="s">
        <v>27</v>
      </c>
      <c r="M466" s="5">
        <v>-830</v>
      </c>
      <c r="N466" s="3">
        <v>0</v>
      </c>
      <c r="O466" t="s">
        <v>925</v>
      </c>
      <c r="P466" t="s">
        <v>836</v>
      </c>
      <c r="Q466" t="s">
        <v>925</v>
      </c>
      <c r="R466" t="str">
        <f t="shared" si="15"/>
        <v>Sim</v>
      </c>
      <c r="S466" t="s">
        <v>925</v>
      </c>
      <c r="T466" t="s">
        <v>30</v>
      </c>
      <c r="U466" t="s">
        <v>608</v>
      </c>
      <c r="V466" s="3">
        <v>-830</v>
      </c>
      <c r="W466" t="s">
        <v>577</v>
      </c>
      <c r="X466" s="3">
        <v>-830</v>
      </c>
    </row>
    <row r="467" spans="1:24" s="2" customFormat="1" x14ac:dyDescent="0.2">
      <c r="A467">
        <v>467</v>
      </c>
      <c r="B467"/>
      <c r="C467" t="s">
        <v>297</v>
      </c>
      <c r="D467" t="s">
        <v>806</v>
      </c>
      <c r="E467" t="s">
        <v>566</v>
      </c>
      <c r="F467" t="s">
        <v>63</v>
      </c>
      <c r="G467" t="s">
        <v>25</v>
      </c>
      <c r="H467" t="str">
        <f t="shared" si="14"/>
        <v xml:space="preserve">DARF ISS | Recorrência:5/12 | Observações: </v>
      </c>
      <c r="I467" t="s">
        <v>26</v>
      </c>
      <c r="J467" s="5">
        <v>-877.05</v>
      </c>
      <c r="K467" s="4">
        <v>460742.68</v>
      </c>
      <c r="L467" t="s">
        <v>27</v>
      </c>
      <c r="M467" s="5">
        <v>-877.05</v>
      </c>
      <c r="N467" s="3">
        <v>0</v>
      </c>
      <c r="O467" t="s">
        <v>925</v>
      </c>
      <c r="P467" t="s">
        <v>871</v>
      </c>
      <c r="Q467" t="s">
        <v>925</v>
      </c>
      <c r="R467" t="str">
        <f t="shared" si="15"/>
        <v>Sim</v>
      </c>
      <c r="S467" t="s">
        <v>925</v>
      </c>
      <c r="T467" t="s">
        <v>30</v>
      </c>
      <c r="U467" t="s">
        <v>656</v>
      </c>
      <c r="V467" s="3">
        <v>-877.05</v>
      </c>
      <c r="W467" t="s">
        <v>376</v>
      </c>
      <c r="X467" s="3">
        <v>-877.05</v>
      </c>
    </row>
    <row r="468" spans="1:24" s="2" customFormat="1" x14ac:dyDescent="0.2">
      <c r="A468" s="2">
        <v>468</v>
      </c>
      <c r="B468"/>
      <c r="C468" t="s">
        <v>657</v>
      </c>
      <c r="D468" t="s">
        <v>926</v>
      </c>
      <c r="E468" t="s">
        <v>30</v>
      </c>
      <c r="F468" t="s">
        <v>24</v>
      </c>
      <c r="G468" t="s">
        <v>25</v>
      </c>
      <c r="H468" t="str">
        <f t="shared" si="14"/>
        <v xml:space="preserve">ALESSANDRA DELGADO DESIGN (GIRONA) | Recorrência: | Observações: </v>
      </c>
      <c r="I468" t="s">
        <v>26</v>
      </c>
      <c r="J468" s="4">
        <v>1992.06</v>
      </c>
      <c r="K468" s="4">
        <v>462734.74</v>
      </c>
      <c r="L468" t="s">
        <v>27</v>
      </c>
      <c r="M468" s="4">
        <v>1992.06</v>
      </c>
      <c r="N468" s="3">
        <v>0</v>
      </c>
      <c r="O468" t="s">
        <v>925</v>
      </c>
      <c r="P468" t="s">
        <v>854</v>
      </c>
      <c r="Q468" t="s">
        <v>927</v>
      </c>
      <c r="R468" t="str">
        <f t="shared" si="15"/>
        <v>Sim</v>
      </c>
      <c r="S468" t="s">
        <v>927</v>
      </c>
      <c r="T468" t="s">
        <v>30</v>
      </c>
      <c r="U468" t="s">
        <v>49</v>
      </c>
      <c r="V468" s="3">
        <v>1992.06</v>
      </c>
      <c r="W468" t="s">
        <v>49</v>
      </c>
      <c r="X468" s="3">
        <v>1992.06</v>
      </c>
    </row>
    <row r="469" spans="1:24" s="2" customFormat="1" x14ac:dyDescent="0.2">
      <c r="A469">
        <v>469</v>
      </c>
      <c r="B469"/>
      <c r="C469"/>
      <c r="D469" t="s">
        <v>823</v>
      </c>
      <c r="E469" t="s">
        <v>30</v>
      </c>
      <c r="F469" t="s">
        <v>24</v>
      </c>
      <c r="G469" t="s">
        <v>25</v>
      </c>
      <c r="H469" t="str">
        <f t="shared" si="14"/>
        <v xml:space="preserve">COLORMIX ( BRASMIX COM IMP ) | Recorrência: | Observações: </v>
      </c>
      <c r="I469" t="s">
        <v>26</v>
      </c>
      <c r="J469" s="4">
        <v>175</v>
      </c>
      <c r="K469" s="4">
        <v>462909.74</v>
      </c>
      <c r="L469" t="s">
        <v>27</v>
      </c>
      <c r="M469" s="4">
        <v>175</v>
      </c>
      <c r="N469" s="3">
        <v>0</v>
      </c>
      <c r="O469" t="s">
        <v>925</v>
      </c>
      <c r="P469" t="s">
        <v>919</v>
      </c>
      <c r="Q469" t="s">
        <v>925</v>
      </c>
      <c r="R469" t="str">
        <f t="shared" si="15"/>
        <v>Sim</v>
      </c>
      <c r="S469" t="s">
        <v>925</v>
      </c>
      <c r="T469" t="s">
        <v>30</v>
      </c>
      <c r="U469" t="s">
        <v>49</v>
      </c>
      <c r="V469" s="3">
        <v>175</v>
      </c>
      <c r="W469" t="s">
        <v>494</v>
      </c>
      <c r="X469" s="3">
        <v>175</v>
      </c>
    </row>
    <row r="470" spans="1:24" s="2" customFormat="1" x14ac:dyDescent="0.2">
      <c r="A470" s="2">
        <v>470</v>
      </c>
      <c r="B470" t="s">
        <v>71</v>
      </c>
      <c r="C470" t="s">
        <v>72</v>
      </c>
      <c r="D470" t="s">
        <v>325</v>
      </c>
      <c r="E470" t="s">
        <v>266</v>
      </c>
      <c r="F470" t="s">
        <v>24</v>
      </c>
      <c r="G470" t="s">
        <v>25</v>
      </c>
      <c r="H470" t="str">
        <f t="shared" si="14"/>
        <v xml:space="preserve">VIA MADEIRA (HAEHLING) | Recorrência:4/5 | Observações: Transf 449 (Gapaz r \suprema) </v>
      </c>
      <c r="I470" t="s">
        <v>26</v>
      </c>
      <c r="J470" s="4">
        <v>330</v>
      </c>
      <c r="K470" s="4">
        <v>463239.74</v>
      </c>
      <c r="L470" t="s">
        <v>27</v>
      </c>
      <c r="M470" s="4">
        <v>330</v>
      </c>
      <c r="N470" s="3">
        <v>0</v>
      </c>
      <c r="O470" t="s">
        <v>927</v>
      </c>
      <c r="P470" t="s">
        <v>883</v>
      </c>
      <c r="Q470" t="s">
        <v>897</v>
      </c>
      <c r="R470" t="str">
        <f t="shared" si="15"/>
        <v>Sim</v>
      </c>
      <c r="S470" t="s">
        <v>897</v>
      </c>
      <c r="T470" t="s">
        <v>928</v>
      </c>
      <c r="U470" t="s">
        <v>49</v>
      </c>
      <c r="V470" s="3">
        <v>330</v>
      </c>
      <c r="W470" t="s">
        <v>49</v>
      </c>
      <c r="X470" s="3">
        <v>330</v>
      </c>
    </row>
    <row r="471" spans="1:24" s="2" customFormat="1" x14ac:dyDescent="0.2">
      <c r="A471">
        <v>471</v>
      </c>
      <c r="B471"/>
      <c r="C471" t="s">
        <v>817</v>
      </c>
      <c r="D471" t="s">
        <v>226</v>
      </c>
      <c r="E471" t="s">
        <v>195</v>
      </c>
      <c r="F471" t="s">
        <v>24</v>
      </c>
      <c r="G471" t="s">
        <v>25</v>
      </c>
      <c r="H471" t="str">
        <f t="shared" si="14"/>
        <v xml:space="preserve">ESPAÇO REFORMAR (DMP REFORMAS ) | Recorrência:2/3 | Observações: </v>
      </c>
      <c r="I471" t="s">
        <v>26</v>
      </c>
      <c r="J471" s="4">
        <v>500</v>
      </c>
      <c r="K471" s="4">
        <v>463739.74</v>
      </c>
      <c r="L471" t="s">
        <v>27</v>
      </c>
      <c r="M471" s="4">
        <v>500</v>
      </c>
      <c r="N471" s="3">
        <v>0</v>
      </c>
      <c r="O471" t="s">
        <v>927</v>
      </c>
      <c r="P471" t="s">
        <v>913</v>
      </c>
      <c r="Q471" t="s">
        <v>929</v>
      </c>
      <c r="R471" t="str">
        <f t="shared" si="15"/>
        <v>Sim</v>
      </c>
      <c r="S471" t="s">
        <v>929</v>
      </c>
      <c r="T471" t="s">
        <v>30</v>
      </c>
      <c r="U471" t="s">
        <v>49</v>
      </c>
      <c r="V471" s="3">
        <v>500</v>
      </c>
      <c r="W471" t="s">
        <v>49</v>
      </c>
      <c r="X471" s="3">
        <v>500</v>
      </c>
    </row>
    <row r="472" spans="1:24" s="2" customFormat="1" x14ac:dyDescent="0.2">
      <c r="A472" s="2">
        <v>472</v>
      </c>
      <c r="B472"/>
      <c r="C472" t="s">
        <v>795</v>
      </c>
      <c r="D472" t="s">
        <v>325</v>
      </c>
      <c r="E472" t="s">
        <v>67</v>
      </c>
      <c r="F472" t="s">
        <v>24</v>
      </c>
      <c r="G472" t="s">
        <v>25</v>
      </c>
      <c r="H472" t="str">
        <f t="shared" si="14"/>
        <v xml:space="preserve">VIA MADEIRA (HAEHLING) | Recorrência:1/2 | Observações: </v>
      </c>
      <c r="I472" t="s">
        <v>26</v>
      </c>
      <c r="J472" s="4">
        <v>140</v>
      </c>
      <c r="K472" s="4">
        <v>463879.74</v>
      </c>
      <c r="L472" t="s">
        <v>27</v>
      </c>
      <c r="M472" s="4">
        <v>140</v>
      </c>
      <c r="N472" s="3">
        <v>0</v>
      </c>
      <c r="O472" t="s">
        <v>927</v>
      </c>
      <c r="P472" t="s">
        <v>872</v>
      </c>
      <c r="Q472" t="s">
        <v>927</v>
      </c>
      <c r="R472" t="str">
        <f t="shared" si="15"/>
        <v>Sim</v>
      </c>
      <c r="S472" t="s">
        <v>927</v>
      </c>
      <c r="T472" t="s">
        <v>30</v>
      </c>
      <c r="U472" t="s">
        <v>49</v>
      </c>
      <c r="V472" s="3">
        <v>140</v>
      </c>
      <c r="W472" t="s">
        <v>494</v>
      </c>
      <c r="X472" s="3">
        <v>140</v>
      </c>
    </row>
    <row r="473" spans="1:24" s="2" customFormat="1" x14ac:dyDescent="0.2">
      <c r="A473">
        <v>473</v>
      </c>
      <c r="B473"/>
      <c r="C473" t="s">
        <v>657</v>
      </c>
      <c r="D473" t="s">
        <v>758</v>
      </c>
      <c r="E473" t="s">
        <v>30</v>
      </c>
      <c r="F473" t="s">
        <v>24</v>
      </c>
      <c r="G473" t="s">
        <v>25</v>
      </c>
      <c r="H473" t="str">
        <f t="shared" si="14"/>
        <v xml:space="preserve">ELIAS_MARCENEIRO | Recorrência: | Observações: </v>
      </c>
      <c r="I473" t="s">
        <v>26</v>
      </c>
      <c r="J473" s="4">
        <v>1089</v>
      </c>
      <c r="K473" s="4">
        <v>464968.74</v>
      </c>
      <c r="L473" t="s">
        <v>27</v>
      </c>
      <c r="M473" s="4">
        <v>1089</v>
      </c>
      <c r="N473" s="3">
        <v>0</v>
      </c>
      <c r="O473" t="s">
        <v>927</v>
      </c>
      <c r="P473" t="s">
        <v>922</v>
      </c>
      <c r="Q473" t="s">
        <v>927</v>
      </c>
      <c r="R473" t="str">
        <f t="shared" si="15"/>
        <v>Sim</v>
      </c>
      <c r="S473" t="s">
        <v>927</v>
      </c>
      <c r="T473" t="s">
        <v>30</v>
      </c>
      <c r="U473" t="s">
        <v>49</v>
      </c>
      <c r="V473" s="3">
        <v>1089</v>
      </c>
      <c r="W473" t="s">
        <v>494</v>
      </c>
      <c r="X473" s="3">
        <v>1089</v>
      </c>
    </row>
    <row r="474" spans="1:24" s="2" customFormat="1" x14ac:dyDescent="0.2">
      <c r="A474" s="2">
        <v>474</v>
      </c>
      <c r="B474"/>
      <c r="C474" t="s">
        <v>822</v>
      </c>
      <c r="D474" t="s">
        <v>129</v>
      </c>
      <c r="E474" t="s">
        <v>199</v>
      </c>
      <c r="F474" t="s">
        <v>24</v>
      </c>
      <c r="G474" t="s">
        <v>25</v>
      </c>
      <c r="H474" t="str">
        <f t="shared" si="14"/>
        <v xml:space="preserve">CRISTIANE UFLAKER | Recorrência:3/5 | Observações: </v>
      </c>
      <c r="I474" t="s">
        <v>26</v>
      </c>
      <c r="J474" s="4">
        <v>5000</v>
      </c>
      <c r="K474" s="4">
        <v>469968.74</v>
      </c>
      <c r="L474" t="s">
        <v>27</v>
      </c>
      <c r="M474" s="4">
        <v>5000</v>
      </c>
      <c r="N474" s="3">
        <v>0</v>
      </c>
      <c r="O474" t="s">
        <v>930</v>
      </c>
      <c r="P474" t="s">
        <v>249</v>
      </c>
      <c r="Q474" t="s">
        <v>924</v>
      </c>
      <c r="R474" t="str">
        <f t="shared" si="15"/>
        <v>Sim</v>
      </c>
      <c r="S474" t="s">
        <v>924</v>
      </c>
      <c r="T474" t="s">
        <v>30</v>
      </c>
      <c r="U474" t="s">
        <v>146</v>
      </c>
      <c r="V474" s="3">
        <v>5000</v>
      </c>
      <c r="W474" t="s">
        <v>166</v>
      </c>
      <c r="X474" s="3">
        <v>5000</v>
      </c>
    </row>
    <row r="475" spans="1:24" s="2" customFormat="1" x14ac:dyDescent="0.2">
      <c r="A475">
        <v>475</v>
      </c>
      <c r="B475"/>
      <c r="C475" t="s">
        <v>817</v>
      </c>
      <c r="D475" t="s">
        <v>817</v>
      </c>
      <c r="E475" t="s">
        <v>41</v>
      </c>
      <c r="F475" t="s">
        <v>24</v>
      </c>
      <c r="G475" t="s">
        <v>25</v>
      </c>
      <c r="H475" t="str">
        <f t="shared" si="14"/>
        <v xml:space="preserve">MARIELLA MATAVELLI | Recorrência:3/4 | Observações: </v>
      </c>
      <c r="I475" t="s">
        <v>26</v>
      </c>
      <c r="J475" s="4">
        <v>1950</v>
      </c>
      <c r="K475" s="4">
        <v>471918.74</v>
      </c>
      <c r="L475" t="s">
        <v>27</v>
      </c>
      <c r="M475" s="4">
        <v>1950</v>
      </c>
      <c r="N475" s="3">
        <v>0</v>
      </c>
      <c r="O475" t="s">
        <v>930</v>
      </c>
      <c r="P475" t="s">
        <v>931</v>
      </c>
      <c r="Q475" t="s">
        <v>908</v>
      </c>
      <c r="R475" t="str">
        <f t="shared" si="15"/>
        <v>Sim</v>
      </c>
      <c r="S475" t="s">
        <v>908</v>
      </c>
      <c r="T475" t="s">
        <v>30</v>
      </c>
      <c r="U475" t="s">
        <v>31</v>
      </c>
      <c r="V475" s="3">
        <v>1950</v>
      </c>
    </row>
    <row r="476" spans="1:24" s="2" customFormat="1" x14ac:dyDescent="0.2">
      <c r="A476" s="2">
        <v>476</v>
      </c>
      <c r="B476"/>
      <c r="C476" t="s">
        <v>792</v>
      </c>
      <c r="D476" t="s">
        <v>792</v>
      </c>
      <c r="E476" t="s">
        <v>41</v>
      </c>
      <c r="F476" t="s">
        <v>24</v>
      </c>
      <c r="G476" t="s">
        <v>25</v>
      </c>
      <c r="H476" t="str">
        <f t="shared" si="14"/>
        <v xml:space="preserve">EDIFICIO SUPREME | Recorrência:3/4 | Observações: </v>
      </c>
      <c r="I476" t="s">
        <v>26</v>
      </c>
      <c r="J476" s="4">
        <v>5161.75</v>
      </c>
      <c r="K476" s="4">
        <v>477080.49</v>
      </c>
      <c r="L476" t="s">
        <v>27</v>
      </c>
      <c r="M476" s="4">
        <v>5161.75</v>
      </c>
      <c r="N476" s="3">
        <v>0</v>
      </c>
      <c r="O476" t="s">
        <v>930</v>
      </c>
      <c r="P476" t="s">
        <v>931</v>
      </c>
      <c r="Q476" t="s">
        <v>924</v>
      </c>
      <c r="R476" t="str">
        <f t="shared" si="15"/>
        <v>Sim</v>
      </c>
      <c r="S476" t="s">
        <v>924</v>
      </c>
      <c r="T476" t="s">
        <v>30</v>
      </c>
      <c r="U476" t="s">
        <v>31</v>
      </c>
      <c r="V476" s="3">
        <v>5161.75</v>
      </c>
      <c r="W476" t="s">
        <v>32</v>
      </c>
      <c r="X476" s="3">
        <v>5161.75</v>
      </c>
    </row>
    <row r="477" spans="1:24" s="2" customFormat="1" x14ac:dyDescent="0.2">
      <c r="A477">
        <v>477</v>
      </c>
      <c r="B477"/>
      <c r="C477" t="s">
        <v>792</v>
      </c>
      <c r="D477" t="s">
        <v>932</v>
      </c>
      <c r="E477" t="s">
        <v>30</v>
      </c>
      <c r="F477" t="s">
        <v>24</v>
      </c>
      <c r="G477" t="s">
        <v>25</v>
      </c>
      <c r="H477" t="str">
        <f t="shared" si="14"/>
        <v xml:space="preserve">NF194-PORTOBELLO (PBTECH E SERV) | Recorrência: | Observações: </v>
      </c>
      <c r="I477" t="s">
        <v>26</v>
      </c>
      <c r="J477" s="4">
        <v>1623.61</v>
      </c>
      <c r="K477" s="4">
        <v>478704.1</v>
      </c>
      <c r="L477" t="s">
        <v>27</v>
      </c>
      <c r="M477" s="4">
        <v>1623.61</v>
      </c>
      <c r="N477" s="3">
        <v>0</v>
      </c>
      <c r="O477" t="s">
        <v>930</v>
      </c>
      <c r="P477" t="s">
        <v>821</v>
      </c>
      <c r="Q477" t="s">
        <v>930</v>
      </c>
      <c r="R477" t="str">
        <f t="shared" si="15"/>
        <v>Sim</v>
      </c>
      <c r="S477" t="s">
        <v>930</v>
      </c>
      <c r="T477" t="s">
        <v>30</v>
      </c>
      <c r="U477" t="s">
        <v>49</v>
      </c>
      <c r="V477" s="3">
        <v>1623.61</v>
      </c>
      <c r="W477" t="s">
        <v>49</v>
      </c>
      <c r="X477" s="3">
        <v>1623.61</v>
      </c>
    </row>
    <row r="478" spans="1:24" s="2" customFormat="1" x14ac:dyDescent="0.2">
      <c r="A478" s="2">
        <v>478</v>
      </c>
      <c r="B478"/>
      <c r="C478" t="s">
        <v>792</v>
      </c>
      <c r="D478" t="s">
        <v>824</v>
      </c>
      <c r="E478" t="s">
        <v>41</v>
      </c>
      <c r="F478" t="s">
        <v>24</v>
      </c>
      <c r="G478" t="s">
        <v>25</v>
      </c>
      <c r="H478" t="str">
        <f t="shared" si="14"/>
        <v xml:space="preserve">MN ARQUITETURA_MARCIO MUNHOZ | Recorrência:3/4 | Observações: </v>
      </c>
      <c r="I478" t="s">
        <v>26</v>
      </c>
      <c r="J478" s="4">
        <v>5396.38</v>
      </c>
      <c r="K478" s="4">
        <v>484100.48</v>
      </c>
      <c r="L478" t="s">
        <v>27</v>
      </c>
      <c r="M478" s="4">
        <v>5396.38</v>
      </c>
      <c r="N478" s="3">
        <v>0</v>
      </c>
      <c r="O478" t="s">
        <v>930</v>
      </c>
      <c r="P478" t="s">
        <v>867</v>
      </c>
      <c r="Q478" t="s">
        <v>924</v>
      </c>
      <c r="R478" t="str">
        <f t="shared" si="15"/>
        <v>Sim</v>
      </c>
      <c r="S478" t="s">
        <v>924</v>
      </c>
      <c r="T478" t="s">
        <v>30</v>
      </c>
      <c r="U478" t="s">
        <v>825</v>
      </c>
      <c r="V478" s="3">
        <v>5396.38</v>
      </c>
      <c r="W478" t="s">
        <v>825</v>
      </c>
      <c r="X478" s="3">
        <v>5396.38</v>
      </c>
    </row>
    <row r="479" spans="1:24" s="2" customFormat="1" x14ac:dyDescent="0.2">
      <c r="A479">
        <v>479</v>
      </c>
      <c r="B479"/>
      <c r="C479" t="s">
        <v>863</v>
      </c>
      <c r="D479" t="s">
        <v>932</v>
      </c>
      <c r="E479" t="s">
        <v>30</v>
      </c>
      <c r="F479" t="s">
        <v>24</v>
      </c>
      <c r="G479" t="s">
        <v>25</v>
      </c>
      <c r="H479" t="str">
        <f t="shared" si="14"/>
        <v xml:space="preserve">NF194-PORTOBELLO (PBTECH E SERV) | Recorrência: | Observações: </v>
      </c>
      <c r="I479" t="s">
        <v>26</v>
      </c>
      <c r="J479" s="4">
        <v>2620.88</v>
      </c>
      <c r="K479" s="4">
        <v>486721.36</v>
      </c>
      <c r="L479" t="s">
        <v>27</v>
      </c>
      <c r="M479" s="4">
        <v>2620.88</v>
      </c>
      <c r="N479" s="3">
        <v>0</v>
      </c>
      <c r="O479" t="s">
        <v>930</v>
      </c>
      <c r="P479" t="s">
        <v>788</v>
      </c>
      <c r="Q479" t="s">
        <v>930</v>
      </c>
      <c r="R479" t="str">
        <f t="shared" si="15"/>
        <v>Sim</v>
      </c>
      <c r="S479" t="s">
        <v>930</v>
      </c>
      <c r="T479" t="s">
        <v>30</v>
      </c>
      <c r="U479" t="s">
        <v>49</v>
      </c>
      <c r="V479" s="3">
        <v>2620.88</v>
      </c>
      <c r="W479" t="s">
        <v>494</v>
      </c>
      <c r="X479" s="3">
        <v>2620.88</v>
      </c>
    </row>
    <row r="480" spans="1:24" s="2" customFormat="1" x14ac:dyDescent="0.2">
      <c r="A480" s="2">
        <v>480</v>
      </c>
      <c r="B480"/>
      <c r="C480" t="s">
        <v>315</v>
      </c>
      <c r="D480" t="s">
        <v>932</v>
      </c>
      <c r="E480" t="s">
        <v>30</v>
      </c>
      <c r="F480" t="s">
        <v>24</v>
      </c>
      <c r="G480" t="s">
        <v>25</v>
      </c>
      <c r="H480" t="str">
        <f t="shared" si="14"/>
        <v>NF194-PORTOBELLO (PBTECH E SERV) | Recorrência: | Observações: PEDIDO 610795</v>
      </c>
      <c r="I480" t="s">
        <v>26</v>
      </c>
      <c r="J480" s="4">
        <v>47.46</v>
      </c>
      <c r="K480" s="4">
        <v>486768.82</v>
      </c>
      <c r="L480" t="s">
        <v>27</v>
      </c>
      <c r="M480" s="4">
        <v>47.46</v>
      </c>
      <c r="N480" s="3">
        <v>0</v>
      </c>
      <c r="O480" t="s">
        <v>930</v>
      </c>
      <c r="P480" t="s">
        <v>798</v>
      </c>
      <c r="Q480" t="s">
        <v>930</v>
      </c>
      <c r="R480" t="str">
        <f t="shared" si="15"/>
        <v>Sim</v>
      </c>
      <c r="S480" t="s">
        <v>930</v>
      </c>
      <c r="T480" t="s">
        <v>933</v>
      </c>
      <c r="U480" t="s">
        <v>49</v>
      </c>
      <c r="V480" s="3">
        <v>47.46</v>
      </c>
      <c r="W480" t="s">
        <v>494</v>
      </c>
      <c r="X480" s="3">
        <v>47.46</v>
      </c>
    </row>
    <row r="481" spans="1:24" s="2" customFormat="1" x14ac:dyDescent="0.2">
      <c r="A481">
        <v>481</v>
      </c>
      <c r="B481"/>
      <c r="C481" t="s">
        <v>795</v>
      </c>
      <c r="D481" t="s">
        <v>932</v>
      </c>
      <c r="E481" t="s">
        <v>30</v>
      </c>
      <c r="F481" t="s">
        <v>24</v>
      </c>
      <c r="G481" t="s">
        <v>25</v>
      </c>
      <c r="H481" t="str">
        <f t="shared" si="14"/>
        <v xml:space="preserve">NF194-PORTOBELLO (PBTECH E SERV) | Recorrência: | Observações: </v>
      </c>
      <c r="I481" t="s">
        <v>26</v>
      </c>
      <c r="J481" s="4">
        <v>354.77</v>
      </c>
      <c r="K481" s="4">
        <v>487123.59</v>
      </c>
      <c r="L481" t="s">
        <v>27</v>
      </c>
      <c r="M481" s="4">
        <v>354.77</v>
      </c>
      <c r="N481" s="3">
        <v>0</v>
      </c>
      <c r="O481" t="s">
        <v>930</v>
      </c>
      <c r="P481" t="s">
        <v>726</v>
      </c>
      <c r="Q481" t="s">
        <v>930</v>
      </c>
      <c r="R481" t="str">
        <f t="shared" si="15"/>
        <v>Sim</v>
      </c>
      <c r="S481" t="s">
        <v>930</v>
      </c>
      <c r="T481" t="s">
        <v>30</v>
      </c>
      <c r="U481" t="s">
        <v>49</v>
      </c>
      <c r="V481" s="3">
        <v>354.77</v>
      </c>
      <c r="W481" t="s">
        <v>494</v>
      </c>
      <c r="X481" s="3">
        <v>354.77</v>
      </c>
    </row>
    <row r="482" spans="1:24" s="2" customFormat="1" x14ac:dyDescent="0.2">
      <c r="A482" s="2">
        <v>482</v>
      </c>
      <c r="B482"/>
      <c r="C482" t="s">
        <v>802</v>
      </c>
      <c r="D482" t="s">
        <v>932</v>
      </c>
      <c r="E482" t="s">
        <v>30</v>
      </c>
      <c r="F482" t="s">
        <v>24</v>
      </c>
      <c r="G482" t="s">
        <v>25</v>
      </c>
      <c r="H482" t="str">
        <f t="shared" si="14"/>
        <v xml:space="preserve">NF194-PORTOBELLO (PBTECH E SERV) | Recorrência: | Observações: </v>
      </c>
      <c r="I482" t="s">
        <v>26</v>
      </c>
      <c r="J482" s="4">
        <v>168.88</v>
      </c>
      <c r="K482" s="4">
        <v>487292.47</v>
      </c>
      <c r="L482" t="s">
        <v>27</v>
      </c>
      <c r="M482" s="4">
        <v>168.88</v>
      </c>
      <c r="N482" s="3">
        <v>0</v>
      </c>
      <c r="O482" t="s">
        <v>930</v>
      </c>
      <c r="P482" t="s">
        <v>848</v>
      </c>
      <c r="Q482" t="s">
        <v>930</v>
      </c>
      <c r="R482" t="str">
        <f t="shared" si="15"/>
        <v>Sim</v>
      </c>
      <c r="S482" t="s">
        <v>930</v>
      </c>
      <c r="T482" t="s">
        <v>30</v>
      </c>
      <c r="U482" t="s">
        <v>49</v>
      </c>
      <c r="V482" s="3">
        <v>168.88</v>
      </c>
      <c r="W482" t="s">
        <v>494</v>
      </c>
      <c r="X482" s="3">
        <v>168.88</v>
      </c>
    </row>
    <row r="483" spans="1:24" s="2" customFormat="1" x14ac:dyDescent="0.2">
      <c r="A483">
        <v>483</v>
      </c>
      <c r="B483"/>
      <c r="C483" t="s">
        <v>258</v>
      </c>
      <c r="D483" t="s">
        <v>934</v>
      </c>
      <c r="E483" t="s">
        <v>30</v>
      </c>
      <c r="F483" t="s">
        <v>24</v>
      </c>
      <c r="G483" t="s">
        <v>25</v>
      </c>
      <c r="H483" t="str">
        <f t="shared" si="14"/>
        <v xml:space="preserve">BANDEJA ACRILICI_IVANILDO DAVID GONÇALVES | Recorrência: | Observações: </v>
      </c>
      <c r="I483" t="s">
        <v>26</v>
      </c>
      <c r="J483" s="4">
        <v>100</v>
      </c>
      <c r="K483" s="4">
        <v>487392.47</v>
      </c>
      <c r="L483" t="s">
        <v>27</v>
      </c>
      <c r="M483" s="4">
        <v>100</v>
      </c>
      <c r="N483" s="3">
        <v>0</v>
      </c>
      <c r="O483" t="s">
        <v>930</v>
      </c>
      <c r="P483" t="s">
        <v>927</v>
      </c>
      <c r="Q483" t="s">
        <v>930</v>
      </c>
      <c r="R483" t="str">
        <f t="shared" si="15"/>
        <v>Sim</v>
      </c>
      <c r="S483" t="s">
        <v>930</v>
      </c>
      <c r="T483" t="s">
        <v>30</v>
      </c>
      <c r="U483" t="s">
        <v>49</v>
      </c>
      <c r="V483" s="3">
        <v>100</v>
      </c>
      <c r="W483" t="s">
        <v>494</v>
      </c>
      <c r="X483" s="3">
        <v>100</v>
      </c>
    </row>
    <row r="484" spans="1:24" s="2" customFormat="1" x14ac:dyDescent="0.2">
      <c r="A484" s="2">
        <v>484</v>
      </c>
      <c r="B484"/>
      <c r="C484" t="s">
        <v>258</v>
      </c>
      <c r="D484" t="s">
        <v>396</v>
      </c>
      <c r="E484" t="s">
        <v>30</v>
      </c>
      <c r="F484" t="s">
        <v>24</v>
      </c>
      <c r="G484" t="s">
        <v>25</v>
      </c>
      <c r="H484" t="str">
        <f t="shared" si="14"/>
        <v>QUAKER (PILLOWS &amp; FABRICS COMERCIO DE PECAS DECORATIVAS LTDA) | Recorrência: | Observações: NF 199</v>
      </c>
      <c r="I484" t="s">
        <v>26</v>
      </c>
      <c r="J484" s="4">
        <v>209.77</v>
      </c>
      <c r="K484" s="4">
        <v>487602.24</v>
      </c>
      <c r="L484" t="s">
        <v>27</v>
      </c>
      <c r="M484" s="4">
        <v>209.77</v>
      </c>
      <c r="N484" s="3">
        <v>0</v>
      </c>
      <c r="O484" t="s">
        <v>935</v>
      </c>
      <c r="P484" t="s">
        <v>881</v>
      </c>
      <c r="Q484" t="s">
        <v>909</v>
      </c>
      <c r="R484" t="str">
        <f t="shared" si="15"/>
        <v>Sim</v>
      </c>
      <c r="S484" t="s">
        <v>909</v>
      </c>
      <c r="T484" t="s">
        <v>936</v>
      </c>
      <c r="U484" t="s">
        <v>49</v>
      </c>
      <c r="V484" s="3">
        <v>209.77</v>
      </c>
      <c r="W484" t="s">
        <v>494</v>
      </c>
      <c r="X484" s="3">
        <v>209.77</v>
      </c>
    </row>
    <row r="485" spans="1:24" s="2" customFormat="1" x14ac:dyDescent="0.2">
      <c r="A485">
        <v>485</v>
      </c>
      <c r="B485"/>
      <c r="C485" t="s">
        <v>386</v>
      </c>
      <c r="D485" t="s">
        <v>386</v>
      </c>
      <c r="E485" t="s">
        <v>356</v>
      </c>
      <c r="F485" t="s">
        <v>24</v>
      </c>
      <c r="G485" t="s">
        <v>25</v>
      </c>
      <c r="H485" t="str">
        <f t="shared" si="14"/>
        <v xml:space="preserve">GABRIELA BORGES | Recorrência:5/6 | Observações: </v>
      </c>
      <c r="I485" t="s">
        <v>26</v>
      </c>
      <c r="J485" s="4">
        <v>3300</v>
      </c>
      <c r="K485" s="4">
        <v>490902.24</v>
      </c>
      <c r="L485" t="s">
        <v>27</v>
      </c>
      <c r="M485" s="4">
        <v>3300</v>
      </c>
      <c r="N485" s="3">
        <v>0</v>
      </c>
      <c r="O485" t="s">
        <v>935</v>
      </c>
      <c r="P485" t="s">
        <v>909</v>
      </c>
      <c r="Q485" t="s">
        <v>935</v>
      </c>
      <c r="R485" t="str">
        <f t="shared" si="15"/>
        <v>Sim</v>
      </c>
      <c r="S485" t="s">
        <v>935</v>
      </c>
      <c r="T485" t="s">
        <v>30</v>
      </c>
      <c r="U485" t="s">
        <v>274</v>
      </c>
      <c r="V485" s="3">
        <v>3300</v>
      </c>
    </row>
    <row r="486" spans="1:24" s="2" customFormat="1" x14ac:dyDescent="0.2">
      <c r="A486" s="2">
        <v>486</v>
      </c>
      <c r="B486"/>
      <c r="C486" t="s">
        <v>453</v>
      </c>
      <c r="D486" t="s">
        <v>241</v>
      </c>
      <c r="E486" t="s">
        <v>30</v>
      </c>
      <c r="F486" t="s">
        <v>24</v>
      </c>
      <c r="G486" t="s">
        <v>25</v>
      </c>
      <c r="H486" t="str">
        <f t="shared" si="14"/>
        <v>DECORLIGHT ILUMINACAO LTDA | Recorrência: | Observações: Não teve NF</v>
      </c>
      <c r="I486" t="s">
        <v>26</v>
      </c>
      <c r="J486" s="4">
        <v>319.5</v>
      </c>
      <c r="K486" s="4">
        <v>491221.74</v>
      </c>
      <c r="L486" t="s">
        <v>27</v>
      </c>
      <c r="M486" s="4">
        <v>319.5</v>
      </c>
      <c r="N486" s="3">
        <v>0</v>
      </c>
      <c r="O486" t="s">
        <v>937</v>
      </c>
      <c r="P486" t="s">
        <v>914</v>
      </c>
      <c r="Q486" t="s">
        <v>938</v>
      </c>
      <c r="R486" t="str">
        <f t="shared" si="15"/>
        <v>Sim</v>
      </c>
      <c r="S486" t="s">
        <v>938</v>
      </c>
      <c r="T486" t="s">
        <v>939</v>
      </c>
      <c r="U486" t="s">
        <v>49</v>
      </c>
      <c r="V486" s="3">
        <v>319.5</v>
      </c>
      <c r="W486" t="s">
        <v>494</v>
      </c>
      <c r="X486" s="3">
        <v>319.5</v>
      </c>
    </row>
    <row r="487" spans="1:24" s="2" customFormat="1" x14ac:dyDescent="0.2">
      <c r="A487">
        <v>487</v>
      </c>
      <c r="B487"/>
      <c r="C487" t="s">
        <v>386</v>
      </c>
      <c r="D487" t="s">
        <v>940</v>
      </c>
      <c r="E487" t="s">
        <v>30</v>
      </c>
      <c r="F487" t="s">
        <v>24</v>
      </c>
      <c r="G487" t="s">
        <v>25</v>
      </c>
      <c r="H487" t="str">
        <f t="shared" si="14"/>
        <v>ALLFORM DESIGN | Recorrência: | Observações: Pedido 1079 e 1088</v>
      </c>
      <c r="I487" t="s">
        <v>26</v>
      </c>
      <c r="J487" s="4">
        <v>3864.02</v>
      </c>
      <c r="K487" s="4">
        <v>495085.76</v>
      </c>
      <c r="L487" t="s">
        <v>27</v>
      </c>
      <c r="M487" s="4">
        <v>3864.02</v>
      </c>
      <c r="N487" s="3">
        <v>0</v>
      </c>
      <c r="O487" t="s">
        <v>937</v>
      </c>
      <c r="P487" t="s">
        <v>847</v>
      </c>
      <c r="Q487" t="s">
        <v>937</v>
      </c>
      <c r="R487" t="str">
        <f t="shared" si="15"/>
        <v>Sim</v>
      </c>
      <c r="S487" t="s">
        <v>937</v>
      </c>
      <c r="T487" t="s">
        <v>941</v>
      </c>
      <c r="U487" t="s">
        <v>49</v>
      </c>
      <c r="V487" s="3">
        <v>3864.02</v>
      </c>
      <c r="W487" t="s">
        <v>494</v>
      </c>
      <c r="X487" s="3">
        <v>3864.02</v>
      </c>
    </row>
    <row r="488" spans="1:24" s="2" customFormat="1" x14ac:dyDescent="0.2">
      <c r="A488" s="2">
        <v>488</v>
      </c>
      <c r="B488"/>
      <c r="C488" t="s">
        <v>943</v>
      </c>
      <c r="D488" t="s">
        <v>944</v>
      </c>
      <c r="E488" t="s">
        <v>22</v>
      </c>
      <c r="F488" t="s">
        <v>24</v>
      </c>
      <c r="G488" t="s">
        <v>25</v>
      </c>
      <c r="H488" t="str">
        <f t="shared" si="14"/>
        <v xml:space="preserve">PROJETO DE ARQUITETURA FARIZE MURAD - 1 DE 4 | Recorrência:1/4 | Observações: </v>
      </c>
      <c r="I488" t="s">
        <v>26</v>
      </c>
      <c r="J488" s="4">
        <v>4620</v>
      </c>
      <c r="K488" s="4">
        <v>499705.76</v>
      </c>
      <c r="L488" t="s">
        <v>27</v>
      </c>
      <c r="M488" s="4">
        <v>4620</v>
      </c>
      <c r="N488" s="3">
        <v>0</v>
      </c>
      <c r="O488" t="s">
        <v>942</v>
      </c>
      <c r="P488" t="s">
        <v>945</v>
      </c>
      <c r="Q488" t="s">
        <v>942</v>
      </c>
      <c r="R488" t="str">
        <f t="shared" si="15"/>
        <v>Sim</v>
      </c>
      <c r="S488" t="s">
        <v>942</v>
      </c>
      <c r="T488" t="s">
        <v>30</v>
      </c>
      <c r="U488" t="s">
        <v>31</v>
      </c>
      <c r="V488" s="3">
        <v>4620</v>
      </c>
      <c r="W488" t="s">
        <v>32</v>
      </c>
      <c r="X488" s="3">
        <v>4620</v>
      </c>
    </row>
    <row r="489" spans="1:24" s="2" customFormat="1" x14ac:dyDescent="0.2">
      <c r="A489">
        <v>489</v>
      </c>
      <c r="B489"/>
      <c r="C489" t="s">
        <v>297</v>
      </c>
      <c r="D489" t="s">
        <v>715</v>
      </c>
      <c r="E489" t="s">
        <v>566</v>
      </c>
      <c r="F489" t="s">
        <v>63</v>
      </c>
      <c r="G489" t="s">
        <v>25</v>
      </c>
      <c r="H489" t="str">
        <f t="shared" si="14"/>
        <v xml:space="preserve">DARF PREVIDENCIARIO (ANTIGO GPS) | Recorrência:5/12 | Observações: valor poderá ser alterado </v>
      </c>
      <c r="I489" t="s">
        <v>26</v>
      </c>
      <c r="J489" s="5">
        <v>-1300.71</v>
      </c>
      <c r="K489" s="4">
        <v>498405.05</v>
      </c>
      <c r="L489" t="s">
        <v>27</v>
      </c>
      <c r="M489" s="5">
        <v>-1300.71</v>
      </c>
      <c r="N489" s="3">
        <v>0</v>
      </c>
      <c r="O489" t="s">
        <v>909</v>
      </c>
      <c r="P489" t="s">
        <v>836</v>
      </c>
      <c r="Q489" t="s">
        <v>909</v>
      </c>
      <c r="R489" t="str">
        <f t="shared" si="15"/>
        <v>Sim</v>
      </c>
      <c r="S489" t="s">
        <v>909</v>
      </c>
      <c r="T489" t="s">
        <v>717</v>
      </c>
      <c r="U489" t="s">
        <v>677</v>
      </c>
      <c r="V489" s="3">
        <v>-1300.71</v>
      </c>
      <c r="W489" t="s">
        <v>376</v>
      </c>
      <c r="X489" s="3">
        <v>-1300.71</v>
      </c>
    </row>
    <row r="490" spans="1:24" s="2" customFormat="1" x14ac:dyDescent="0.2">
      <c r="A490" s="2">
        <v>490</v>
      </c>
      <c r="B490"/>
      <c r="C490" t="s">
        <v>453</v>
      </c>
      <c r="D490" t="s">
        <v>226</v>
      </c>
      <c r="E490" t="s">
        <v>247</v>
      </c>
      <c r="F490" t="s">
        <v>24</v>
      </c>
      <c r="G490" t="s">
        <v>25</v>
      </c>
      <c r="H490" t="str">
        <f t="shared" si="14"/>
        <v xml:space="preserve">ESPAÇO REFORMAR (DMP REFORMAS ) | Recorrência:4/6 | Observações: </v>
      </c>
      <c r="I490" t="s">
        <v>26</v>
      </c>
      <c r="J490" s="4">
        <v>2500</v>
      </c>
      <c r="K490" s="4">
        <v>500905.05</v>
      </c>
      <c r="L490" t="s">
        <v>27</v>
      </c>
      <c r="M490" s="4">
        <v>2500</v>
      </c>
      <c r="N490" s="3">
        <v>0</v>
      </c>
      <c r="O490" t="s">
        <v>909</v>
      </c>
      <c r="P490" t="s">
        <v>937</v>
      </c>
      <c r="Q490" t="s">
        <v>937</v>
      </c>
      <c r="R490" t="str">
        <f t="shared" si="15"/>
        <v>Sim</v>
      </c>
      <c r="S490" t="s">
        <v>937</v>
      </c>
      <c r="T490" t="s">
        <v>30</v>
      </c>
      <c r="U490" t="s">
        <v>49</v>
      </c>
      <c r="V490" s="3">
        <v>2500</v>
      </c>
      <c r="W490" t="s">
        <v>49</v>
      </c>
      <c r="X490" s="3">
        <v>2500</v>
      </c>
    </row>
    <row r="491" spans="1:24" s="2" customFormat="1" x14ac:dyDescent="0.2">
      <c r="A491">
        <v>491</v>
      </c>
      <c r="B491"/>
      <c r="C491" t="s">
        <v>418</v>
      </c>
      <c r="D491" t="s">
        <v>758</v>
      </c>
      <c r="E491" t="s">
        <v>30</v>
      </c>
      <c r="F491" t="s">
        <v>24</v>
      </c>
      <c r="G491" t="s">
        <v>25</v>
      </c>
      <c r="H491" t="str">
        <f t="shared" si="14"/>
        <v>ELIAS_MARCENEIRO | Recorrência: | Observações: Baú 3.800,00</v>
      </c>
      <c r="I491" t="s">
        <v>26</v>
      </c>
      <c r="J491" s="4">
        <v>380</v>
      </c>
      <c r="K491" s="4">
        <v>501285.05</v>
      </c>
      <c r="L491" t="s">
        <v>27</v>
      </c>
      <c r="M491" s="4">
        <v>380</v>
      </c>
      <c r="N491" s="3">
        <v>0</v>
      </c>
      <c r="O491" t="s">
        <v>909</v>
      </c>
      <c r="P491" t="s">
        <v>909</v>
      </c>
      <c r="Q491" t="s">
        <v>938</v>
      </c>
      <c r="R491" t="str">
        <f t="shared" si="15"/>
        <v>Sim</v>
      </c>
      <c r="S491" t="s">
        <v>938</v>
      </c>
      <c r="T491" t="s">
        <v>946</v>
      </c>
      <c r="U491" t="s">
        <v>49</v>
      </c>
      <c r="V491" s="3">
        <v>380</v>
      </c>
      <c r="W491" t="s">
        <v>494</v>
      </c>
      <c r="X491" s="3">
        <v>380</v>
      </c>
    </row>
    <row r="492" spans="1:24" s="2" customFormat="1" x14ac:dyDescent="0.2">
      <c r="A492" s="2">
        <v>492</v>
      </c>
      <c r="B492"/>
      <c r="C492" t="s">
        <v>947</v>
      </c>
      <c r="D492" t="s">
        <v>948</v>
      </c>
      <c r="E492" t="s">
        <v>30</v>
      </c>
      <c r="F492" t="s">
        <v>63</v>
      </c>
      <c r="G492" t="s">
        <v>25</v>
      </c>
      <c r="H492" t="str">
        <f t="shared" si="14"/>
        <v xml:space="preserve">GASTOS EXTRAS -  CORREIOS | Recorrência: | Observações: </v>
      </c>
      <c r="I492" t="s">
        <v>26</v>
      </c>
      <c r="J492" s="5">
        <v>-29.7</v>
      </c>
      <c r="K492" s="4">
        <v>501255.35</v>
      </c>
      <c r="L492" t="s">
        <v>27</v>
      </c>
      <c r="M492" s="5">
        <v>-29.7</v>
      </c>
      <c r="N492" s="3">
        <v>0</v>
      </c>
      <c r="O492" t="s">
        <v>909</v>
      </c>
      <c r="P492" t="s">
        <v>937</v>
      </c>
      <c r="Q492" t="s">
        <v>909</v>
      </c>
      <c r="R492" t="str">
        <f t="shared" si="15"/>
        <v>Sim</v>
      </c>
      <c r="S492" t="s">
        <v>909</v>
      </c>
      <c r="T492" t="s">
        <v>30</v>
      </c>
      <c r="U492" t="s">
        <v>158</v>
      </c>
      <c r="V492" s="3">
        <v>-29.7</v>
      </c>
      <c r="W492" t="s">
        <v>158</v>
      </c>
      <c r="X492" s="3">
        <v>-29.7</v>
      </c>
    </row>
    <row r="493" spans="1:24" s="2" customFormat="1" x14ac:dyDescent="0.2">
      <c r="A493">
        <v>493</v>
      </c>
      <c r="B493"/>
      <c r="C493" t="s">
        <v>297</v>
      </c>
      <c r="D493" t="s">
        <v>715</v>
      </c>
      <c r="E493" t="s">
        <v>566</v>
      </c>
      <c r="F493" t="s">
        <v>63</v>
      </c>
      <c r="G493" t="s">
        <v>25</v>
      </c>
      <c r="H493" t="str">
        <f t="shared" si="14"/>
        <v xml:space="preserve">DARF PREVIDENCIARIO (ANTIGO GPS) | Recorrência:5/12 | Observações: valor poderá ser alterado </v>
      </c>
      <c r="I493" t="s">
        <v>755</v>
      </c>
      <c r="J493" s="5">
        <v>-34.33</v>
      </c>
      <c r="K493" s="4">
        <v>501255.35</v>
      </c>
      <c r="L493" t="s">
        <v>756</v>
      </c>
      <c r="M493" s="5">
        <v>-1335.04</v>
      </c>
      <c r="N493" s="3">
        <v>0</v>
      </c>
      <c r="O493" t="s">
        <v>909</v>
      </c>
      <c r="P493" t="s">
        <v>836</v>
      </c>
      <c r="Q493" t="s">
        <v>909</v>
      </c>
      <c r="R493" t="str">
        <f t="shared" si="15"/>
        <v>Sim</v>
      </c>
      <c r="S493" t="s">
        <v>909</v>
      </c>
      <c r="T493" t="s">
        <v>717</v>
      </c>
      <c r="U493" t="s">
        <v>677</v>
      </c>
      <c r="V493" s="3">
        <v>-34.33</v>
      </c>
      <c r="W493" t="s">
        <v>376</v>
      </c>
      <c r="X493" s="3">
        <v>-34.33</v>
      </c>
    </row>
    <row r="494" spans="1:24" s="2" customFormat="1" x14ac:dyDescent="0.2">
      <c r="A494" s="2">
        <v>494</v>
      </c>
      <c r="B494"/>
      <c r="C494" t="s">
        <v>817</v>
      </c>
      <c r="D494" t="s">
        <v>758</v>
      </c>
      <c r="E494" t="s">
        <v>133</v>
      </c>
      <c r="F494" t="s">
        <v>24</v>
      </c>
      <c r="G494" t="s">
        <v>25</v>
      </c>
      <c r="H494" t="str">
        <f t="shared" si="14"/>
        <v>ELIAS_MARCENEIRO | Recorrência:2/5 | Observações: PEDIDO PARCELADO EM 5X</v>
      </c>
      <c r="I494" t="s">
        <v>26</v>
      </c>
      <c r="J494" s="4">
        <v>1240</v>
      </c>
      <c r="K494" s="4">
        <v>502495.35</v>
      </c>
      <c r="L494" t="s">
        <v>27</v>
      </c>
      <c r="M494" s="4">
        <v>1240</v>
      </c>
      <c r="N494" s="3">
        <v>0</v>
      </c>
      <c r="O494" t="s">
        <v>949</v>
      </c>
      <c r="P494" t="s">
        <v>909</v>
      </c>
      <c r="Q494" t="s">
        <v>949</v>
      </c>
      <c r="R494" t="str">
        <f t="shared" si="15"/>
        <v>Sim</v>
      </c>
      <c r="S494" t="s">
        <v>949</v>
      </c>
      <c r="T494" t="s">
        <v>893</v>
      </c>
      <c r="U494" t="s">
        <v>49</v>
      </c>
      <c r="V494" s="3">
        <v>1240</v>
      </c>
      <c r="W494" t="s">
        <v>494</v>
      </c>
      <c r="X494" s="3">
        <v>1240</v>
      </c>
    </row>
    <row r="495" spans="1:24" s="2" customFormat="1" x14ac:dyDescent="0.2">
      <c r="A495">
        <v>495</v>
      </c>
      <c r="B495"/>
      <c r="C495" t="s">
        <v>153</v>
      </c>
      <c r="D495" t="s">
        <v>838</v>
      </c>
      <c r="E495" t="s">
        <v>950</v>
      </c>
      <c r="F495" t="s">
        <v>63</v>
      </c>
      <c r="G495" t="s">
        <v>25</v>
      </c>
      <c r="H495" t="str">
        <f t="shared" si="14"/>
        <v xml:space="preserve">CARTÃO DE CREDITO_ FINAL 5507 | Recorrência:4/10 | Observações: </v>
      </c>
      <c r="I495" t="s">
        <v>26</v>
      </c>
      <c r="J495" s="5">
        <v>-995.29</v>
      </c>
      <c r="K495" s="4">
        <v>501500.06</v>
      </c>
      <c r="L495" t="s">
        <v>27</v>
      </c>
      <c r="M495" s="5">
        <v>-995.29</v>
      </c>
      <c r="N495" s="3">
        <v>0</v>
      </c>
      <c r="O495" t="s">
        <v>949</v>
      </c>
      <c r="P495" t="s">
        <v>949</v>
      </c>
      <c r="Q495" t="s">
        <v>949</v>
      </c>
      <c r="R495" t="str">
        <f t="shared" si="15"/>
        <v>Sim</v>
      </c>
      <c r="S495" t="s">
        <v>949</v>
      </c>
      <c r="T495" t="s">
        <v>30</v>
      </c>
      <c r="U495" t="s">
        <v>764</v>
      </c>
      <c r="V495" s="3">
        <v>-995.29</v>
      </c>
      <c r="W495" t="s">
        <v>158</v>
      </c>
      <c r="X495" s="3">
        <v>-995.29</v>
      </c>
    </row>
    <row r="496" spans="1:24" s="2" customFormat="1" x14ac:dyDescent="0.2">
      <c r="A496" s="2">
        <v>496</v>
      </c>
      <c r="B496"/>
      <c r="C496" t="s">
        <v>795</v>
      </c>
      <c r="D496" t="s">
        <v>952</v>
      </c>
      <c r="E496" t="s">
        <v>30</v>
      </c>
      <c r="F496" t="s">
        <v>24</v>
      </c>
      <c r="G496" t="s">
        <v>25</v>
      </c>
      <c r="H496" t="str">
        <f t="shared" si="14"/>
        <v xml:space="preserve">ACRILICO_WELLINGTON | Recorrência: | Observações: </v>
      </c>
      <c r="I496" t="s">
        <v>26</v>
      </c>
      <c r="J496" s="4">
        <v>300</v>
      </c>
      <c r="K496" s="4">
        <v>501800.06</v>
      </c>
      <c r="L496" t="s">
        <v>27</v>
      </c>
      <c r="M496" s="4">
        <v>300</v>
      </c>
      <c r="N496" s="3">
        <v>0</v>
      </c>
      <c r="O496" t="s">
        <v>951</v>
      </c>
      <c r="P496" t="s">
        <v>909</v>
      </c>
      <c r="Q496" t="s">
        <v>951</v>
      </c>
      <c r="R496" t="str">
        <f t="shared" si="15"/>
        <v>Sim</v>
      </c>
      <c r="S496" t="s">
        <v>951</v>
      </c>
      <c r="T496" t="s">
        <v>30</v>
      </c>
      <c r="U496" t="s">
        <v>49</v>
      </c>
      <c r="V496" s="3">
        <v>300</v>
      </c>
      <c r="W496" t="s">
        <v>494</v>
      </c>
      <c r="X496" s="3">
        <v>300</v>
      </c>
    </row>
    <row r="497" spans="1:24" s="2" customFormat="1" x14ac:dyDescent="0.2">
      <c r="A497">
        <v>497</v>
      </c>
      <c r="B497"/>
      <c r="C497" t="s">
        <v>799</v>
      </c>
      <c r="D497" t="s">
        <v>96</v>
      </c>
      <c r="E497" t="s">
        <v>30</v>
      </c>
      <c r="F497" t="s">
        <v>24</v>
      </c>
      <c r="G497" t="s">
        <v>25</v>
      </c>
      <c r="H497" t="str">
        <f t="shared" si="14"/>
        <v xml:space="preserve">CAROLINA FURQUIM | Recorrência: | Observações: </v>
      </c>
      <c r="I497" t="s">
        <v>26</v>
      </c>
      <c r="J497" s="4">
        <v>6455.4</v>
      </c>
      <c r="K497" s="4">
        <v>508255.46</v>
      </c>
      <c r="L497" t="s">
        <v>27</v>
      </c>
      <c r="M497" s="4">
        <v>6455.4</v>
      </c>
      <c r="N497" s="3">
        <v>0</v>
      </c>
      <c r="O497" t="s">
        <v>951</v>
      </c>
      <c r="P497" t="s">
        <v>909</v>
      </c>
      <c r="Q497" t="s">
        <v>951</v>
      </c>
      <c r="R497" t="str">
        <f t="shared" si="15"/>
        <v>Sim</v>
      </c>
      <c r="S497" t="s">
        <v>951</v>
      </c>
      <c r="T497" t="s">
        <v>30</v>
      </c>
      <c r="U497" t="s">
        <v>463</v>
      </c>
      <c r="V497" s="3">
        <v>6455.4</v>
      </c>
      <c r="W497" t="s">
        <v>801</v>
      </c>
      <c r="X497" s="3">
        <v>6455.4</v>
      </c>
    </row>
    <row r="498" spans="1:24" s="2" customFormat="1" x14ac:dyDescent="0.2">
      <c r="A498" s="2">
        <v>498</v>
      </c>
      <c r="B498"/>
      <c r="C498" t="s">
        <v>792</v>
      </c>
      <c r="D498" t="s">
        <v>325</v>
      </c>
      <c r="E498" t="s">
        <v>95</v>
      </c>
      <c r="F498" t="s">
        <v>24</v>
      </c>
      <c r="G498" t="s">
        <v>25</v>
      </c>
      <c r="H498" t="str">
        <f t="shared" si="14"/>
        <v xml:space="preserve">VIA MADEIRA (HAEHLING) | Recorrência:2/2 | Observações: </v>
      </c>
      <c r="I498" t="s">
        <v>26</v>
      </c>
      <c r="J498" s="4">
        <v>119</v>
      </c>
      <c r="K498" s="4">
        <v>508374.46</v>
      </c>
      <c r="L498" t="s">
        <v>27</v>
      </c>
      <c r="M498" s="4">
        <v>119</v>
      </c>
      <c r="N498" s="3">
        <v>0</v>
      </c>
      <c r="O498" t="s">
        <v>953</v>
      </c>
      <c r="P498" t="s">
        <v>911</v>
      </c>
      <c r="Q498" t="s">
        <v>913</v>
      </c>
      <c r="R498" t="str">
        <f t="shared" si="15"/>
        <v>Sim</v>
      </c>
      <c r="S498" t="s">
        <v>913</v>
      </c>
      <c r="T498" t="s">
        <v>30</v>
      </c>
      <c r="U498" t="s">
        <v>49</v>
      </c>
      <c r="V498" s="3">
        <v>119</v>
      </c>
      <c r="W498" t="s">
        <v>49</v>
      </c>
      <c r="X498" s="3">
        <v>119</v>
      </c>
    </row>
    <row r="499" spans="1:24" s="2" customFormat="1" x14ac:dyDescent="0.2">
      <c r="A499">
        <v>499</v>
      </c>
      <c r="B499"/>
      <c r="C499" t="s">
        <v>101</v>
      </c>
      <c r="D499" t="s">
        <v>211</v>
      </c>
      <c r="E499" t="s">
        <v>30</v>
      </c>
      <c r="F499" t="s">
        <v>24</v>
      </c>
      <c r="G499" t="s">
        <v>25</v>
      </c>
      <c r="H499" t="str">
        <f t="shared" si="14"/>
        <v xml:space="preserve">PARQUET SP (PASS WOR C) | Recorrência: | Observações: </v>
      </c>
      <c r="I499" t="s">
        <v>26</v>
      </c>
      <c r="J499" s="4">
        <v>3940.19</v>
      </c>
      <c r="K499" s="4">
        <v>512314.65</v>
      </c>
      <c r="L499" t="s">
        <v>27</v>
      </c>
      <c r="M499" s="4">
        <v>3940.19</v>
      </c>
      <c r="N499" s="3">
        <v>0</v>
      </c>
      <c r="O499" t="s">
        <v>953</v>
      </c>
      <c r="P499" t="s">
        <v>840</v>
      </c>
      <c r="Q499" t="s">
        <v>954</v>
      </c>
      <c r="R499" t="str">
        <f t="shared" si="15"/>
        <v>Sim</v>
      </c>
      <c r="S499" t="s">
        <v>954</v>
      </c>
      <c r="T499" t="s">
        <v>30</v>
      </c>
      <c r="U499" t="s">
        <v>49</v>
      </c>
      <c r="V499" s="3">
        <v>3940.19</v>
      </c>
      <c r="W499" t="s">
        <v>494</v>
      </c>
      <c r="X499" s="3">
        <v>3940.19</v>
      </c>
    </row>
    <row r="500" spans="1:24" s="2" customFormat="1" x14ac:dyDescent="0.2">
      <c r="A500" s="2">
        <v>500</v>
      </c>
      <c r="B500"/>
      <c r="C500" t="s">
        <v>297</v>
      </c>
      <c r="D500" t="s">
        <v>481</v>
      </c>
      <c r="E500" t="s">
        <v>471</v>
      </c>
      <c r="F500" t="s">
        <v>63</v>
      </c>
      <c r="G500" t="s">
        <v>25</v>
      </c>
      <c r="H500" t="str">
        <f t="shared" si="14"/>
        <v>DARF_COFINS | Recorrência:3/12 | Observações: APURAÇÃO DEZEMBRO/2021</v>
      </c>
      <c r="I500" t="s">
        <v>26</v>
      </c>
      <c r="J500" s="5">
        <v>-23.48</v>
      </c>
      <c r="K500" s="4">
        <v>512291.17</v>
      </c>
      <c r="L500" t="s">
        <v>27</v>
      </c>
      <c r="M500" s="5">
        <v>-23.48</v>
      </c>
      <c r="N500" s="3">
        <v>0</v>
      </c>
      <c r="O500" t="s">
        <v>897</v>
      </c>
      <c r="P500" t="s">
        <v>911</v>
      </c>
      <c r="Q500" t="s">
        <v>897</v>
      </c>
      <c r="R500" t="str">
        <f t="shared" si="15"/>
        <v>Sim</v>
      </c>
      <c r="S500" t="s">
        <v>897</v>
      </c>
      <c r="T500" t="s">
        <v>683</v>
      </c>
      <c r="U500" t="s">
        <v>483</v>
      </c>
      <c r="V500" s="3">
        <v>-23.48</v>
      </c>
      <c r="W500" t="s">
        <v>190</v>
      </c>
      <c r="X500" s="3">
        <v>-23.48</v>
      </c>
    </row>
    <row r="501" spans="1:24" s="2" customFormat="1" x14ac:dyDescent="0.2">
      <c r="A501">
        <v>501</v>
      </c>
      <c r="B501"/>
      <c r="C501" t="s">
        <v>153</v>
      </c>
      <c r="D501" t="s">
        <v>519</v>
      </c>
      <c r="E501" t="s">
        <v>955</v>
      </c>
      <c r="F501" t="s">
        <v>63</v>
      </c>
      <c r="G501" t="s">
        <v>25</v>
      </c>
      <c r="H501" t="str">
        <f t="shared" si="14"/>
        <v xml:space="preserve">SALÁRIO POLIANA  | Recorrência:11/12 | Observações: ESTAGIÁRIA </v>
      </c>
      <c r="I501" t="s">
        <v>26</v>
      </c>
      <c r="J501" s="5">
        <v>-1848</v>
      </c>
      <c r="K501" s="4">
        <v>510443.17</v>
      </c>
      <c r="L501" t="s">
        <v>27</v>
      </c>
      <c r="M501" s="5">
        <v>-1848</v>
      </c>
      <c r="N501" s="3">
        <v>0</v>
      </c>
      <c r="O501" t="s">
        <v>897</v>
      </c>
      <c r="P501" t="s">
        <v>883</v>
      </c>
      <c r="Q501" t="s">
        <v>954</v>
      </c>
      <c r="R501" t="str">
        <f t="shared" si="15"/>
        <v>Sim</v>
      </c>
      <c r="S501" t="s">
        <v>954</v>
      </c>
      <c r="T501" t="s">
        <v>322</v>
      </c>
      <c r="U501" t="s">
        <v>323</v>
      </c>
      <c r="V501" s="3">
        <v>-1848</v>
      </c>
      <c r="W501" t="s">
        <v>956</v>
      </c>
      <c r="X501" s="3">
        <v>-1848</v>
      </c>
    </row>
    <row r="502" spans="1:24" s="2" customFormat="1" x14ac:dyDescent="0.2">
      <c r="A502" s="2">
        <v>502</v>
      </c>
      <c r="B502"/>
      <c r="C502" t="s">
        <v>416</v>
      </c>
      <c r="D502" t="s">
        <v>175</v>
      </c>
      <c r="E502" t="s">
        <v>30</v>
      </c>
      <c r="F502" t="s">
        <v>24</v>
      </c>
      <c r="G502" t="s">
        <v>25</v>
      </c>
      <c r="H502" t="str">
        <f t="shared" si="14"/>
        <v>PORTOBELLO (PBTECH E SERV) | Recorrência: | Observações: PEDIDO 292387</v>
      </c>
      <c r="I502" t="s">
        <v>26</v>
      </c>
      <c r="J502" s="4">
        <v>152.15</v>
      </c>
      <c r="K502" s="4">
        <v>510595.32</v>
      </c>
      <c r="L502" t="s">
        <v>27</v>
      </c>
      <c r="M502" s="4">
        <v>152.15</v>
      </c>
      <c r="N502" s="3">
        <v>0</v>
      </c>
      <c r="O502" t="s">
        <v>897</v>
      </c>
      <c r="P502" t="s">
        <v>848</v>
      </c>
      <c r="Q502" t="s">
        <v>897</v>
      </c>
      <c r="R502" t="str">
        <f t="shared" si="15"/>
        <v>Sim</v>
      </c>
      <c r="S502" t="s">
        <v>897</v>
      </c>
      <c r="T502" t="s">
        <v>957</v>
      </c>
      <c r="U502" t="s">
        <v>49</v>
      </c>
      <c r="V502" s="3">
        <v>152.15</v>
      </c>
      <c r="W502" t="s">
        <v>494</v>
      </c>
      <c r="X502" s="3">
        <v>152.15</v>
      </c>
    </row>
    <row r="503" spans="1:24" s="2" customFormat="1" x14ac:dyDescent="0.2">
      <c r="A503">
        <v>503</v>
      </c>
      <c r="B503"/>
      <c r="C503" t="s">
        <v>386</v>
      </c>
      <c r="D503" t="s">
        <v>940</v>
      </c>
      <c r="E503" t="s">
        <v>67</v>
      </c>
      <c r="F503" t="s">
        <v>24</v>
      </c>
      <c r="G503" t="s">
        <v>25</v>
      </c>
      <c r="H503" t="str">
        <f t="shared" si="14"/>
        <v>ALLFORM DESIGN | Recorrência:1/2 | Observações: Pedido All 1062</v>
      </c>
      <c r="I503" t="s">
        <v>26</v>
      </c>
      <c r="J503" s="4">
        <v>3962.5</v>
      </c>
      <c r="K503" s="4">
        <v>514557.82</v>
      </c>
      <c r="L503" t="s">
        <v>27</v>
      </c>
      <c r="M503" s="4">
        <v>3962.5</v>
      </c>
      <c r="N503" s="3">
        <v>0</v>
      </c>
      <c r="O503" t="s">
        <v>897</v>
      </c>
      <c r="P503" t="s">
        <v>854</v>
      </c>
      <c r="Q503" t="s">
        <v>897</v>
      </c>
      <c r="R503" t="str">
        <f t="shared" si="15"/>
        <v>Sim</v>
      </c>
      <c r="S503" t="s">
        <v>897</v>
      </c>
      <c r="T503" t="s">
        <v>958</v>
      </c>
      <c r="U503" t="s">
        <v>49</v>
      </c>
      <c r="V503" s="3">
        <v>3962.5</v>
      </c>
      <c r="W503" t="s">
        <v>494</v>
      </c>
      <c r="X503" s="3">
        <v>3962.5</v>
      </c>
    </row>
    <row r="504" spans="1:24" s="2" customFormat="1" x14ac:dyDescent="0.2">
      <c r="A504" s="2">
        <v>504</v>
      </c>
      <c r="B504"/>
      <c r="C504" t="s">
        <v>863</v>
      </c>
      <c r="D504" t="s">
        <v>226</v>
      </c>
      <c r="E504" t="s">
        <v>133</v>
      </c>
      <c r="F504" t="s">
        <v>24</v>
      </c>
      <c r="G504" t="s">
        <v>25</v>
      </c>
      <c r="H504" t="str">
        <f t="shared" si="14"/>
        <v>ESPAÇO REFORMAR (DMP REFORMAS ) | Recorrência:2/5 | Observações: 10% SOBRE VALOR PARCELADO</v>
      </c>
      <c r="I504" t="s">
        <v>26</v>
      </c>
      <c r="J504" s="4">
        <v>2764.32</v>
      </c>
      <c r="K504" s="4">
        <v>517322.14</v>
      </c>
      <c r="L504" t="s">
        <v>27</v>
      </c>
      <c r="M504" s="4">
        <v>2764.32</v>
      </c>
      <c r="N504" s="3">
        <v>0</v>
      </c>
      <c r="O504" t="s">
        <v>959</v>
      </c>
      <c r="P504" t="s">
        <v>746</v>
      </c>
      <c r="Q504" t="s">
        <v>913</v>
      </c>
      <c r="R504" t="str">
        <f t="shared" si="15"/>
        <v>Sim</v>
      </c>
      <c r="S504" t="s">
        <v>913</v>
      </c>
      <c r="T504" t="s">
        <v>879</v>
      </c>
      <c r="U504" t="s">
        <v>49</v>
      </c>
      <c r="V504" s="3">
        <v>2764.32</v>
      </c>
      <c r="W504" t="s">
        <v>49</v>
      </c>
      <c r="X504" s="3">
        <v>2764.32</v>
      </c>
    </row>
    <row r="505" spans="1:24" s="2" customFormat="1" x14ac:dyDescent="0.2">
      <c r="A505">
        <v>505</v>
      </c>
      <c r="B505"/>
      <c r="C505" t="s">
        <v>386</v>
      </c>
      <c r="D505" t="s">
        <v>226</v>
      </c>
      <c r="E505" t="s">
        <v>247</v>
      </c>
      <c r="F505" t="s">
        <v>24</v>
      </c>
      <c r="G505" t="s">
        <v>25</v>
      </c>
      <c r="H505" t="str">
        <f t="shared" si="14"/>
        <v xml:space="preserve">ESPAÇO REFORMAR (DMP REFORMAS ) | Recorrência:4/6 | Observações: </v>
      </c>
      <c r="I505" t="s">
        <v>26</v>
      </c>
      <c r="J505" s="4">
        <v>3500</v>
      </c>
      <c r="K505" s="4">
        <v>520822.14</v>
      </c>
      <c r="L505" t="s">
        <v>27</v>
      </c>
      <c r="M505" s="4">
        <v>3500</v>
      </c>
      <c r="N505" s="3">
        <v>0</v>
      </c>
      <c r="O505" t="s">
        <v>959</v>
      </c>
      <c r="P505" t="s">
        <v>960</v>
      </c>
      <c r="Q505" t="s">
        <v>961</v>
      </c>
      <c r="R505" t="str">
        <f t="shared" si="15"/>
        <v>Sim</v>
      </c>
      <c r="S505" t="s">
        <v>961</v>
      </c>
      <c r="T505" t="s">
        <v>30</v>
      </c>
      <c r="U505" t="s">
        <v>49</v>
      </c>
      <c r="V505" s="3">
        <v>3500</v>
      </c>
      <c r="W505" t="s">
        <v>49</v>
      </c>
      <c r="X505" s="3">
        <v>3500</v>
      </c>
    </row>
    <row r="506" spans="1:24" s="2" customFormat="1" x14ac:dyDescent="0.2">
      <c r="A506" s="2">
        <v>506</v>
      </c>
      <c r="B506"/>
      <c r="C506" t="s">
        <v>153</v>
      </c>
      <c r="D506" t="s">
        <v>733</v>
      </c>
      <c r="E506" t="s">
        <v>566</v>
      </c>
      <c r="F506" t="s">
        <v>63</v>
      </c>
      <c r="G506" t="s">
        <v>25</v>
      </c>
      <c r="H506" t="str">
        <f t="shared" si="14"/>
        <v xml:space="preserve">ISABELA ROSSI _ ESTAGIÁRIA  | Recorrência:5/12 | Observações: </v>
      </c>
      <c r="I506" t="s">
        <v>26</v>
      </c>
      <c r="J506" s="5">
        <v>-817.25</v>
      </c>
      <c r="K506" s="4">
        <v>520004.89</v>
      </c>
      <c r="L506" t="s">
        <v>27</v>
      </c>
      <c r="M506" s="5">
        <v>-817.25</v>
      </c>
      <c r="N506" s="3">
        <v>0</v>
      </c>
      <c r="O506" t="s">
        <v>954</v>
      </c>
      <c r="P506" t="s">
        <v>908</v>
      </c>
      <c r="Q506" t="s">
        <v>954</v>
      </c>
      <c r="R506" t="str">
        <f t="shared" si="15"/>
        <v>Sim</v>
      </c>
      <c r="S506" t="s">
        <v>954</v>
      </c>
      <c r="T506" t="s">
        <v>30</v>
      </c>
      <c r="U506" t="s">
        <v>323</v>
      </c>
      <c r="V506" s="3">
        <v>-817.25</v>
      </c>
      <c r="W506" t="s">
        <v>956</v>
      </c>
      <c r="X506" s="3">
        <v>-817.25</v>
      </c>
    </row>
    <row r="507" spans="1:24" s="2" customFormat="1" x14ac:dyDescent="0.2">
      <c r="A507">
        <v>507</v>
      </c>
      <c r="B507"/>
      <c r="C507" t="s">
        <v>828</v>
      </c>
      <c r="D507" t="s">
        <v>830</v>
      </c>
      <c r="E507" t="s">
        <v>962</v>
      </c>
      <c r="F507" t="s">
        <v>63</v>
      </c>
      <c r="G507" t="s">
        <v>25</v>
      </c>
      <c r="H507" t="str">
        <f t="shared" si="14"/>
        <v xml:space="preserve">PREFEITURA DO MUNICIPIO DE BERTIOGA | Recorrência:3/41 | Observações: REF.02 PAGAMENTOS </v>
      </c>
      <c r="I507" t="s">
        <v>26</v>
      </c>
      <c r="J507" s="5">
        <v>-327.02999999999997</v>
      </c>
      <c r="K507" s="4">
        <v>519677.86</v>
      </c>
      <c r="L507" t="s">
        <v>27</v>
      </c>
      <c r="M507" s="5">
        <v>-327.02999999999997</v>
      </c>
      <c r="N507" s="3">
        <v>0</v>
      </c>
      <c r="O507" t="s">
        <v>954</v>
      </c>
      <c r="P507" t="s">
        <v>937</v>
      </c>
      <c r="Q507" t="s">
        <v>954</v>
      </c>
      <c r="R507" t="str">
        <f t="shared" si="15"/>
        <v>Sim</v>
      </c>
      <c r="S507" t="s">
        <v>954</v>
      </c>
      <c r="T507" t="s">
        <v>831</v>
      </c>
      <c r="U507" t="s">
        <v>832</v>
      </c>
      <c r="V507" s="3">
        <v>-327.02999999999997</v>
      </c>
    </row>
    <row r="508" spans="1:24" s="2" customFormat="1" x14ac:dyDescent="0.2">
      <c r="A508" s="2">
        <v>508</v>
      </c>
      <c r="B508"/>
      <c r="C508" t="s">
        <v>386</v>
      </c>
      <c r="D508" t="s">
        <v>940</v>
      </c>
      <c r="E508" t="s">
        <v>95</v>
      </c>
      <c r="F508" t="s">
        <v>24</v>
      </c>
      <c r="G508" t="s">
        <v>25</v>
      </c>
      <c r="H508" t="str">
        <f t="shared" si="14"/>
        <v>ALLFORM DESIGN | Recorrência:2/2 | Observações: Pedido All 1062</v>
      </c>
      <c r="I508" t="s">
        <v>26</v>
      </c>
      <c r="J508" s="4">
        <v>3962.5</v>
      </c>
      <c r="K508" s="4">
        <v>523640.36</v>
      </c>
      <c r="L508" t="s">
        <v>27</v>
      </c>
      <c r="M508" s="4">
        <v>3962.5</v>
      </c>
      <c r="N508" s="3">
        <v>0</v>
      </c>
      <c r="O508" t="s">
        <v>954</v>
      </c>
      <c r="P508" t="s">
        <v>908</v>
      </c>
      <c r="Q508" t="s">
        <v>963</v>
      </c>
      <c r="R508" t="str">
        <f t="shared" si="15"/>
        <v>Sim</v>
      </c>
      <c r="S508" t="s">
        <v>963</v>
      </c>
      <c r="T508" t="s">
        <v>958</v>
      </c>
      <c r="U508" t="s">
        <v>49</v>
      </c>
      <c r="V508" s="3">
        <v>3962.5</v>
      </c>
      <c r="W508" t="s">
        <v>494</v>
      </c>
      <c r="X508" s="3">
        <v>3962.5</v>
      </c>
    </row>
    <row r="509" spans="1:24" s="2" customFormat="1" x14ac:dyDescent="0.2">
      <c r="A509">
        <v>509</v>
      </c>
      <c r="B509"/>
      <c r="C509" t="s">
        <v>710</v>
      </c>
      <c r="D509" t="s">
        <v>964</v>
      </c>
      <c r="E509" t="s">
        <v>30</v>
      </c>
      <c r="F509" t="s">
        <v>63</v>
      </c>
      <c r="G509" t="s">
        <v>25</v>
      </c>
      <c r="H509" t="str">
        <f t="shared" si="14"/>
        <v>ENEL ITAIM | Recorrência: | Observações: MEDIDOR 5332465</v>
      </c>
      <c r="I509" t="s">
        <v>26</v>
      </c>
      <c r="J509" s="5">
        <v>-797.2</v>
      </c>
      <c r="K509" s="4">
        <v>522843.16</v>
      </c>
      <c r="L509" t="s">
        <v>27</v>
      </c>
      <c r="M509" s="5">
        <v>-797.2</v>
      </c>
      <c r="N509" s="3">
        <v>0</v>
      </c>
      <c r="O509" t="s">
        <v>954</v>
      </c>
      <c r="P509" t="s">
        <v>876</v>
      </c>
      <c r="Q509" t="s">
        <v>954</v>
      </c>
      <c r="R509" t="str">
        <f t="shared" si="15"/>
        <v>Sim</v>
      </c>
      <c r="S509" t="s">
        <v>954</v>
      </c>
      <c r="T509" t="s">
        <v>965</v>
      </c>
      <c r="U509" t="s">
        <v>125</v>
      </c>
      <c r="V509" s="3">
        <v>-797.2</v>
      </c>
    </row>
    <row r="510" spans="1:24" s="2" customFormat="1" x14ac:dyDescent="0.2">
      <c r="A510" s="2">
        <v>510</v>
      </c>
      <c r="B510"/>
      <c r="C510"/>
      <c r="D510" t="s">
        <v>689</v>
      </c>
      <c r="E510" t="s">
        <v>566</v>
      </c>
      <c r="F510" t="s">
        <v>63</v>
      </c>
      <c r="G510" t="s">
        <v>25</v>
      </c>
      <c r="H510" t="str">
        <f t="shared" si="14"/>
        <v xml:space="preserve">LIMPEZA_JULIANA COSTA SOARES | Recorrência:5/12 | Observações: </v>
      </c>
      <c r="I510" t="s">
        <v>26</v>
      </c>
      <c r="J510" s="5">
        <v>-480</v>
      </c>
      <c r="K510" s="4">
        <v>522363.16</v>
      </c>
      <c r="L510" t="s">
        <v>27</v>
      </c>
      <c r="M510" s="5">
        <v>-480</v>
      </c>
      <c r="N510" s="3">
        <v>0</v>
      </c>
      <c r="O510" t="s">
        <v>954</v>
      </c>
      <c r="P510" t="s">
        <v>908</v>
      </c>
      <c r="Q510" t="s">
        <v>966</v>
      </c>
      <c r="R510" t="str">
        <f t="shared" si="15"/>
        <v>Sim</v>
      </c>
      <c r="S510" t="s">
        <v>966</v>
      </c>
      <c r="T510" t="s">
        <v>30</v>
      </c>
      <c r="U510" t="s">
        <v>783</v>
      </c>
      <c r="V510" s="3">
        <v>-480</v>
      </c>
    </row>
    <row r="511" spans="1:24" s="2" customFormat="1" x14ac:dyDescent="0.2">
      <c r="A511">
        <v>511</v>
      </c>
      <c r="B511"/>
      <c r="C511" t="s">
        <v>828</v>
      </c>
      <c r="D511" t="s">
        <v>830</v>
      </c>
      <c r="E511" t="s">
        <v>967</v>
      </c>
      <c r="F511" t="s">
        <v>63</v>
      </c>
      <c r="G511" t="s">
        <v>25</v>
      </c>
      <c r="H511" t="str">
        <f t="shared" si="14"/>
        <v xml:space="preserve">PREFEITURA DO MUNICIPIO DE BERTIOGA | Recorrência:4/41 | Observações: REF.02 PAGAMENTOS </v>
      </c>
      <c r="I511" t="s">
        <v>26</v>
      </c>
      <c r="J511" s="5">
        <v>-209.31</v>
      </c>
      <c r="K511" s="4">
        <v>522153.85</v>
      </c>
      <c r="L511" t="s">
        <v>27</v>
      </c>
      <c r="M511" s="5">
        <v>-209.31</v>
      </c>
      <c r="N511" s="3">
        <v>0</v>
      </c>
      <c r="O511" t="s">
        <v>938</v>
      </c>
      <c r="P511" t="s">
        <v>968</v>
      </c>
      <c r="Q511" t="s">
        <v>963</v>
      </c>
      <c r="R511" t="str">
        <f t="shared" si="15"/>
        <v>Sim</v>
      </c>
      <c r="S511" t="s">
        <v>963</v>
      </c>
      <c r="T511" t="s">
        <v>831</v>
      </c>
      <c r="U511" t="s">
        <v>832</v>
      </c>
      <c r="V511" s="3">
        <v>-209.31</v>
      </c>
    </row>
    <row r="512" spans="1:24" s="2" customFormat="1" x14ac:dyDescent="0.2">
      <c r="A512" s="2">
        <v>512</v>
      </c>
      <c r="B512"/>
      <c r="C512"/>
      <c r="D512" t="s">
        <v>151</v>
      </c>
      <c r="E512" t="s">
        <v>634</v>
      </c>
      <c r="F512" t="s">
        <v>63</v>
      </c>
      <c r="G512" t="s">
        <v>25</v>
      </c>
      <c r="H512" t="str">
        <f t="shared" si="14"/>
        <v xml:space="preserve">SODEXO - Eliane  | Recorrência:6/12 | Observações: </v>
      </c>
      <c r="I512" t="s">
        <v>26</v>
      </c>
      <c r="J512" s="5">
        <v>-540</v>
      </c>
      <c r="K512" s="4">
        <v>521613.85</v>
      </c>
      <c r="L512" t="s">
        <v>27</v>
      </c>
      <c r="M512" s="5">
        <v>-540</v>
      </c>
      <c r="N512" s="3">
        <v>0</v>
      </c>
      <c r="O512" t="s">
        <v>969</v>
      </c>
      <c r="P512" t="s">
        <v>909</v>
      </c>
      <c r="Q512" t="s">
        <v>970</v>
      </c>
      <c r="R512" t="str">
        <f t="shared" si="15"/>
        <v>Sim</v>
      </c>
      <c r="S512" t="s">
        <v>970</v>
      </c>
      <c r="T512" t="s">
        <v>30</v>
      </c>
      <c r="U512" t="s">
        <v>93</v>
      </c>
      <c r="V512" s="3">
        <v>-540</v>
      </c>
    </row>
    <row r="513" spans="1:24" s="2" customFormat="1" x14ac:dyDescent="0.2">
      <c r="A513">
        <v>513</v>
      </c>
      <c r="B513"/>
      <c r="C513" t="s">
        <v>153</v>
      </c>
      <c r="D513" t="s">
        <v>635</v>
      </c>
      <c r="E513" t="s">
        <v>634</v>
      </c>
      <c r="F513" t="s">
        <v>63</v>
      </c>
      <c r="G513" t="s">
        <v>25</v>
      </c>
      <c r="H513" t="str">
        <f t="shared" si="14"/>
        <v xml:space="preserve">SALÁRIO HELOISA | Recorrência:6/12 | Observações: </v>
      </c>
      <c r="I513" t="s">
        <v>26</v>
      </c>
      <c r="J513" s="5">
        <v>-4474</v>
      </c>
      <c r="K513" s="4">
        <v>517139.85</v>
      </c>
      <c r="L513" t="s">
        <v>27</v>
      </c>
      <c r="M513" s="5">
        <v>-4474</v>
      </c>
      <c r="N513" s="3">
        <v>0</v>
      </c>
      <c r="O513" t="s">
        <v>969</v>
      </c>
      <c r="P513" t="s">
        <v>908</v>
      </c>
      <c r="Q513" t="s">
        <v>969</v>
      </c>
      <c r="R513" t="str">
        <f t="shared" si="15"/>
        <v>Sim</v>
      </c>
      <c r="S513" t="s">
        <v>969</v>
      </c>
      <c r="T513" t="s">
        <v>30</v>
      </c>
      <c r="U513" t="s">
        <v>323</v>
      </c>
      <c r="V513" s="3">
        <v>-4474</v>
      </c>
      <c r="W513" t="s">
        <v>324</v>
      </c>
      <c r="X513" s="3">
        <v>-4474</v>
      </c>
    </row>
    <row r="514" spans="1:24" s="2" customFormat="1" x14ac:dyDescent="0.2">
      <c r="A514" s="2">
        <v>514</v>
      </c>
      <c r="B514"/>
      <c r="C514" t="s">
        <v>153</v>
      </c>
      <c r="D514" t="s">
        <v>636</v>
      </c>
      <c r="E514" t="s">
        <v>634</v>
      </c>
      <c r="F514" t="s">
        <v>63</v>
      </c>
      <c r="G514" t="s">
        <v>25</v>
      </c>
      <c r="H514" t="str">
        <f t="shared" si="14"/>
        <v xml:space="preserve">SALÁRIO ELIANE | Recorrência:6/12 | Observações: </v>
      </c>
      <c r="I514" t="s">
        <v>26</v>
      </c>
      <c r="J514" s="5">
        <v>-1384.39</v>
      </c>
      <c r="K514" s="4">
        <v>515755.46</v>
      </c>
      <c r="L514" t="s">
        <v>27</v>
      </c>
      <c r="M514" s="5">
        <v>-1384.39</v>
      </c>
      <c r="N514" s="3">
        <v>0</v>
      </c>
      <c r="O514" t="s">
        <v>969</v>
      </c>
      <c r="P514" t="s">
        <v>954</v>
      </c>
      <c r="Q514" t="s">
        <v>971</v>
      </c>
      <c r="R514" t="str">
        <f t="shared" si="15"/>
        <v>Sim</v>
      </c>
      <c r="S514" t="s">
        <v>971</v>
      </c>
      <c r="T514" t="s">
        <v>30</v>
      </c>
      <c r="U514" t="s">
        <v>323</v>
      </c>
      <c r="V514" s="3">
        <v>-1384.39</v>
      </c>
      <c r="W514" t="s">
        <v>324</v>
      </c>
      <c r="X514" s="3">
        <v>-1384.39</v>
      </c>
    </row>
    <row r="515" spans="1:24" s="2" customFormat="1" x14ac:dyDescent="0.2">
      <c r="A515">
        <v>515</v>
      </c>
      <c r="B515"/>
      <c r="C515" t="s">
        <v>153</v>
      </c>
      <c r="D515" t="s">
        <v>572</v>
      </c>
      <c r="E515" t="s">
        <v>730</v>
      </c>
      <c r="F515" t="s">
        <v>63</v>
      </c>
      <c r="G515" t="s">
        <v>25</v>
      </c>
      <c r="H515" t="str">
        <f t="shared" ref="H515:H578" si="16">D515&amp;" | "&amp;$E$1&amp;E515&amp;" | Observações: "&amp;T515</f>
        <v xml:space="preserve">SALARIO FELIPE | Recorrência:7/12 | Observações: </v>
      </c>
      <c r="I515" t="s">
        <v>26</v>
      </c>
      <c r="J515" s="5">
        <v>-1694.4</v>
      </c>
      <c r="K515" s="4">
        <v>514061.06</v>
      </c>
      <c r="L515" t="s">
        <v>27</v>
      </c>
      <c r="M515" s="5">
        <v>-1694.4</v>
      </c>
      <c r="N515" s="3">
        <v>0</v>
      </c>
      <c r="O515" t="s">
        <v>969</v>
      </c>
      <c r="P515" t="s">
        <v>867</v>
      </c>
      <c r="Q515" t="s">
        <v>969</v>
      </c>
      <c r="R515" t="str">
        <f t="shared" ref="R515:R578" si="17">IF(Q515=S515,"Sim","nao")</f>
        <v>Sim</v>
      </c>
      <c r="S515" t="s">
        <v>969</v>
      </c>
      <c r="T515" t="s">
        <v>30</v>
      </c>
      <c r="U515" t="s">
        <v>323</v>
      </c>
      <c r="V515" s="3">
        <v>-1694.4</v>
      </c>
      <c r="W515" t="s">
        <v>324</v>
      </c>
      <c r="X515" s="3">
        <v>-1694.4</v>
      </c>
    </row>
    <row r="516" spans="1:24" s="2" customFormat="1" x14ac:dyDescent="0.2">
      <c r="A516" s="2">
        <v>516</v>
      </c>
      <c r="B516"/>
      <c r="C516" t="s">
        <v>153</v>
      </c>
      <c r="D516" t="s">
        <v>689</v>
      </c>
      <c r="E516" t="s">
        <v>634</v>
      </c>
      <c r="F516" t="s">
        <v>63</v>
      </c>
      <c r="G516" t="s">
        <v>25</v>
      </c>
      <c r="H516" t="str">
        <f t="shared" si="16"/>
        <v xml:space="preserve">LIMPEZA_JULIANA COSTA SOARES | Recorrência:6/12 | Observações: </v>
      </c>
      <c r="I516" t="s">
        <v>26</v>
      </c>
      <c r="J516" s="5">
        <v>-480</v>
      </c>
      <c r="K516" s="4">
        <v>513581.06</v>
      </c>
      <c r="L516" t="s">
        <v>27</v>
      </c>
      <c r="M516" s="5">
        <v>-480</v>
      </c>
      <c r="N516" s="3">
        <v>0</v>
      </c>
      <c r="O516" t="s">
        <v>969</v>
      </c>
      <c r="P516" t="s">
        <v>971</v>
      </c>
      <c r="Q516" t="s">
        <v>969</v>
      </c>
      <c r="R516" t="str">
        <f t="shared" si="17"/>
        <v>Sim</v>
      </c>
      <c r="S516" t="s">
        <v>969</v>
      </c>
      <c r="T516" t="s">
        <v>30</v>
      </c>
      <c r="U516" t="s">
        <v>783</v>
      </c>
      <c r="V516" s="3">
        <v>-480</v>
      </c>
    </row>
    <row r="517" spans="1:24" s="2" customFormat="1" x14ac:dyDescent="0.2">
      <c r="A517">
        <v>517</v>
      </c>
      <c r="B517"/>
      <c r="C517" t="s">
        <v>153</v>
      </c>
      <c r="D517" t="s">
        <v>659</v>
      </c>
      <c r="E517" t="s">
        <v>972</v>
      </c>
      <c r="F517" t="s">
        <v>63</v>
      </c>
      <c r="G517" t="s">
        <v>25</v>
      </c>
      <c r="H517" t="str">
        <f t="shared" si="16"/>
        <v>VALE TRANSPORTE _ELIANE | Recorrência:3/8 | Observações: DESCONTADOS DIAS  16-17-24</v>
      </c>
      <c r="I517" t="s">
        <v>26</v>
      </c>
      <c r="J517" s="5">
        <v>-334.4</v>
      </c>
      <c r="K517" s="4">
        <v>513246.66</v>
      </c>
      <c r="L517" t="s">
        <v>27</v>
      </c>
      <c r="M517" s="5">
        <v>-334.4</v>
      </c>
      <c r="N517" s="3">
        <v>0</v>
      </c>
      <c r="O517" t="s">
        <v>969</v>
      </c>
      <c r="P517" t="s">
        <v>969</v>
      </c>
      <c r="Q517" t="s">
        <v>973</v>
      </c>
      <c r="R517" t="str">
        <f t="shared" si="17"/>
        <v>Sim</v>
      </c>
      <c r="S517" t="s">
        <v>973</v>
      </c>
      <c r="T517" t="s">
        <v>974</v>
      </c>
      <c r="U517" t="s">
        <v>662</v>
      </c>
      <c r="V517" s="3">
        <v>-334.4</v>
      </c>
      <c r="W517" t="s">
        <v>698</v>
      </c>
      <c r="X517" s="3">
        <v>-334.4</v>
      </c>
    </row>
    <row r="518" spans="1:24" s="2" customFormat="1" x14ac:dyDescent="0.2">
      <c r="A518" s="2">
        <v>518</v>
      </c>
      <c r="B518"/>
      <c r="C518"/>
      <c r="D518" t="s">
        <v>905</v>
      </c>
      <c r="E518" t="s">
        <v>912</v>
      </c>
      <c r="F518" t="s">
        <v>63</v>
      </c>
      <c r="G518" t="s">
        <v>25</v>
      </c>
      <c r="H518" t="str">
        <f t="shared" si="16"/>
        <v xml:space="preserve">SALÁRIO JULYA | Recorrência:2/8 | Observações: </v>
      </c>
      <c r="I518" t="s">
        <v>26</v>
      </c>
      <c r="J518" s="5">
        <v>-3842.27</v>
      </c>
      <c r="K518" s="4">
        <v>509404.39</v>
      </c>
      <c r="L518" t="s">
        <v>27</v>
      </c>
      <c r="M518" s="5">
        <v>-3842.27</v>
      </c>
      <c r="N518" s="3">
        <v>0</v>
      </c>
      <c r="O518" t="s">
        <v>969</v>
      </c>
      <c r="P518" t="s">
        <v>969</v>
      </c>
      <c r="Q518" t="s">
        <v>969</v>
      </c>
      <c r="R518" t="str">
        <f t="shared" si="17"/>
        <v>Sim</v>
      </c>
      <c r="S518" t="s">
        <v>969</v>
      </c>
      <c r="T518" t="s">
        <v>30</v>
      </c>
      <c r="U518" t="s">
        <v>323</v>
      </c>
      <c r="V518" s="3">
        <v>-3842.27</v>
      </c>
    </row>
    <row r="519" spans="1:24" s="2" customFormat="1" x14ac:dyDescent="0.2">
      <c r="A519">
        <v>519</v>
      </c>
      <c r="B519"/>
      <c r="C519" t="s">
        <v>792</v>
      </c>
      <c r="D519" t="s">
        <v>976</v>
      </c>
      <c r="E519" t="s">
        <v>30</v>
      </c>
      <c r="F519" t="s">
        <v>24</v>
      </c>
      <c r="G519" t="s">
        <v>25</v>
      </c>
      <c r="H519" t="str">
        <f t="shared" si="16"/>
        <v xml:space="preserve">MN ARQUITETURA_ ELÉTRICA ANDRA | Recorrência: | Observações: </v>
      </c>
      <c r="I519" t="s">
        <v>26</v>
      </c>
      <c r="J519" s="4">
        <v>352.53</v>
      </c>
      <c r="K519" s="4">
        <v>509756.92</v>
      </c>
      <c r="L519" t="s">
        <v>27</v>
      </c>
      <c r="M519" s="4">
        <v>352.53</v>
      </c>
      <c r="N519" s="3">
        <v>0</v>
      </c>
      <c r="O519" t="s">
        <v>975</v>
      </c>
      <c r="P519" t="s">
        <v>953</v>
      </c>
      <c r="Q519" t="s">
        <v>975</v>
      </c>
      <c r="R519" t="str">
        <f t="shared" si="17"/>
        <v>Sim</v>
      </c>
      <c r="S519" t="s">
        <v>975</v>
      </c>
      <c r="T519" t="s">
        <v>30</v>
      </c>
      <c r="U519" t="s">
        <v>977</v>
      </c>
      <c r="V519" s="3">
        <v>352.53</v>
      </c>
      <c r="W519" t="s">
        <v>978</v>
      </c>
      <c r="X519" s="3">
        <v>352.53</v>
      </c>
    </row>
    <row r="520" spans="1:24" s="2" customFormat="1" x14ac:dyDescent="0.2">
      <c r="A520" s="2">
        <v>520</v>
      </c>
      <c r="B520"/>
      <c r="C520"/>
      <c r="D520" t="s">
        <v>964</v>
      </c>
      <c r="E520" t="s">
        <v>30</v>
      </c>
      <c r="F520" t="s">
        <v>63</v>
      </c>
      <c r="G520" t="s">
        <v>25</v>
      </c>
      <c r="H520" t="str">
        <f t="shared" si="16"/>
        <v>ENEL ITAIM | Recorrência: | Observações: REFERENTE AO MÊS DE MARÇO</v>
      </c>
      <c r="I520" t="s">
        <v>26</v>
      </c>
      <c r="J520" s="5">
        <v>-989.77</v>
      </c>
      <c r="K520" s="4">
        <v>508767.15</v>
      </c>
      <c r="L520" t="s">
        <v>27</v>
      </c>
      <c r="M520" s="5">
        <v>-989.77</v>
      </c>
      <c r="N520" s="3">
        <v>0</v>
      </c>
      <c r="O520" t="s">
        <v>975</v>
      </c>
      <c r="P520" t="s">
        <v>815</v>
      </c>
      <c r="Q520" t="s">
        <v>975</v>
      </c>
      <c r="R520" t="str">
        <f t="shared" si="17"/>
        <v>Sim</v>
      </c>
      <c r="S520" t="s">
        <v>975</v>
      </c>
      <c r="T520" t="s">
        <v>979</v>
      </c>
      <c r="U520" t="s">
        <v>125</v>
      </c>
      <c r="V520" s="3">
        <v>-989.77</v>
      </c>
    </row>
    <row r="521" spans="1:24" s="2" customFormat="1" x14ac:dyDescent="0.2">
      <c r="A521">
        <v>521</v>
      </c>
      <c r="B521"/>
      <c r="C521" t="s">
        <v>822</v>
      </c>
      <c r="D521" t="s">
        <v>226</v>
      </c>
      <c r="E521" t="s">
        <v>73</v>
      </c>
      <c r="F521" t="s">
        <v>24</v>
      </c>
      <c r="G521" t="s">
        <v>25</v>
      </c>
      <c r="H521" t="str">
        <f t="shared" si="16"/>
        <v xml:space="preserve">ESPAÇO REFORMAR (DMP REFORMAS ) | Recorrência:1/5 | Observações: </v>
      </c>
      <c r="I521" t="s">
        <v>26</v>
      </c>
      <c r="J521" s="4">
        <v>2900</v>
      </c>
      <c r="K521" s="4">
        <v>511667.15</v>
      </c>
      <c r="L521" t="s">
        <v>27</v>
      </c>
      <c r="M521" s="4">
        <v>2900</v>
      </c>
      <c r="N521" s="3">
        <v>0</v>
      </c>
      <c r="O521" t="s">
        <v>980</v>
      </c>
      <c r="P521" t="s">
        <v>848</v>
      </c>
      <c r="Q521" t="s">
        <v>981</v>
      </c>
      <c r="R521" t="str">
        <f t="shared" si="17"/>
        <v>Sim</v>
      </c>
      <c r="S521" t="s">
        <v>981</v>
      </c>
      <c r="T521" t="s">
        <v>30</v>
      </c>
      <c r="U521" t="s">
        <v>49</v>
      </c>
      <c r="V521" s="3">
        <v>2900</v>
      </c>
      <c r="W521" t="s">
        <v>494</v>
      </c>
      <c r="X521" s="3">
        <v>2900</v>
      </c>
    </row>
    <row r="522" spans="1:24" s="2" customFormat="1" x14ac:dyDescent="0.2">
      <c r="A522" s="2">
        <v>522</v>
      </c>
      <c r="B522"/>
      <c r="C522" t="s">
        <v>153</v>
      </c>
      <c r="D522" t="s">
        <v>630</v>
      </c>
      <c r="E522" t="s">
        <v>634</v>
      </c>
      <c r="F522" t="s">
        <v>63</v>
      </c>
      <c r="G522" t="s">
        <v>25</v>
      </c>
      <c r="H522" t="str">
        <f t="shared" si="16"/>
        <v xml:space="preserve">PRÓ-LABORE MAYARA | Recorrência:6/12 | Observações: </v>
      </c>
      <c r="I522" t="s">
        <v>26</v>
      </c>
      <c r="J522" s="5">
        <v>-15000</v>
      </c>
      <c r="K522" s="4">
        <v>496667.15</v>
      </c>
      <c r="L522" t="s">
        <v>27</v>
      </c>
      <c r="M522" s="5">
        <v>-15000</v>
      </c>
      <c r="N522" s="3">
        <v>0</v>
      </c>
      <c r="O522" t="s">
        <v>971</v>
      </c>
      <c r="P522" t="s">
        <v>922</v>
      </c>
      <c r="Q522" t="s">
        <v>971</v>
      </c>
      <c r="R522" t="str">
        <f t="shared" si="17"/>
        <v>Sim</v>
      </c>
      <c r="S522" t="s">
        <v>971</v>
      </c>
      <c r="T522" t="s">
        <v>30</v>
      </c>
      <c r="U522" t="s">
        <v>631</v>
      </c>
      <c r="V522" s="3">
        <v>-15000</v>
      </c>
      <c r="W522" t="s">
        <v>632</v>
      </c>
      <c r="X522" s="3">
        <v>-15000</v>
      </c>
    </row>
    <row r="523" spans="1:24" s="2" customFormat="1" x14ac:dyDescent="0.2">
      <c r="A523">
        <v>523</v>
      </c>
      <c r="B523"/>
      <c r="C523"/>
      <c r="D523" t="s">
        <v>633</v>
      </c>
      <c r="E523" t="s">
        <v>634</v>
      </c>
      <c r="F523" t="s">
        <v>63</v>
      </c>
      <c r="G523" t="s">
        <v>25</v>
      </c>
      <c r="H523" t="str">
        <f t="shared" si="16"/>
        <v xml:space="preserve">PRÓ-LABORE NATASHA | Recorrência:6/12 | Observações: </v>
      </c>
      <c r="I523" t="s">
        <v>26</v>
      </c>
      <c r="J523" s="5">
        <v>-15000</v>
      </c>
      <c r="K523" s="4">
        <v>481667.15</v>
      </c>
      <c r="L523" t="s">
        <v>27</v>
      </c>
      <c r="M523" s="5">
        <v>-15000</v>
      </c>
      <c r="N523" s="3">
        <v>0</v>
      </c>
      <c r="O523" t="s">
        <v>971</v>
      </c>
      <c r="P523" t="s">
        <v>867</v>
      </c>
      <c r="Q523" t="s">
        <v>971</v>
      </c>
      <c r="R523" t="str">
        <f t="shared" si="17"/>
        <v>Sim</v>
      </c>
      <c r="S523" t="s">
        <v>971</v>
      </c>
      <c r="T523" t="s">
        <v>30</v>
      </c>
      <c r="U523" t="s">
        <v>631</v>
      </c>
      <c r="V523" s="3">
        <v>-15000</v>
      </c>
    </row>
    <row r="524" spans="1:24" s="2" customFormat="1" x14ac:dyDescent="0.2">
      <c r="A524" s="2">
        <v>524</v>
      </c>
      <c r="B524"/>
      <c r="C524" t="s">
        <v>918</v>
      </c>
      <c r="D524" t="s">
        <v>274</v>
      </c>
      <c r="E524" t="s">
        <v>266</v>
      </c>
      <c r="F524" t="s">
        <v>24</v>
      </c>
      <c r="G524" t="s">
        <v>25</v>
      </c>
      <c r="H524" t="str">
        <f t="shared" si="16"/>
        <v xml:space="preserve">GERENCIAMENTO | Recorrência:4/5 | Observações: </v>
      </c>
      <c r="I524" t="s">
        <v>26</v>
      </c>
      <c r="J524" s="4">
        <v>4500</v>
      </c>
      <c r="K524" s="4">
        <v>486167.15</v>
      </c>
      <c r="L524" t="s">
        <v>27</v>
      </c>
      <c r="M524" s="4">
        <v>4500</v>
      </c>
      <c r="N524" s="3">
        <v>0</v>
      </c>
      <c r="O524" t="s">
        <v>982</v>
      </c>
      <c r="P524" t="s">
        <v>352</v>
      </c>
      <c r="Q524" t="s">
        <v>971</v>
      </c>
      <c r="R524" t="str">
        <f t="shared" si="17"/>
        <v>Sim</v>
      </c>
      <c r="S524" t="s">
        <v>971</v>
      </c>
      <c r="T524" t="s">
        <v>30</v>
      </c>
      <c r="U524" t="s">
        <v>274</v>
      </c>
      <c r="V524" s="3">
        <v>4500</v>
      </c>
      <c r="W524" t="s">
        <v>166</v>
      </c>
      <c r="X524" s="3">
        <v>4500</v>
      </c>
    </row>
    <row r="525" spans="1:24" s="2" customFormat="1" x14ac:dyDescent="0.2">
      <c r="A525">
        <v>525</v>
      </c>
      <c r="B525"/>
      <c r="C525" t="s">
        <v>153</v>
      </c>
      <c r="D525" t="s">
        <v>650</v>
      </c>
      <c r="E525" t="s">
        <v>634</v>
      </c>
      <c r="F525" t="s">
        <v>63</v>
      </c>
      <c r="G525" t="s">
        <v>25</v>
      </c>
      <c r="H525" t="str">
        <f t="shared" si="16"/>
        <v xml:space="preserve">FGTS | Recorrência:6/12 | Observações: </v>
      </c>
      <c r="I525" t="s">
        <v>26</v>
      </c>
      <c r="J525" s="5">
        <v>-120.1</v>
      </c>
      <c r="K525" s="4">
        <v>486047.05</v>
      </c>
      <c r="L525" t="s">
        <v>27</v>
      </c>
      <c r="M525" s="5">
        <v>-120.1</v>
      </c>
      <c r="N525" s="3">
        <v>0</v>
      </c>
      <c r="O525" t="s">
        <v>982</v>
      </c>
      <c r="P525" t="s">
        <v>922</v>
      </c>
      <c r="Q525" t="s">
        <v>919</v>
      </c>
      <c r="R525" t="str">
        <f t="shared" si="17"/>
        <v>Sim</v>
      </c>
      <c r="S525" t="s">
        <v>919</v>
      </c>
      <c r="T525" t="s">
        <v>30</v>
      </c>
      <c r="U525" t="s">
        <v>651</v>
      </c>
      <c r="V525" s="3">
        <v>-120.1</v>
      </c>
      <c r="W525" t="s">
        <v>376</v>
      </c>
      <c r="X525" s="3">
        <v>-120.1</v>
      </c>
    </row>
    <row r="526" spans="1:24" s="2" customFormat="1" x14ac:dyDescent="0.2">
      <c r="A526" s="2">
        <v>526</v>
      </c>
      <c r="B526"/>
      <c r="C526" t="s">
        <v>666</v>
      </c>
      <c r="D526" t="s">
        <v>667</v>
      </c>
      <c r="E526" t="s">
        <v>634</v>
      </c>
      <c r="F526" t="s">
        <v>63</v>
      </c>
      <c r="G526" t="s">
        <v>25</v>
      </c>
      <c r="H526" t="str">
        <f t="shared" si="16"/>
        <v>TELEFONIA E INTERNET | Recorrência:6/12 | Observações: conta Mayara paga pelo APP&gt; Lembrar o Pagamento</v>
      </c>
      <c r="I526" t="s">
        <v>26</v>
      </c>
      <c r="J526" s="5">
        <v>-139.99</v>
      </c>
      <c r="K526" s="4">
        <v>485907.06</v>
      </c>
      <c r="L526" t="s">
        <v>27</v>
      </c>
      <c r="M526" s="5">
        <v>-139.99</v>
      </c>
      <c r="N526" s="3">
        <v>0</v>
      </c>
      <c r="O526" t="s">
        <v>982</v>
      </c>
      <c r="P526" t="s">
        <v>924</v>
      </c>
      <c r="Q526" t="s">
        <v>983</v>
      </c>
      <c r="R526" t="str">
        <f t="shared" si="17"/>
        <v>Sim</v>
      </c>
      <c r="S526" t="s">
        <v>983</v>
      </c>
      <c r="T526" t="s">
        <v>669</v>
      </c>
      <c r="U526" t="s">
        <v>670</v>
      </c>
      <c r="V526" s="3">
        <v>-139.99</v>
      </c>
      <c r="W526" t="s">
        <v>324</v>
      </c>
      <c r="X526" s="3">
        <v>-139.99</v>
      </c>
    </row>
    <row r="527" spans="1:24" s="2" customFormat="1" x14ac:dyDescent="0.2">
      <c r="A527">
        <v>527</v>
      </c>
      <c r="B527"/>
      <c r="C527" t="s">
        <v>574</v>
      </c>
      <c r="D527" t="s">
        <v>575</v>
      </c>
      <c r="E527" t="s">
        <v>730</v>
      </c>
      <c r="F527" t="s">
        <v>63</v>
      </c>
      <c r="G527" t="s">
        <v>25</v>
      </c>
      <c r="H527" t="str">
        <f t="shared" si="16"/>
        <v>ALUGUEL+CONDOMINIO+IPTU | Recorrência:7/12 | Observações: REF: 05/21 _VENC 06/22</v>
      </c>
      <c r="I527" t="s">
        <v>26</v>
      </c>
      <c r="J527" s="5">
        <v>-5902</v>
      </c>
      <c r="K527" s="4">
        <v>480005.06</v>
      </c>
      <c r="L527" t="s">
        <v>27</v>
      </c>
      <c r="M527" s="5">
        <v>-5902</v>
      </c>
      <c r="N527" s="3">
        <v>0</v>
      </c>
      <c r="O527" t="s">
        <v>982</v>
      </c>
      <c r="P527" t="s">
        <v>953</v>
      </c>
      <c r="Q527" t="s">
        <v>971</v>
      </c>
      <c r="R527" t="str">
        <f t="shared" si="17"/>
        <v>Sim</v>
      </c>
      <c r="S527" t="s">
        <v>971</v>
      </c>
      <c r="T527" t="s">
        <v>984</v>
      </c>
      <c r="U527" t="s">
        <v>571</v>
      </c>
      <c r="V527" s="3">
        <v>-5902</v>
      </c>
      <c r="W527" t="s">
        <v>577</v>
      </c>
      <c r="X527" s="3">
        <v>-5902</v>
      </c>
    </row>
    <row r="528" spans="1:24" s="2" customFormat="1" x14ac:dyDescent="0.2">
      <c r="A528" s="2">
        <v>528</v>
      </c>
      <c r="B528"/>
      <c r="C528" t="s">
        <v>418</v>
      </c>
      <c r="D528" t="s">
        <v>112</v>
      </c>
      <c r="E528" t="s">
        <v>30</v>
      </c>
      <c r="F528" t="s">
        <v>24</v>
      </c>
      <c r="G528" t="s">
        <v>25</v>
      </c>
      <c r="H528" t="str">
        <f t="shared" si="16"/>
        <v>GENIO DO MARMORE | Recorrência: | Observações: referente ao deposito 2.090,00</v>
      </c>
      <c r="I528" t="s">
        <v>26</v>
      </c>
      <c r="J528" s="4">
        <v>1370</v>
      </c>
      <c r="K528" s="4">
        <v>481375.06</v>
      </c>
      <c r="L528" t="s">
        <v>27</v>
      </c>
      <c r="M528" s="4">
        <v>1370</v>
      </c>
      <c r="N528" s="3">
        <v>0</v>
      </c>
      <c r="O528" t="s">
        <v>982</v>
      </c>
      <c r="P528" t="s">
        <v>815</v>
      </c>
      <c r="Q528" t="s">
        <v>982</v>
      </c>
      <c r="R528" t="str">
        <f t="shared" si="17"/>
        <v>Sim</v>
      </c>
      <c r="S528" t="s">
        <v>982</v>
      </c>
      <c r="T528" t="s">
        <v>985</v>
      </c>
      <c r="U528" t="s">
        <v>49</v>
      </c>
      <c r="V528" s="3">
        <v>1370</v>
      </c>
      <c r="W528" t="s">
        <v>49</v>
      </c>
      <c r="X528" s="3">
        <v>1370</v>
      </c>
    </row>
    <row r="529" spans="1:24" s="2" customFormat="1" x14ac:dyDescent="0.2">
      <c r="A529">
        <v>529</v>
      </c>
      <c r="B529"/>
      <c r="C529" t="s">
        <v>657</v>
      </c>
      <c r="D529" t="s">
        <v>986</v>
      </c>
      <c r="E529" t="s">
        <v>30</v>
      </c>
      <c r="F529" t="s">
        <v>24</v>
      </c>
      <c r="G529" t="s">
        <v>25</v>
      </c>
      <c r="H529" t="str">
        <f t="shared" si="16"/>
        <v>RT - GENIO DO MARMORE | Recorrência: | Observações: referente ao deposito 2.090,00</v>
      </c>
      <c r="I529" t="s">
        <v>26</v>
      </c>
      <c r="J529" s="4">
        <v>140</v>
      </c>
      <c r="K529" s="4">
        <v>481515.06</v>
      </c>
      <c r="L529" t="s">
        <v>27</v>
      </c>
      <c r="M529" s="4">
        <v>140</v>
      </c>
      <c r="N529" s="3">
        <v>0</v>
      </c>
      <c r="O529" t="s">
        <v>982</v>
      </c>
      <c r="P529" t="s">
        <v>922</v>
      </c>
      <c r="Q529" t="s">
        <v>982</v>
      </c>
      <c r="R529" t="str">
        <f t="shared" si="17"/>
        <v>Sim</v>
      </c>
      <c r="S529" t="s">
        <v>982</v>
      </c>
      <c r="T529" t="s">
        <v>985</v>
      </c>
      <c r="U529" t="s">
        <v>49</v>
      </c>
      <c r="V529" s="3">
        <v>140</v>
      </c>
      <c r="W529" t="s">
        <v>494</v>
      </c>
      <c r="X529" s="3">
        <v>140</v>
      </c>
    </row>
    <row r="530" spans="1:24" s="2" customFormat="1" x14ac:dyDescent="0.2">
      <c r="A530" s="2">
        <v>530</v>
      </c>
      <c r="B530"/>
      <c r="C530" t="s">
        <v>453</v>
      </c>
      <c r="D530" t="s">
        <v>112</v>
      </c>
      <c r="E530" t="s">
        <v>30</v>
      </c>
      <c r="F530" t="s">
        <v>24</v>
      </c>
      <c r="G530" t="s">
        <v>25</v>
      </c>
      <c r="H530" t="str">
        <f t="shared" si="16"/>
        <v>GENIO DO MARMORE | Recorrência: | Observações: referente ao deposito 2.090,00</v>
      </c>
      <c r="I530" t="s">
        <v>26</v>
      </c>
      <c r="J530" s="4">
        <v>80</v>
      </c>
      <c r="K530" s="4">
        <v>481595.06</v>
      </c>
      <c r="L530" t="s">
        <v>27</v>
      </c>
      <c r="M530" s="4">
        <v>80</v>
      </c>
      <c r="N530" s="3">
        <v>0</v>
      </c>
      <c r="O530" t="s">
        <v>982</v>
      </c>
      <c r="P530" t="s">
        <v>922</v>
      </c>
      <c r="Q530" t="s">
        <v>982</v>
      </c>
      <c r="R530" t="str">
        <f t="shared" si="17"/>
        <v>Sim</v>
      </c>
      <c r="S530" t="s">
        <v>982</v>
      </c>
      <c r="T530" t="s">
        <v>985</v>
      </c>
      <c r="U530" t="s">
        <v>49</v>
      </c>
      <c r="V530" s="3">
        <v>80</v>
      </c>
      <c r="W530" t="s">
        <v>494</v>
      </c>
      <c r="X530" s="3">
        <v>80</v>
      </c>
    </row>
    <row r="531" spans="1:24" s="2" customFormat="1" x14ac:dyDescent="0.2">
      <c r="A531">
        <v>531</v>
      </c>
      <c r="B531"/>
      <c r="C531" t="s">
        <v>230</v>
      </c>
      <c r="D531" t="s">
        <v>528</v>
      </c>
      <c r="E531" t="s">
        <v>30</v>
      </c>
      <c r="F531" t="s">
        <v>63</v>
      </c>
      <c r="G531" t="s">
        <v>25</v>
      </c>
      <c r="H531" t="str">
        <f t="shared" si="16"/>
        <v>GASTOS EXTRAS - KALUNGA | Recorrência: | Observações: 03 ROLOS PLOTTER</v>
      </c>
      <c r="I531" t="s">
        <v>26</v>
      </c>
      <c r="J531" s="5">
        <v>-98.1</v>
      </c>
      <c r="K531" s="4">
        <v>481496.96</v>
      </c>
      <c r="L531" t="s">
        <v>27</v>
      </c>
      <c r="M531" s="5">
        <v>-98.1</v>
      </c>
      <c r="N531" s="3">
        <v>0</v>
      </c>
      <c r="O531" t="s">
        <v>982</v>
      </c>
      <c r="P531" t="s">
        <v>982</v>
      </c>
      <c r="Q531" t="s">
        <v>982</v>
      </c>
      <c r="R531" t="str">
        <f t="shared" si="17"/>
        <v>Sim</v>
      </c>
      <c r="S531" t="s">
        <v>982</v>
      </c>
      <c r="T531" t="s">
        <v>987</v>
      </c>
      <c r="U531" t="s">
        <v>158</v>
      </c>
      <c r="V531" s="3">
        <v>-98.1</v>
      </c>
      <c r="W531" t="s">
        <v>577</v>
      </c>
      <c r="X531" s="3">
        <v>-98.1</v>
      </c>
    </row>
    <row r="532" spans="1:24" s="2" customFormat="1" x14ac:dyDescent="0.2">
      <c r="A532" s="2">
        <v>532</v>
      </c>
      <c r="B532"/>
      <c r="C532" t="s">
        <v>795</v>
      </c>
      <c r="D532" t="s">
        <v>112</v>
      </c>
      <c r="E532" t="s">
        <v>30</v>
      </c>
      <c r="F532" t="s">
        <v>24</v>
      </c>
      <c r="G532" t="s">
        <v>25</v>
      </c>
      <c r="H532" t="str">
        <f t="shared" si="16"/>
        <v>GENIO DO MARMORE | Recorrência: | Observações: referente ao deposito 2.090,00</v>
      </c>
      <c r="I532" t="s">
        <v>26</v>
      </c>
      <c r="J532" s="4">
        <v>500</v>
      </c>
      <c r="K532" s="4">
        <v>481996.96</v>
      </c>
      <c r="L532" t="s">
        <v>27</v>
      </c>
      <c r="M532" s="4">
        <v>500</v>
      </c>
      <c r="N532" s="3">
        <v>0</v>
      </c>
      <c r="O532" t="s">
        <v>982</v>
      </c>
      <c r="P532" t="s">
        <v>925</v>
      </c>
      <c r="Q532" t="s">
        <v>982</v>
      </c>
      <c r="R532" t="str">
        <f t="shared" si="17"/>
        <v>Sim</v>
      </c>
      <c r="S532" t="s">
        <v>982</v>
      </c>
      <c r="T532" t="s">
        <v>985</v>
      </c>
      <c r="U532" t="s">
        <v>49</v>
      </c>
      <c r="V532" s="3">
        <v>500</v>
      </c>
      <c r="W532" t="s">
        <v>494</v>
      </c>
      <c r="X532" s="3">
        <v>500</v>
      </c>
    </row>
    <row r="533" spans="1:24" s="2" customFormat="1" x14ac:dyDescent="0.2">
      <c r="A533">
        <v>533</v>
      </c>
      <c r="B533"/>
      <c r="C533" t="s">
        <v>453</v>
      </c>
      <c r="D533" t="s">
        <v>988</v>
      </c>
      <c r="E533" t="s">
        <v>30</v>
      </c>
      <c r="F533" t="s">
        <v>24</v>
      </c>
      <c r="G533" t="s">
        <v>25</v>
      </c>
      <c r="H533" t="str">
        <f t="shared" si="16"/>
        <v xml:space="preserve">RT - AL FRAME | Recorrência: | Observações: </v>
      </c>
      <c r="I533" t="s">
        <v>26</v>
      </c>
      <c r="J533" s="4">
        <v>205</v>
      </c>
      <c r="K533" s="4">
        <v>482201.96</v>
      </c>
      <c r="L533" t="s">
        <v>27</v>
      </c>
      <c r="M533" s="4">
        <v>205</v>
      </c>
      <c r="N533" s="3">
        <v>0</v>
      </c>
      <c r="O533" t="s">
        <v>982</v>
      </c>
      <c r="P533" t="s">
        <v>797</v>
      </c>
      <c r="Q533" t="s">
        <v>914</v>
      </c>
      <c r="R533" t="str">
        <f t="shared" si="17"/>
        <v>Sim</v>
      </c>
      <c r="S533" t="s">
        <v>914</v>
      </c>
      <c r="T533" t="s">
        <v>30</v>
      </c>
      <c r="U533" t="s">
        <v>49</v>
      </c>
      <c r="V533" s="3">
        <v>205</v>
      </c>
      <c r="W533" t="s">
        <v>494</v>
      </c>
      <c r="X533" s="3">
        <v>205</v>
      </c>
    </row>
    <row r="534" spans="1:24" s="2" customFormat="1" x14ac:dyDescent="0.2">
      <c r="A534" s="2">
        <v>534</v>
      </c>
      <c r="B534"/>
      <c r="C534" t="s">
        <v>817</v>
      </c>
      <c r="D534" t="s">
        <v>102</v>
      </c>
      <c r="E534" t="s">
        <v>30</v>
      </c>
      <c r="F534" t="s">
        <v>24</v>
      </c>
      <c r="G534" t="s">
        <v>25</v>
      </c>
      <c r="H534" t="str">
        <f t="shared" si="16"/>
        <v xml:space="preserve">PLURIPISO | Recorrência: | Observações: </v>
      </c>
      <c r="I534" t="s">
        <v>26</v>
      </c>
      <c r="J534" s="4">
        <v>1350.7</v>
      </c>
      <c r="K534" s="4">
        <v>483552.66</v>
      </c>
      <c r="L534" t="s">
        <v>27</v>
      </c>
      <c r="M534" s="4">
        <v>1350.7</v>
      </c>
      <c r="N534" s="3">
        <v>0</v>
      </c>
      <c r="O534" t="s">
        <v>919</v>
      </c>
      <c r="P534" t="s">
        <v>862</v>
      </c>
      <c r="Q534" t="s">
        <v>862</v>
      </c>
      <c r="R534" t="str">
        <f t="shared" si="17"/>
        <v>Sim</v>
      </c>
      <c r="S534" t="s">
        <v>862</v>
      </c>
      <c r="T534" t="s">
        <v>30</v>
      </c>
      <c r="U534" t="s">
        <v>49</v>
      </c>
      <c r="V534" s="3">
        <v>1350.7</v>
      </c>
      <c r="W534" t="s">
        <v>49</v>
      </c>
      <c r="X534" s="3">
        <v>1350.7</v>
      </c>
    </row>
    <row r="535" spans="1:24" s="2" customFormat="1" x14ac:dyDescent="0.2">
      <c r="A535">
        <v>535</v>
      </c>
      <c r="B535"/>
      <c r="C535" t="s">
        <v>101</v>
      </c>
      <c r="D535" t="s">
        <v>112</v>
      </c>
      <c r="E535" t="s">
        <v>30</v>
      </c>
      <c r="F535" t="s">
        <v>24</v>
      </c>
      <c r="G535" t="s">
        <v>25</v>
      </c>
      <c r="H535" t="str">
        <f t="shared" si="16"/>
        <v xml:space="preserve">GENIO DO MARMORE | Recorrência: | Observações: </v>
      </c>
      <c r="I535" t="s">
        <v>26</v>
      </c>
      <c r="J535" s="4">
        <v>6300</v>
      </c>
      <c r="K535" s="4">
        <v>489852.66</v>
      </c>
      <c r="L535" t="s">
        <v>27</v>
      </c>
      <c r="M535" s="4">
        <v>6300</v>
      </c>
      <c r="N535" s="3">
        <v>0</v>
      </c>
      <c r="O535" t="s">
        <v>919</v>
      </c>
      <c r="P535" t="s">
        <v>922</v>
      </c>
      <c r="Q535" t="s">
        <v>981</v>
      </c>
      <c r="R535" t="str">
        <f t="shared" si="17"/>
        <v>Sim</v>
      </c>
      <c r="S535" t="s">
        <v>981</v>
      </c>
      <c r="T535" t="s">
        <v>30</v>
      </c>
      <c r="U535" t="s">
        <v>49</v>
      </c>
      <c r="V535" s="3">
        <v>6300</v>
      </c>
      <c r="W535" t="s">
        <v>494</v>
      </c>
      <c r="X535" s="3">
        <v>6300</v>
      </c>
    </row>
    <row r="536" spans="1:24" s="2" customFormat="1" x14ac:dyDescent="0.2">
      <c r="A536" s="2">
        <v>536</v>
      </c>
      <c r="B536" t="s">
        <v>647</v>
      </c>
      <c r="C536" t="s">
        <v>648</v>
      </c>
      <c r="D536" t="s">
        <v>649</v>
      </c>
      <c r="E536" t="s">
        <v>634</v>
      </c>
      <c r="F536" t="s">
        <v>63</v>
      </c>
      <c r="G536" t="s">
        <v>25</v>
      </c>
      <c r="H536" t="str">
        <f t="shared" si="16"/>
        <v xml:space="preserve">HONORÁRIOS CONTÁBEIS | Recorrência:6/12 | Observações: </v>
      </c>
      <c r="I536" t="s">
        <v>26</v>
      </c>
      <c r="J536" s="5">
        <v>-830</v>
      </c>
      <c r="K536" s="4">
        <v>489022.66</v>
      </c>
      <c r="L536" t="s">
        <v>27</v>
      </c>
      <c r="M536" s="5">
        <v>-830</v>
      </c>
      <c r="N536" s="3">
        <v>0</v>
      </c>
      <c r="O536" t="s">
        <v>983</v>
      </c>
      <c r="P536" t="s">
        <v>922</v>
      </c>
      <c r="Q536" t="s">
        <v>981</v>
      </c>
      <c r="R536" t="str">
        <f t="shared" si="17"/>
        <v>Sim</v>
      </c>
      <c r="S536" t="s">
        <v>981</v>
      </c>
      <c r="T536" t="s">
        <v>30</v>
      </c>
      <c r="U536" t="s">
        <v>608</v>
      </c>
      <c r="V536" s="3">
        <v>-830</v>
      </c>
      <c r="W536" t="s">
        <v>577</v>
      </c>
      <c r="X536" s="3">
        <v>-830</v>
      </c>
    </row>
    <row r="537" spans="1:24" s="2" customFormat="1" x14ac:dyDescent="0.2">
      <c r="A537">
        <v>537</v>
      </c>
      <c r="B537"/>
      <c r="C537" t="s">
        <v>297</v>
      </c>
      <c r="D537" t="s">
        <v>806</v>
      </c>
      <c r="E537" t="s">
        <v>634</v>
      </c>
      <c r="F537" t="s">
        <v>63</v>
      </c>
      <c r="G537" t="s">
        <v>25</v>
      </c>
      <c r="H537" t="str">
        <f t="shared" si="16"/>
        <v xml:space="preserve">DARF ISS | Recorrência:6/12 | Observações: </v>
      </c>
      <c r="I537" t="s">
        <v>26</v>
      </c>
      <c r="J537" s="5">
        <v>-936.87</v>
      </c>
      <c r="K537" s="4">
        <v>488085.79</v>
      </c>
      <c r="L537" t="s">
        <v>27</v>
      </c>
      <c r="M537" s="5">
        <v>-936.87</v>
      </c>
      <c r="N537" s="3">
        <v>0</v>
      </c>
      <c r="O537" t="s">
        <v>983</v>
      </c>
      <c r="P537" t="s">
        <v>935</v>
      </c>
      <c r="Q537" t="s">
        <v>989</v>
      </c>
      <c r="R537" t="str">
        <f t="shared" si="17"/>
        <v>Sim</v>
      </c>
      <c r="S537" t="s">
        <v>989</v>
      </c>
      <c r="T537" t="s">
        <v>30</v>
      </c>
      <c r="U537" t="s">
        <v>656</v>
      </c>
      <c r="V537" s="3">
        <v>-936.87</v>
      </c>
      <c r="W537" t="s">
        <v>376</v>
      </c>
      <c r="X537" s="3">
        <v>-936.87</v>
      </c>
    </row>
    <row r="538" spans="1:24" s="2" customFormat="1" x14ac:dyDescent="0.2">
      <c r="A538" s="2">
        <v>538</v>
      </c>
      <c r="B538"/>
      <c r="C538" t="s">
        <v>153</v>
      </c>
      <c r="D538" t="s">
        <v>990</v>
      </c>
      <c r="E538" t="s">
        <v>30</v>
      </c>
      <c r="F538" t="s">
        <v>63</v>
      </c>
      <c r="G538" t="s">
        <v>25</v>
      </c>
      <c r="H538" t="str">
        <f t="shared" si="16"/>
        <v xml:space="preserve">DIFERENÇA PGTO_DIARIASTA_JULIANA COSTA SOARES | Recorrência: | Observações: </v>
      </c>
      <c r="I538" t="s">
        <v>991</v>
      </c>
      <c r="J538" s="5">
        <v>-150</v>
      </c>
      <c r="K538" s="4">
        <v>487935.79</v>
      </c>
      <c r="L538" t="s">
        <v>27</v>
      </c>
      <c r="M538" s="5">
        <v>-150</v>
      </c>
      <c r="N538" s="3">
        <v>0</v>
      </c>
      <c r="O538" t="s">
        <v>960</v>
      </c>
      <c r="P538" t="s">
        <v>969</v>
      </c>
      <c r="Q538" t="s">
        <v>982</v>
      </c>
      <c r="R538" t="str">
        <f t="shared" si="17"/>
        <v>Sim</v>
      </c>
      <c r="S538" t="s">
        <v>982</v>
      </c>
      <c r="T538" t="s">
        <v>30</v>
      </c>
      <c r="U538" t="s">
        <v>691</v>
      </c>
      <c r="V538" s="3">
        <v>-150</v>
      </c>
      <c r="W538" t="s">
        <v>324</v>
      </c>
      <c r="X538" s="3">
        <v>-150</v>
      </c>
    </row>
    <row r="539" spans="1:24" s="2" customFormat="1" x14ac:dyDescent="0.2">
      <c r="A539">
        <v>539</v>
      </c>
      <c r="B539"/>
      <c r="C539" t="s">
        <v>992</v>
      </c>
      <c r="D539" t="s">
        <v>233</v>
      </c>
      <c r="E539" t="s">
        <v>67</v>
      </c>
      <c r="F539" t="s">
        <v>24</v>
      </c>
      <c r="G539" t="s">
        <v>25</v>
      </c>
      <c r="H539" t="str">
        <f t="shared" si="16"/>
        <v>CONSULTORIA DE PROJETO | Recorrência:1/2 | Observações: QUARTO ALBERTO</v>
      </c>
      <c r="I539" t="s">
        <v>26</v>
      </c>
      <c r="J539" s="4">
        <v>3000</v>
      </c>
      <c r="K539" s="4">
        <v>490935.79</v>
      </c>
      <c r="L539" t="s">
        <v>27</v>
      </c>
      <c r="M539" s="4">
        <v>3000</v>
      </c>
      <c r="N539" s="3">
        <v>0</v>
      </c>
      <c r="O539" t="s">
        <v>981</v>
      </c>
      <c r="P539" t="s">
        <v>938</v>
      </c>
      <c r="Q539" t="s">
        <v>981</v>
      </c>
      <c r="R539" t="str">
        <f t="shared" si="17"/>
        <v>Sim</v>
      </c>
      <c r="S539" t="s">
        <v>981</v>
      </c>
      <c r="T539" t="s">
        <v>993</v>
      </c>
      <c r="U539" t="s">
        <v>233</v>
      </c>
      <c r="V539" s="3">
        <v>3000</v>
      </c>
      <c r="W539" t="s">
        <v>32</v>
      </c>
      <c r="X539" s="3">
        <v>3000</v>
      </c>
    </row>
    <row r="540" spans="1:24" s="2" customFormat="1" x14ac:dyDescent="0.2">
      <c r="A540" s="2">
        <v>540</v>
      </c>
      <c r="B540"/>
      <c r="C540" t="s">
        <v>817</v>
      </c>
      <c r="D540" t="s">
        <v>995</v>
      </c>
      <c r="E540" t="s">
        <v>30</v>
      </c>
      <c r="F540" t="s">
        <v>24</v>
      </c>
      <c r="G540" t="s">
        <v>25</v>
      </c>
      <c r="H540" t="str">
        <f t="shared" si="16"/>
        <v xml:space="preserve">VERENA BARBOSA OLIVEIRA AZANHA | Recorrência: | Observações: </v>
      </c>
      <c r="I540" t="s">
        <v>26</v>
      </c>
      <c r="J540" s="4">
        <v>37</v>
      </c>
      <c r="K540" s="4">
        <v>490972.79</v>
      </c>
      <c r="L540" t="s">
        <v>27</v>
      </c>
      <c r="M540" s="4">
        <v>37</v>
      </c>
      <c r="N540" s="3">
        <v>0</v>
      </c>
      <c r="O540" t="s">
        <v>994</v>
      </c>
      <c r="P540" t="s">
        <v>960</v>
      </c>
      <c r="Q540" t="s">
        <v>994</v>
      </c>
      <c r="R540" t="str">
        <f t="shared" si="17"/>
        <v>Sim</v>
      </c>
      <c r="S540" t="s">
        <v>994</v>
      </c>
      <c r="T540" t="s">
        <v>30</v>
      </c>
      <c r="U540" t="s">
        <v>49</v>
      </c>
      <c r="V540" s="3">
        <v>37</v>
      </c>
      <c r="W540" t="s">
        <v>494</v>
      </c>
      <c r="X540" s="3">
        <v>37</v>
      </c>
    </row>
    <row r="541" spans="1:24" s="2" customFormat="1" x14ac:dyDescent="0.2">
      <c r="A541">
        <v>541</v>
      </c>
      <c r="B541"/>
      <c r="C541" t="s">
        <v>258</v>
      </c>
      <c r="D541" t="s">
        <v>499</v>
      </c>
      <c r="E541" t="s">
        <v>30</v>
      </c>
      <c r="F541" t="s">
        <v>24</v>
      </c>
      <c r="G541" t="s">
        <v>25</v>
      </c>
      <c r="H541" t="str">
        <f t="shared" si="16"/>
        <v>LIGNA (MARCENARIA SONHO SOB MEDIDAS) | Recorrência: | Observações: Pedido 1287
RT DESDE DEZEMBRO/21 -  PENDENTE PARA PAGAMENTO</v>
      </c>
      <c r="I541" t="s">
        <v>26</v>
      </c>
      <c r="J541" s="4">
        <v>4485.1000000000004</v>
      </c>
      <c r="K541" s="4">
        <v>495457.89</v>
      </c>
      <c r="L541" t="s">
        <v>27</v>
      </c>
      <c r="M541" s="4">
        <v>4485.1000000000004</v>
      </c>
      <c r="N541" s="3">
        <v>0</v>
      </c>
      <c r="O541" t="s">
        <v>996</v>
      </c>
      <c r="P541" t="s">
        <v>408</v>
      </c>
      <c r="Q541" t="s">
        <v>966</v>
      </c>
      <c r="R541" t="str">
        <f t="shared" si="17"/>
        <v>nao</v>
      </c>
      <c r="S541" t="s">
        <v>963</v>
      </c>
      <c r="T541" t="s">
        <v>997</v>
      </c>
      <c r="U541" t="s">
        <v>49</v>
      </c>
      <c r="V541" s="3">
        <v>4485.1000000000004</v>
      </c>
      <c r="W541" t="s">
        <v>49</v>
      </c>
      <c r="X541" s="3">
        <v>4485.1000000000004</v>
      </c>
    </row>
    <row r="542" spans="1:24" s="2" customFormat="1" x14ac:dyDescent="0.2">
      <c r="A542" s="2">
        <v>542</v>
      </c>
      <c r="B542"/>
      <c r="C542" t="s">
        <v>153</v>
      </c>
      <c r="D542" t="s">
        <v>998</v>
      </c>
      <c r="E542" t="s">
        <v>30</v>
      </c>
      <c r="F542" t="s">
        <v>24</v>
      </c>
      <c r="G542" t="s">
        <v>25</v>
      </c>
      <c r="H542" t="str">
        <f t="shared" si="16"/>
        <v xml:space="preserve">EDIFICIO SUPREME_SHOPPING GARDEN SUL | Recorrência: | Observações: Reembolso realizado pela MN &gt; Shopping Garden Sul </v>
      </c>
      <c r="I542" t="s">
        <v>491</v>
      </c>
      <c r="J542" s="4">
        <v>619.70000000000005</v>
      </c>
      <c r="K542" s="4">
        <v>496077.59</v>
      </c>
      <c r="L542" t="s">
        <v>27</v>
      </c>
      <c r="M542" s="4">
        <v>619.70000000000005</v>
      </c>
      <c r="N542" s="3">
        <v>0</v>
      </c>
      <c r="O542" t="s">
        <v>996</v>
      </c>
      <c r="P542" t="s">
        <v>996</v>
      </c>
      <c r="Q542" t="s">
        <v>996</v>
      </c>
      <c r="R542" t="str">
        <f t="shared" si="17"/>
        <v>Sim</v>
      </c>
      <c r="S542" t="s">
        <v>996</v>
      </c>
      <c r="T542" t="s">
        <v>999</v>
      </c>
      <c r="U542" t="s">
        <v>40</v>
      </c>
      <c r="V542" s="3">
        <v>619.70000000000005</v>
      </c>
      <c r="W542" t="s">
        <v>40</v>
      </c>
      <c r="X542" s="3">
        <v>619.70000000000005</v>
      </c>
    </row>
    <row r="543" spans="1:24" s="2" customFormat="1" x14ac:dyDescent="0.2">
      <c r="A543">
        <v>543</v>
      </c>
      <c r="B543"/>
      <c r="C543" t="s">
        <v>917</v>
      </c>
      <c r="D543" t="s">
        <v>32</v>
      </c>
      <c r="E543" t="s">
        <v>195</v>
      </c>
      <c r="F543" t="s">
        <v>24</v>
      </c>
      <c r="G543" t="s">
        <v>25</v>
      </c>
      <c r="H543" t="str">
        <f t="shared" si="16"/>
        <v xml:space="preserve">PROJETO | Recorrência:2/3 | Observações: </v>
      </c>
      <c r="I543" t="s">
        <v>26</v>
      </c>
      <c r="J543" s="4">
        <v>6900</v>
      </c>
      <c r="K543" s="4">
        <v>502977.59</v>
      </c>
      <c r="L543" t="s">
        <v>27</v>
      </c>
      <c r="M543" s="4">
        <v>6900</v>
      </c>
      <c r="N543" s="3">
        <v>0</v>
      </c>
      <c r="O543" t="s">
        <v>996</v>
      </c>
      <c r="P543" t="s">
        <v>913</v>
      </c>
      <c r="Q543" t="s">
        <v>971</v>
      </c>
      <c r="R543" t="str">
        <f t="shared" si="17"/>
        <v>Sim</v>
      </c>
      <c r="S543" t="s">
        <v>971</v>
      </c>
      <c r="T543" t="s">
        <v>30</v>
      </c>
      <c r="U543" t="s">
        <v>31</v>
      </c>
      <c r="V543" s="3">
        <v>6900</v>
      </c>
      <c r="W543" t="s">
        <v>32</v>
      </c>
      <c r="X543" s="3">
        <v>6900</v>
      </c>
    </row>
    <row r="544" spans="1:24" s="2" customFormat="1" x14ac:dyDescent="0.2">
      <c r="A544" s="2">
        <v>544</v>
      </c>
      <c r="B544"/>
      <c r="C544" t="s">
        <v>386</v>
      </c>
      <c r="D544" t="s">
        <v>1000</v>
      </c>
      <c r="E544" t="s">
        <v>30</v>
      </c>
      <c r="F544" t="s">
        <v>24</v>
      </c>
      <c r="G544" t="s">
        <v>25</v>
      </c>
      <c r="H544" t="str">
        <f t="shared" si="16"/>
        <v xml:space="preserve">TODESCHINI - TATUAPÉ ( Ally M Chain Planejados) | Recorrência: | Observações: 10% </v>
      </c>
      <c r="I544" t="s">
        <v>491</v>
      </c>
      <c r="J544" s="4">
        <v>42980.89</v>
      </c>
      <c r="K544" s="4">
        <v>545958.48</v>
      </c>
      <c r="L544" t="s">
        <v>27</v>
      </c>
      <c r="M544" s="4">
        <v>42980.89</v>
      </c>
      <c r="N544" s="3">
        <v>0</v>
      </c>
      <c r="O544" t="s">
        <v>996</v>
      </c>
      <c r="P544" t="s">
        <v>1001</v>
      </c>
      <c r="Q544" t="s">
        <v>981</v>
      </c>
      <c r="R544" t="str">
        <f t="shared" si="17"/>
        <v>nao</v>
      </c>
      <c r="S544" t="s">
        <v>996</v>
      </c>
      <c r="T544" t="s">
        <v>1002</v>
      </c>
      <c r="U544" t="s">
        <v>49</v>
      </c>
      <c r="V544" s="3">
        <v>42980.89</v>
      </c>
      <c r="W544" t="s">
        <v>494</v>
      </c>
      <c r="X544" s="3">
        <v>42980.89</v>
      </c>
    </row>
    <row r="545" spans="1:24" s="2" customFormat="1" x14ac:dyDescent="0.2">
      <c r="A545">
        <v>545</v>
      </c>
      <c r="B545"/>
      <c r="C545" t="s">
        <v>792</v>
      </c>
      <c r="D545" t="s">
        <v>824</v>
      </c>
      <c r="E545" t="s">
        <v>465</v>
      </c>
      <c r="F545" t="s">
        <v>24</v>
      </c>
      <c r="G545" t="s">
        <v>25</v>
      </c>
      <c r="H545" t="str">
        <f t="shared" si="16"/>
        <v xml:space="preserve">MN ARQUITETURA_MARCIO MUNHOZ | Recorrência:4/4 | Observações: </v>
      </c>
      <c r="I545" t="s">
        <v>26</v>
      </c>
      <c r="J545" s="4">
        <v>5396.38</v>
      </c>
      <c r="K545" s="4">
        <v>551354.86</v>
      </c>
      <c r="L545" t="s">
        <v>27</v>
      </c>
      <c r="M545" s="4">
        <v>5396.38</v>
      </c>
      <c r="N545" s="3">
        <v>0</v>
      </c>
      <c r="O545" t="s">
        <v>996</v>
      </c>
      <c r="P545" t="s">
        <v>969</v>
      </c>
      <c r="Q545" t="s">
        <v>996</v>
      </c>
      <c r="R545" t="str">
        <f t="shared" si="17"/>
        <v>Sim</v>
      </c>
      <c r="S545" t="s">
        <v>996</v>
      </c>
      <c r="T545" t="s">
        <v>30</v>
      </c>
      <c r="U545" t="s">
        <v>825</v>
      </c>
      <c r="V545" s="3">
        <v>5396.38</v>
      </c>
      <c r="W545" t="s">
        <v>825</v>
      </c>
      <c r="X545" s="3">
        <v>5396.38</v>
      </c>
    </row>
    <row r="546" spans="1:24" s="2" customFormat="1" x14ac:dyDescent="0.2">
      <c r="A546" s="2">
        <v>546</v>
      </c>
      <c r="B546"/>
      <c r="C546" t="s">
        <v>792</v>
      </c>
      <c r="D546" t="s">
        <v>792</v>
      </c>
      <c r="E546" t="s">
        <v>465</v>
      </c>
      <c r="F546" t="s">
        <v>24</v>
      </c>
      <c r="G546" t="s">
        <v>25</v>
      </c>
      <c r="H546" t="str">
        <f t="shared" si="16"/>
        <v xml:space="preserve">EDIFICIO SUPREME | Recorrência:4/4 | Observações: </v>
      </c>
      <c r="I546" t="s">
        <v>26</v>
      </c>
      <c r="J546" s="4">
        <v>5161.75</v>
      </c>
      <c r="K546" s="4">
        <v>556516.61</v>
      </c>
      <c r="L546" t="s">
        <v>27</v>
      </c>
      <c r="M546" s="4">
        <v>5161.75</v>
      </c>
      <c r="N546" s="3">
        <v>0</v>
      </c>
      <c r="O546" t="s">
        <v>996</v>
      </c>
      <c r="P546" t="s">
        <v>951</v>
      </c>
      <c r="Q546" t="s">
        <v>996</v>
      </c>
      <c r="R546" t="str">
        <f t="shared" si="17"/>
        <v>Sim</v>
      </c>
      <c r="S546" t="s">
        <v>996</v>
      </c>
      <c r="T546" t="s">
        <v>30</v>
      </c>
      <c r="U546" t="s">
        <v>31</v>
      </c>
      <c r="V546" s="3">
        <v>5161.75</v>
      </c>
      <c r="W546" t="s">
        <v>32</v>
      </c>
      <c r="X546" s="3">
        <v>5161.75</v>
      </c>
    </row>
    <row r="547" spans="1:24" s="2" customFormat="1" x14ac:dyDescent="0.2">
      <c r="A547">
        <v>547</v>
      </c>
      <c r="B547"/>
      <c r="C547" t="s">
        <v>792</v>
      </c>
      <c r="D547" t="s">
        <v>1003</v>
      </c>
      <c r="E547" t="s">
        <v>41</v>
      </c>
      <c r="F547" t="s">
        <v>24</v>
      </c>
      <c r="G547" t="s">
        <v>25</v>
      </c>
      <c r="H547" t="str">
        <f t="shared" si="16"/>
        <v xml:space="preserve">RT - PAGLIOTTO DESIGN | Recorrência:3/4 | Observações: </v>
      </c>
      <c r="I547" t="s">
        <v>26</v>
      </c>
      <c r="J547" s="4">
        <v>135</v>
      </c>
      <c r="K547" s="4">
        <v>556651.61</v>
      </c>
      <c r="L547" t="s">
        <v>27</v>
      </c>
      <c r="M547" s="4">
        <v>135</v>
      </c>
      <c r="N547" s="3">
        <v>0</v>
      </c>
      <c r="O547" t="s">
        <v>996</v>
      </c>
      <c r="P547" t="s">
        <v>1004</v>
      </c>
      <c r="Q547" t="s">
        <v>970</v>
      </c>
      <c r="R547" t="str">
        <f t="shared" si="17"/>
        <v>Sim</v>
      </c>
      <c r="S547" t="s">
        <v>970</v>
      </c>
      <c r="T547" t="s">
        <v>30</v>
      </c>
      <c r="U547" t="s">
        <v>49</v>
      </c>
      <c r="V547" s="3">
        <v>135</v>
      </c>
      <c r="W547" t="s">
        <v>49</v>
      </c>
      <c r="X547" s="3">
        <v>135</v>
      </c>
    </row>
    <row r="548" spans="1:24" s="2" customFormat="1" x14ac:dyDescent="0.2">
      <c r="A548" s="2">
        <v>548</v>
      </c>
      <c r="B548"/>
      <c r="C548" t="s">
        <v>822</v>
      </c>
      <c r="D548" t="s">
        <v>129</v>
      </c>
      <c r="E548" t="s">
        <v>266</v>
      </c>
      <c r="F548" t="s">
        <v>24</v>
      </c>
      <c r="G548" t="s">
        <v>25</v>
      </c>
      <c r="H548" t="str">
        <f t="shared" si="16"/>
        <v xml:space="preserve">CRISTIANE UFLAKER | Recorrência:4/5 | Observações: </v>
      </c>
      <c r="I548" t="s">
        <v>26</v>
      </c>
      <c r="J548" s="4">
        <v>5000</v>
      </c>
      <c r="K548" s="4">
        <v>561651.61</v>
      </c>
      <c r="L548" t="s">
        <v>27</v>
      </c>
      <c r="M548" s="4">
        <v>5000</v>
      </c>
      <c r="N548" s="3">
        <v>0</v>
      </c>
      <c r="O548" t="s">
        <v>996</v>
      </c>
      <c r="P548" t="s">
        <v>293</v>
      </c>
      <c r="Q548" t="s">
        <v>996</v>
      </c>
      <c r="R548" t="str">
        <f t="shared" si="17"/>
        <v>Sim</v>
      </c>
      <c r="S548" t="s">
        <v>996</v>
      </c>
      <c r="T548" t="s">
        <v>30</v>
      </c>
      <c r="U548" t="s">
        <v>146</v>
      </c>
      <c r="V548" s="3">
        <v>5000</v>
      </c>
      <c r="W548" t="s">
        <v>166</v>
      </c>
      <c r="X548" s="3">
        <v>5000</v>
      </c>
    </row>
    <row r="549" spans="1:24" s="2" customFormat="1" x14ac:dyDescent="0.2">
      <c r="A549">
        <v>549</v>
      </c>
      <c r="B549"/>
      <c r="C549" t="s">
        <v>792</v>
      </c>
      <c r="D549" t="s">
        <v>1005</v>
      </c>
      <c r="E549" t="s">
        <v>30</v>
      </c>
      <c r="F549" t="s">
        <v>24</v>
      </c>
      <c r="G549" t="s">
        <v>25</v>
      </c>
      <c r="H549" t="str">
        <f t="shared" si="16"/>
        <v>CRIS BERTOLUCCI | Recorrência: | Observações: Para solicitar NF&gt; financeiro@cristianabertolucci.com.br</v>
      </c>
      <c r="I549" t="s">
        <v>26</v>
      </c>
      <c r="J549" s="4">
        <v>237.17</v>
      </c>
      <c r="K549" s="4">
        <v>561888.78</v>
      </c>
      <c r="L549" t="s">
        <v>27</v>
      </c>
      <c r="M549" s="4">
        <v>237.17</v>
      </c>
      <c r="N549" s="3">
        <v>0</v>
      </c>
      <c r="O549" t="s">
        <v>989</v>
      </c>
      <c r="P549" t="s">
        <v>780</v>
      </c>
      <c r="Q549" t="s">
        <v>996</v>
      </c>
      <c r="R549" t="str">
        <f t="shared" si="17"/>
        <v>Sim</v>
      </c>
      <c r="S549" t="s">
        <v>996</v>
      </c>
      <c r="T549" t="s">
        <v>1006</v>
      </c>
      <c r="U549" t="s">
        <v>49</v>
      </c>
      <c r="V549" s="3">
        <v>237.17</v>
      </c>
      <c r="W549" t="s">
        <v>49</v>
      </c>
      <c r="X549" s="3">
        <v>237.17</v>
      </c>
    </row>
    <row r="550" spans="1:24" s="2" customFormat="1" x14ac:dyDescent="0.2">
      <c r="A550" s="2">
        <v>550</v>
      </c>
      <c r="B550"/>
      <c r="C550" t="s">
        <v>943</v>
      </c>
      <c r="D550" t="s">
        <v>1007</v>
      </c>
      <c r="E550" t="s">
        <v>34</v>
      </c>
      <c r="F550" t="s">
        <v>24</v>
      </c>
      <c r="G550" t="s">
        <v>25</v>
      </c>
      <c r="H550" t="str">
        <f t="shared" si="16"/>
        <v xml:space="preserve">PROJETO DE ARQUITETURA FARIZE MURAD - 2DE 4 | Recorrência:2/4 | Observações: </v>
      </c>
      <c r="I550" t="s">
        <v>26</v>
      </c>
      <c r="J550" s="4">
        <v>4620</v>
      </c>
      <c r="K550" s="4">
        <v>566508.78</v>
      </c>
      <c r="L550" t="s">
        <v>27</v>
      </c>
      <c r="M550" s="4">
        <v>4620</v>
      </c>
      <c r="N550" s="3">
        <v>0</v>
      </c>
      <c r="O550" t="s">
        <v>989</v>
      </c>
      <c r="P550" t="s">
        <v>1008</v>
      </c>
      <c r="Q550" t="s">
        <v>1009</v>
      </c>
      <c r="R550" t="str">
        <f t="shared" si="17"/>
        <v>Sim</v>
      </c>
      <c r="S550" t="s">
        <v>1009</v>
      </c>
      <c r="T550" t="s">
        <v>30</v>
      </c>
      <c r="U550" t="s">
        <v>31</v>
      </c>
      <c r="V550" s="3">
        <v>4620</v>
      </c>
      <c r="W550" t="s">
        <v>32</v>
      </c>
      <c r="X550" s="3">
        <v>4620</v>
      </c>
    </row>
    <row r="551" spans="1:24" s="2" customFormat="1" x14ac:dyDescent="0.2">
      <c r="A551">
        <v>551</v>
      </c>
      <c r="B551" t="s">
        <v>71</v>
      </c>
      <c r="C551" t="s">
        <v>72</v>
      </c>
      <c r="D551" t="s">
        <v>325</v>
      </c>
      <c r="E551" t="s">
        <v>624</v>
      </c>
      <c r="F551" t="s">
        <v>24</v>
      </c>
      <c r="G551" t="s">
        <v>25</v>
      </c>
      <c r="H551" t="str">
        <f t="shared" si="16"/>
        <v xml:space="preserve">VIA MADEIRA (HAEHLING) | Recorrência:5/5 | Observações: </v>
      </c>
      <c r="I551" t="s">
        <v>26</v>
      </c>
      <c r="J551" s="4">
        <v>330</v>
      </c>
      <c r="K551" s="4">
        <v>566838.78</v>
      </c>
      <c r="L551" t="s">
        <v>27</v>
      </c>
      <c r="M551" s="4">
        <v>330</v>
      </c>
      <c r="N551" s="3">
        <v>0</v>
      </c>
      <c r="O551" t="s">
        <v>989</v>
      </c>
      <c r="P551" t="s">
        <v>897</v>
      </c>
      <c r="Q551" t="s">
        <v>898</v>
      </c>
      <c r="R551" t="str">
        <f t="shared" si="17"/>
        <v>Sim</v>
      </c>
      <c r="S551" t="s">
        <v>898</v>
      </c>
      <c r="T551" t="s">
        <v>30</v>
      </c>
      <c r="U551" t="s">
        <v>49</v>
      </c>
      <c r="V551" s="3">
        <v>330</v>
      </c>
      <c r="W551" t="s">
        <v>49</v>
      </c>
      <c r="X551" s="3">
        <v>330</v>
      </c>
    </row>
    <row r="552" spans="1:24" s="2" customFormat="1" x14ac:dyDescent="0.2">
      <c r="A552" s="2">
        <v>552</v>
      </c>
      <c r="B552"/>
      <c r="C552" t="s">
        <v>795</v>
      </c>
      <c r="D552" t="s">
        <v>325</v>
      </c>
      <c r="E552" t="s">
        <v>95</v>
      </c>
      <c r="F552" t="s">
        <v>24</v>
      </c>
      <c r="G552" t="s">
        <v>25</v>
      </c>
      <c r="H552" t="str">
        <f t="shared" si="16"/>
        <v xml:space="preserve">VIA MADEIRA (HAEHLING) | Recorrência:2/2 | Observações: </v>
      </c>
      <c r="I552" t="s">
        <v>491</v>
      </c>
      <c r="J552" s="4">
        <v>140</v>
      </c>
      <c r="K552" s="4">
        <v>566978.78</v>
      </c>
      <c r="L552" t="s">
        <v>27</v>
      </c>
      <c r="M552" s="4">
        <v>140</v>
      </c>
      <c r="N552" s="3">
        <v>0</v>
      </c>
      <c r="O552" t="s">
        <v>989</v>
      </c>
      <c r="P552" t="s">
        <v>994</v>
      </c>
      <c r="Q552" t="s">
        <v>994</v>
      </c>
      <c r="R552" t="str">
        <f t="shared" si="17"/>
        <v>Sim</v>
      </c>
      <c r="S552" t="s">
        <v>994</v>
      </c>
      <c r="T552" t="s">
        <v>30</v>
      </c>
      <c r="U552" t="s">
        <v>49</v>
      </c>
      <c r="V552" s="3">
        <v>140</v>
      </c>
      <c r="W552" t="s">
        <v>494</v>
      </c>
      <c r="X552" s="3">
        <v>140</v>
      </c>
    </row>
    <row r="553" spans="1:24" s="2" customFormat="1" x14ac:dyDescent="0.2">
      <c r="A553">
        <v>553</v>
      </c>
      <c r="B553" t="s">
        <v>1010</v>
      </c>
      <c r="C553" t="s">
        <v>1011</v>
      </c>
      <c r="D553" t="s">
        <v>1012</v>
      </c>
      <c r="E553" t="s">
        <v>30</v>
      </c>
      <c r="F553" t="s">
        <v>24</v>
      </c>
      <c r="G553" t="s">
        <v>25</v>
      </c>
      <c r="H553" t="str">
        <f t="shared" si="16"/>
        <v xml:space="preserve">RT EDIFICIO SUPREME PEDIDO 4895 | Recorrência: | Observações: </v>
      </c>
      <c r="I553" t="s">
        <v>491</v>
      </c>
      <c r="J553" s="4">
        <v>237.17</v>
      </c>
      <c r="K553" s="4">
        <v>567215.94999999995</v>
      </c>
      <c r="L553" t="s">
        <v>27</v>
      </c>
      <c r="M553" s="4">
        <v>237.17</v>
      </c>
      <c r="N553" s="3">
        <v>0</v>
      </c>
      <c r="O553" t="s">
        <v>989</v>
      </c>
      <c r="P553" t="s">
        <v>1013</v>
      </c>
      <c r="Q553" t="s">
        <v>1013</v>
      </c>
      <c r="R553" t="str">
        <f t="shared" si="17"/>
        <v>Sim</v>
      </c>
      <c r="S553" t="s">
        <v>1013</v>
      </c>
      <c r="T553" t="s">
        <v>30</v>
      </c>
      <c r="U553" t="s">
        <v>49</v>
      </c>
      <c r="V553" s="3">
        <v>237.17</v>
      </c>
      <c r="W553" t="s">
        <v>494</v>
      </c>
      <c r="X553" s="3">
        <v>237.17</v>
      </c>
    </row>
    <row r="554" spans="1:24" s="2" customFormat="1" x14ac:dyDescent="0.2">
      <c r="A554" s="2">
        <v>554</v>
      </c>
      <c r="B554"/>
      <c r="C554" t="s">
        <v>453</v>
      </c>
      <c r="D554" t="s">
        <v>226</v>
      </c>
      <c r="E554" t="s">
        <v>356</v>
      </c>
      <c r="F554" t="s">
        <v>24</v>
      </c>
      <c r="G554" t="s">
        <v>25</v>
      </c>
      <c r="H554" t="str">
        <f t="shared" si="16"/>
        <v xml:space="preserve">ESPAÇO REFORMAR (DMP REFORMAS ) | Recorrência:5/6 | Observações: </v>
      </c>
      <c r="I554" t="s">
        <v>26</v>
      </c>
      <c r="J554" s="4">
        <v>2000</v>
      </c>
      <c r="K554" s="4">
        <v>569215.94999999995</v>
      </c>
      <c r="L554" t="s">
        <v>27</v>
      </c>
      <c r="M554" s="4">
        <v>2000</v>
      </c>
      <c r="N554" s="3">
        <v>0</v>
      </c>
      <c r="O554" t="s">
        <v>968</v>
      </c>
      <c r="P554" t="s">
        <v>968</v>
      </c>
      <c r="Q554" t="s">
        <v>968</v>
      </c>
      <c r="R554" t="str">
        <f t="shared" si="17"/>
        <v>Sim</v>
      </c>
      <c r="S554" t="s">
        <v>968</v>
      </c>
      <c r="T554" t="s">
        <v>30</v>
      </c>
      <c r="U554" t="s">
        <v>49</v>
      </c>
      <c r="V554" s="3">
        <v>2000</v>
      </c>
      <c r="W554" t="s">
        <v>49</v>
      </c>
      <c r="X554" s="3">
        <v>2000</v>
      </c>
    </row>
    <row r="555" spans="1:24" s="2" customFormat="1" x14ac:dyDescent="0.2">
      <c r="A555">
        <v>555</v>
      </c>
      <c r="B555"/>
      <c r="C555" t="s">
        <v>817</v>
      </c>
      <c r="D555" t="s">
        <v>817</v>
      </c>
      <c r="E555" t="s">
        <v>465</v>
      </c>
      <c r="F555" t="s">
        <v>24</v>
      </c>
      <c r="G555" t="s">
        <v>25</v>
      </c>
      <c r="H555" t="str">
        <f t="shared" si="16"/>
        <v xml:space="preserve">MARIELLA MATAVELLI | Recorrência:4/4 | Observações: </v>
      </c>
      <c r="I555" t="s">
        <v>26</v>
      </c>
      <c r="J555" s="4">
        <v>1950</v>
      </c>
      <c r="K555" s="4">
        <v>571165.94999999995</v>
      </c>
      <c r="L555" t="s">
        <v>27</v>
      </c>
      <c r="M555" s="4">
        <v>1950</v>
      </c>
      <c r="N555" s="3">
        <v>0</v>
      </c>
      <c r="O555" t="s">
        <v>970</v>
      </c>
      <c r="P555" t="s">
        <v>951</v>
      </c>
      <c r="Q555" t="s">
        <v>971</v>
      </c>
      <c r="R555" t="str">
        <f t="shared" si="17"/>
        <v>Sim</v>
      </c>
      <c r="S555" t="s">
        <v>971</v>
      </c>
      <c r="T555" t="s">
        <v>30</v>
      </c>
      <c r="U555" t="s">
        <v>31</v>
      </c>
      <c r="V555" s="3">
        <v>1950</v>
      </c>
    </row>
    <row r="556" spans="1:24" s="2" customFormat="1" x14ac:dyDescent="0.2">
      <c r="A556" s="2">
        <v>556</v>
      </c>
      <c r="B556"/>
      <c r="C556" t="s">
        <v>817</v>
      </c>
      <c r="D556" t="s">
        <v>274</v>
      </c>
      <c r="E556" t="s">
        <v>38</v>
      </c>
      <c r="F556" t="s">
        <v>24</v>
      </c>
      <c r="G556" t="s">
        <v>25</v>
      </c>
      <c r="H556" t="str">
        <f t="shared" si="16"/>
        <v xml:space="preserve">GERENCIAMENTO | Recorrência:1/3 | Observações: </v>
      </c>
      <c r="I556" t="s">
        <v>26</v>
      </c>
      <c r="J556" s="4">
        <v>2000</v>
      </c>
      <c r="K556" s="4">
        <v>573165.94999999995</v>
      </c>
      <c r="L556" t="s">
        <v>27</v>
      </c>
      <c r="M556" s="4">
        <v>2000</v>
      </c>
      <c r="N556" s="3">
        <v>0</v>
      </c>
      <c r="O556" t="s">
        <v>970</v>
      </c>
      <c r="P556" t="s">
        <v>819</v>
      </c>
      <c r="Q556" t="s">
        <v>971</v>
      </c>
      <c r="R556" t="str">
        <f t="shared" si="17"/>
        <v>Sim</v>
      </c>
      <c r="S556" t="s">
        <v>971</v>
      </c>
      <c r="T556" t="s">
        <v>30</v>
      </c>
      <c r="U556" t="s">
        <v>274</v>
      </c>
      <c r="V556" s="3">
        <v>2000</v>
      </c>
      <c r="W556" t="s">
        <v>166</v>
      </c>
      <c r="X556" s="3">
        <v>2000</v>
      </c>
    </row>
    <row r="557" spans="1:24" s="2" customFormat="1" x14ac:dyDescent="0.2">
      <c r="A557">
        <v>557</v>
      </c>
      <c r="B557"/>
      <c r="C557" t="s">
        <v>418</v>
      </c>
      <c r="D557" t="s">
        <v>261</v>
      </c>
      <c r="E557" t="s">
        <v>30</v>
      </c>
      <c r="F557" t="s">
        <v>24</v>
      </c>
      <c r="G557" t="s">
        <v>25</v>
      </c>
      <c r="H557" t="str">
        <f t="shared" si="16"/>
        <v xml:space="preserve">BRENTWOOD (Alameda Moveis Dec) | Recorrência: | Observações: </v>
      </c>
      <c r="I557" t="s">
        <v>26</v>
      </c>
      <c r="J557" s="4">
        <v>83.25</v>
      </c>
      <c r="K557" s="4">
        <v>573249.19999999995</v>
      </c>
      <c r="L557" t="s">
        <v>27</v>
      </c>
      <c r="M557" s="4">
        <v>83.25</v>
      </c>
      <c r="N557" s="3">
        <v>0</v>
      </c>
      <c r="O557" t="s">
        <v>970</v>
      </c>
      <c r="P557" t="s">
        <v>925</v>
      </c>
      <c r="Q557" t="s">
        <v>981</v>
      </c>
      <c r="R557" t="str">
        <f t="shared" si="17"/>
        <v>Sim</v>
      </c>
      <c r="S557" t="s">
        <v>981</v>
      </c>
      <c r="T557" t="s">
        <v>30</v>
      </c>
      <c r="U557" t="s">
        <v>49</v>
      </c>
      <c r="V557" s="3">
        <v>83.25</v>
      </c>
      <c r="W557" t="s">
        <v>494</v>
      </c>
      <c r="X557" s="3">
        <v>83.25</v>
      </c>
    </row>
    <row r="558" spans="1:24" s="2" customFormat="1" x14ac:dyDescent="0.2">
      <c r="A558" s="2">
        <v>558</v>
      </c>
      <c r="B558"/>
      <c r="C558"/>
      <c r="D558" t="s">
        <v>49</v>
      </c>
      <c r="E558" t="s">
        <v>30</v>
      </c>
      <c r="F558" t="s">
        <v>24</v>
      </c>
      <c r="G558" t="s">
        <v>25</v>
      </c>
      <c r="H558" t="str">
        <f t="shared" si="16"/>
        <v xml:space="preserve">RESERVA TÉCNICA | Recorrência: | Observações: RT - 10% COM NF 
Data: 20/06/2022 
Debitado da Conta-Corrente de Maria Isabel Correa Najm Strapet
Agência e conta do débito: 1233 Conta-Corrente: 2750-2
Agência e conta do crédito: 2713 Conta-Corrente: 10554-6
Favorecido: Innovare Comercio De Moveis E Ob
Valor: 1.414,55 N° de Documento: 2713454
Data do débito: 20/06/2022
</v>
      </c>
      <c r="I558" t="s">
        <v>491</v>
      </c>
      <c r="J558" s="4">
        <v>1414.55</v>
      </c>
      <c r="K558" s="4">
        <v>574663.75</v>
      </c>
      <c r="L558" t="s">
        <v>27</v>
      </c>
      <c r="M558" s="4">
        <v>1414.55</v>
      </c>
      <c r="N558" s="3">
        <v>0</v>
      </c>
      <c r="O558" t="s">
        <v>970</v>
      </c>
      <c r="P558" t="s">
        <v>970</v>
      </c>
      <c r="Q558" t="s">
        <v>970</v>
      </c>
      <c r="R558" t="str">
        <f t="shared" si="17"/>
        <v>Sim</v>
      </c>
      <c r="S558" t="s">
        <v>970</v>
      </c>
      <c r="T558" t="s">
        <v>1014</v>
      </c>
      <c r="U558" t="s">
        <v>463</v>
      </c>
      <c r="V558" s="3">
        <v>1414.55</v>
      </c>
      <c r="W558" t="s">
        <v>49</v>
      </c>
      <c r="X558" s="3">
        <v>1414.55</v>
      </c>
    </row>
    <row r="559" spans="1:24" s="2" customFormat="1" x14ac:dyDescent="0.2">
      <c r="A559">
        <v>559</v>
      </c>
      <c r="B559"/>
      <c r="C559" t="s">
        <v>297</v>
      </c>
      <c r="D559" t="s">
        <v>715</v>
      </c>
      <c r="E559" t="s">
        <v>634</v>
      </c>
      <c r="F559" t="s">
        <v>63</v>
      </c>
      <c r="G559" t="s">
        <v>25</v>
      </c>
      <c r="H559" t="str">
        <f t="shared" si="16"/>
        <v xml:space="preserve">DARF PREVIDENCIARIO (ANTIGO GPS) | Recorrência:6/12 | Observações: valor poderá ser alterado </v>
      </c>
      <c r="I559" t="s">
        <v>26</v>
      </c>
      <c r="J559" s="5">
        <v>-1300.71</v>
      </c>
      <c r="K559" s="4">
        <v>573363.04</v>
      </c>
      <c r="L559" t="s">
        <v>27</v>
      </c>
      <c r="M559" s="5">
        <v>-1300.71</v>
      </c>
      <c r="N559" s="3">
        <v>0</v>
      </c>
      <c r="O559" t="s">
        <v>970</v>
      </c>
      <c r="P559" t="s">
        <v>922</v>
      </c>
      <c r="Q559" t="s">
        <v>970</v>
      </c>
      <c r="R559" t="str">
        <f t="shared" si="17"/>
        <v>Sim</v>
      </c>
      <c r="S559" t="s">
        <v>970</v>
      </c>
      <c r="T559" t="s">
        <v>717</v>
      </c>
      <c r="U559" t="s">
        <v>677</v>
      </c>
      <c r="V559" s="3">
        <v>-1300.71</v>
      </c>
      <c r="W559" t="s">
        <v>376</v>
      </c>
      <c r="X559" s="3">
        <v>-1300.71</v>
      </c>
    </row>
    <row r="560" spans="1:24" s="2" customFormat="1" x14ac:dyDescent="0.2">
      <c r="A560" s="2">
        <v>560</v>
      </c>
      <c r="B560"/>
      <c r="C560" t="s">
        <v>297</v>
      </c>
      <c r="D560" t="s">
        <v>715</v>
      </c>
      <c r="E560" t="s">
        <v>634</v>
      </c>
      <c r="F560" t="s">
        <v>63</v>
      </c>
      <c r="G560" t="s">
        <v>25</v>
      </c>
      <c r="H560" t="str">
        <f t="shared" si="16"/>
        <v xml:space="preserve">DARF PREVIDENCIARIO (ANTIGO GPS) | Recorrência:6/12 | Observações: valor poderá ser alterado </v>
      </c>
      <c r="I560" t="s">
        <v>755</v>
      </c>
      <c r="J560" s="5">
        <v>-34.33</v>
      </c>
      <c r="K560" s="4">
        <v>573363.04</v>
      </c>
      <c r="L560" t="s">
        <v>756</v>
      </c>
      <c r="M560" s="5">
        <v>-1335.04</v>
      </c>
      <c r="N560" s="3">
        <v>0</v>
      </c>
      <c r="O560" t="s">
        <v>970</v>
      </c>
      <c r="P560" t="s">
        <v>922</v>
      </c>
      <c r="Q560" t="s">
        <v>970</v>
      </c>
      <c r="R560" t="str">
        <f t="shared" si="17"/>
        <v>Sim</v>
      </c>
      <c r="S560" t="s">
        <v>970</v>
      </c>
      <c r="T560" t="s">
        <v>717</v>
      </c>
      <c r="U560" t="s">
        <v>677</v>
      </c>
      <c r="V560" s="3">
        <v>-34.33</v>
      </c>
      <c r="W560" t="s">
        <v>376</v>
      </c>
      <c r="X560" s="3">
        <v>-34.33</v>
      </c>
    </row>
    <row r="561" spans="1:24" s="2" customFormat="1" x14ac:dyDescent="0.2">
      <c r="A561">
        <v>561</v>
      </c>
      <c r="B561" t="s">
        <v>1016</v>
      </c>
      <c r="C561" t="s">
        <v>1017</v>
      </c>
      <c r="D561" t="s">
        <v>1018</v>
      </c>
      <c r="E561" t="s">
        <v>30</v>
      </c>
      <c r="F561" t="s">
        <v>63</v>
      </c>
      <c r="G561" t="s">
        <v>25</v>
      </c>
      <c r="H561" t="str">
        <f t="shared" si="16"/>
        <v>1/4 - HOSPEDAGEM SITE 1/4 | Recorrência: | Observações: Alteração site MN</v>
      </c>
      <c r="I561" t="s">
        <v>755</v>
      </c>
      <c r="J561" s="5">
        <v>-525</v>
      </c>
      <c r="K561" s="4">
        <v>572838.04</v>
      </c>
      <c r="L561" t="s">
        <v>27</v>
      </c>
      <c r="M561" s="5">
        <v>-525</v>
      </c>
      <c r="N561" s="3">
        <v>0</v>
      </c>
      <c r="O561" t="s">
        <v>1015</v>
      </c>
      <c r="P561" t="s">
        <v>1015</v>
      </c>
      <c r="Q561" t="s">
        <v>1015</v>
      </c>
      <c r="R561" t="str">
        <f t="shared" si="17"/>
        <v>Sim</v>
      </c>
      <c r="S561" t="s">
        <v>1015</v>
      </c>
      <c r="T561" t="s">
        <v>1019</v>
      </c>
      <c r="U561" t="s">
        <v>344</v>
      </c>
      <c r="V561" s="3">
        <v>-525</v>
      </c>
      <c r="W561" t="s">
        <v>577</v>
      </c>
      <c r="X561" s="3">
        <v>-525</v>
      </c>
    </row>
    <row r="562" spans="1:24" s="2" customFormat="1" x14ac:dyDescent="0.2">
      <c r="A562" s="2">
        <v>562</v>
      </c>
      <c r="B562"/>
      <c r="C562" t="s">
        <v>918</v>
      </c>
      <c r="D562" t="s">
        <v>1020</v>
      </c>
      <c r="E562" t="s">
        <v>30</v>
      </c>
      <c r="F562" t="s">
        <v>24</v>
      </c>
      <c r="G562" t="s">
        <v>25</v>
      </c>
      <c r="H562" t="str">
        <f t="shared" si="16"/>
        <v>RT - STR_AR CONDICIONADO (STRATEGY BOX) | Recorrência: | Observações: Pedido AAFUQ1 e AAFURK</v>
      </c>
      <c r="I562" t="s">
        <v>491</v>
      </c>
      <c r="J562" s="4">
        <v>2228.79</v>
      </c>
      <c r="K562" s="4">
        <v>575066.82999999996</v>
      </c>
      <c r="L562" t="s">
        <v>27</v>
      </c>
      <c r="M562" s="4">
        <v>2228.79</v>
      </c>
      <c r="N562" s="3">
        <v>0</v>
      </c>
      <c r="O562" t="s">
        <v>1015</v>
      </c>
      <c r="P562" t="s">
        <v>922</v>
      </c>
      <c r="Q562" t="s">
        <v>963</v>
      </c>
      <c r="R562" t="str">
        <f t="shared" si="17"/>
        <v>Sim</v>
      </c>
      <c r="S562" t="s">
        <v>963</v>
      </c>
      <c r="T562" t="s">
        <v>1021</v>
      </c>
      <c r="U562" t="s">
        <v>49</v>
      </c>
      <c r="V562" s="3">
        <v>2228.79</v>
      </c>
      <c r="W562" t="s">
        <v>494</v>
      </c>
      <c r="X562" s="3">
        <v>2228.79</v>
      </c>
    </row>
    <row r="563" spans="1:24" s="2" customFormat="1" x14ac:dyDescent="0.2">
      <c r="A563">
        <v>563</v>
      </c>
      <c r="B563"/>
      <c r="C563" t="s">
        <v>822</v>
      </c>
      <c r="D563" t="s">
        <v>1022</v>
      </c>
      <c r="E563" t="s">
        <v>30</v>
      </c>
      <c r="F563" t="s">
        <v>24</v>
      </c>
      <c r="G563" t="s">
        <v>25</v>
      </c>
      <c r="H563" t="str">
        <f t="shared" si="16"/>
        <v xml:space="preserve">STR_AR CONDICIONADO (STRATEGY BOX) | Recorrência: | Observações: </v>
      </c>
      <c r="I563" t="s">
        <v>26</v>
      </c>
      <c r="J563" s="4">
        <v>2161.6999999999998</v>
      </c>
      <c r="K563" s="4">
        <v>577228.53</v>
      </c>
      <c r="L563" t="s">
        <v>27</v>
      </c>
      <c r="M563" s="4">
        <v>2161.6999999999998</v>
      </c>
      <c r="N563" s="3">
        <v>0</v>
      </c>
      <c r="O563" t="s">
        <v>1015</v>
      </c>
      <c r="P563" t="s">
        <v>959</v>
      </c>
      <c r="Q563" t="s">
        <v>963</v>
      </c>
      <c r="R563" t="str">
        <f t="shared" si="17"/>
        <v>Sim</v>
      </c>
      <c r="S563" t="s">
        <v>963</v>
      </c>
      <c r="T563" t="s">
        <v>30</v>
      </c>
      <c r="U563" t="s">
        <v>49</v>
      </c>
      <c r="V563" s="3">
        <v>2161.6999999999998</v>
      </c>
      <c r="W563" t="s">
        <v>494</v>
      </c>
      <c r="X563" s="3">
        <v>2161.6999999999998</v>
      </c>
    </row>
    <row r="564" spans="1:24" s="2" customFormat="1" x14ac:dyDescent="0.2">
      <c r="A564" s="2">
        <v>564</v>
      </c>
      <c r="B564"/>
      <c r="C564" t="s">
        <v>386</v>
      </c>
      <c r="D564" t="s">
        <v>1024</v>
      </c>
      <c r="E564" t="s">
        <v>30</v>
      </c>
      <c r="F564" t="s">
        <v>24</v>
      </c>
      <c r="G564" t="s">
        <v>25</v>
      </c>
      <c r="H564" t="str">
        <f t="shared" si="16"/>
        <v>OBRA FÁCIL (Mark Uo Part) | Recorrência: | Observações: Pontuações: Cliente Márcio Borges 
Pedido 262890
Depósito bancário é realizado pela empresa MARK UP PART</v>
      </c>
      <c r="I564" t="s">
        <v>491</v>
      </c>
      <c r="J564" s="4">
        <v>749.27</v>
      </c>
      <c r="K564" s="4">
        <v>577977.80000000005</v>
      </c>
      <c r="L564" t="s">
        <v>27</v>
      </c>
      <c r="M564" s="4">
        <v>749.27</v>
      </c>
      <c r="N564" s="3">
        <v>0</v>
      </c>
      <c r="O564" t="s">
        <v>1023</v>
      </c>
      <c r="P564" t="s">
        <v>996</v>
      </c>
      <c r="Q564" t="s">
        <v>963</v>
      </c>
      <c r="R564" t="str">
        <f t="shared" si="17"/>
        <v>Sim</v>
      </c>
      <c r="S564" t="s">
        <v>963</v>
      </c>
      <c r="T564" t="s">
        <v>1025</v>
      </c>
      <c r="U564" t="s">
        <v>49</v>
      </c>
      <c r="V564" s="3">
        <v>749.27</v>
      </c>
      <c r="W564" t="s">
        <v>49</v>
      </c>
      <c r="X564" s="3">
        <v>749.27</v>
      </c>
    </row>
    <row r="565" spans="1:24" s="2" customFormat="1" x14ac:dyDescent="0.2">
      <c r="A565">
        <v>565</v>
      </c>
      <c r="B565"/>
      <c r="C565" t="s">
        <v>153</v>
      </c>
      <c r="D565" t="s">
        <v>838</v>
      </c>
      <c r="E565" t="s">
        <v>1026</v>
      </c>
      <c r="F565" t="s">
        <v>63</v>
      </c>
      <c r="G565" t="s">
        <v>25</v>
      </c>
      <c r="H565" t="str">
        <f t="shared" si="16"/>
        <v xml:space="preserve">CARTÃO DE CREDITO_ FINAL 5507 | Recorrência:5/10 | Observações: </v>
      </c>
      <c r="I565" t="s">
        <v>26</v>
      </c>
      <c r="J565" s="5">
        <v>-995.29</v>
      </c>
      <c r="K565" s="4">
        <v>576982.51</v>
      </c>
      <c r="L565" t="s">
        <v>27</v>
      </c>
      <c r="M565" s="5">
        <v>-995.29</v>
      </c>
      <c r="N565" s="3">
        <v>0</v>
      </c>
      <c r="O565" t="s">
        <v>1023</v>
      </c>
      <c r="P565" t="s">
        <v>1023</v>
      </c>
      <c r="Q565" t="s">
        <v>1023</v>
      </c>
      <c r="R565" t="str">
        <f t="shared" si="17"/>
        <v>Sim</v>
      </c>
      <c r="S565" t="s">
        <v>1023</v>
      </c>
      <c r="T565" t="s">
        <v>30</v>
      </c>
      <c r="U565" t="s">
        <v>764</v>
      </c>
      <c r="V565" s="3">
        <v>-995.29</v>
      </c>
      <c r="W565" t="s">
        <v>577</v>
      </c>
      <c r="X565" s="3">
        <v>-995.29</v>
      </c>
    </row>
    <row r="566" spans="1:24" s="2" customFormat="1" x14ac:dyDescent="0.2">
      <c r="A566" s="2">
        <v>566</v>
      </c>
      <c r="B566"/>
      <c r="C566" t="s">
        <v>799</v>
      </c>
      <c r="D566" t="s">
        <v>1028</v>
      </c>
      <c r="E566" t="s">
        <v>30</v>
      </c>
      <c r="F566" t="s">
        <v>24</v>
      </c>
      <c r="G566" t="s">
        <v>25</v>
      </c>
      <c r="H566" t="str">
        <f t="shared" si="16"/>
        <v>BED &amp; DESIGN | Recorrência: | Observações: PEDIDO 36668 - Valor R$ 2.799,00</v>
      </c>
      <c r="I566" t="s">
        <v>26</v>
      </c>
      <c r="J566" s="4">
        <v>279.89999999999998</v>
      </c>
      <c r="K566" s="4">
        <v>577262.41</v>
      </c>
      <c r="L566" t="s">
        <v>27</v>
      </c>
      <c r="M566" s="4">
        <v>279.89999999999998</v>
      </c>
      <c r="N566" s="3">
        <v>0</v>
      </c>
      <c r="O566" t="s">
        <v>1027</v>
      </c>
      <c r="P566" t="s">
        <v>935</v>
      </c>
      <c r="Q566" t="s">
        <v>970</v>
      </c>
      <c r="R566" t="str">
        <f t="shared" si="17"/>
        <v>Sim</v>
      </c>
      <c r="S566" t="s">
        <v>970</v>
      </c>
      <c r="T566" t="s">
        <v>1029</v>
      </c>
      <c r="U566" t="s">
        <v>49</v>
      </c>
      <c r="V566" s="3">
        <v>279.89999999999998</v>
      </c>
      <c r="W566" t="s">
        <v>494</v>
      </c>
      <c r="X566" s="3">
        <v>279.89999999999998</v>
      </c>
    </row>
    <row r="567" spans="1:24" s="2" customFormat="1" x14ac:dyDescent="0.2">
      <c r="A567">
        <v>567</v>
      </c>
      <c r="B567"/>
      <c r="C567" t="s">
        <v>817</v>
      </c>
      <c r="D567" t="s">
        <v>758</v>
      </c>
      <c r="E567" t="s">
        <v>199</v>
      </c>
      <c r="F567" t="s">
        <v>24</v>
      </c>
      <c r="G567" t="s">
        <v>25</v>
      </c>
      <c r="H567" t="str">
        <f t="shared" si="16"/>
        <v>ELIAS_MARCENEIRO | Recorrência:3/5 | Observações: PEDIDO PARCELADO EM 5X</v>
      </c>
      <c r="I567" t="s">
        <v>26</v>
      </c>
      <c r="J567" s="4">
        <v>1240</v>
      </c>
      <c r="K567" s="4">
        <v>578502.41</v>
      </c>
      <c r="L567" t="s">
        <v>27</v>
      </c>
      <c r="M567" s="4">
        <v>1240</v>
      </c>
      <c r="N567" s="3">
        <v>0</v>
      </c>
      <c r="O567" t="s">
        <v>1027</v>
      </c>
      <c r="P567" t="s">
        <v>970</v>
      </c>
      <c r="Q567" t="s">
        <v>1023</v>
      </c>
      <c r="R567" t="str">
        <f t="shared" si="17"/>
        <v>Sim</v>
      </c>
      <c r="S567" t="s">
        <v>1023</v>
      </c>
      <c r="T567" t="s">
        <v>893</v>
      </c>
      <c r="U567" t="s">
        <v>49</v>
      </c>
      <c r="V567" s="3">
        <v>1240</v>
      </c>
      <c r="W567" t="s">
        <v>494</v>
      </c>
      <c r="X567" s="3">
        <v>1240</v>
      </c>
    </row>
    <row r="568" spans="1:24" s="2" customFormat="1" x14ac:dyDescent="0.2">
      <c r="A568" s="2">
        <v>568</v>
      </c>
      <c r="B568"/>
      <c r="C568" t="s">
        <v>297</v>
      </c>
      <c r="D568" t="s">
        <v>481</v>
      </c>
      <c r="E568" t="s">
        <v>518</v>
      </c>
      <c r="F568" t="s">
        <v>63</v>
      </c>
      <c r="G568" t="s">
        <v>25</v>
      </c>
      <c r="H568" t="str">
        <f t="shared" si="16"/>
        <v>DARF_COFINS | Recorrência:4/12 | Observações: APURAÇÃO DEZEMBRO/2021</v>
      </c>
      <c r="I568" t="s">
        <v>26</v>
      </c>
      <c r="J568" s="5">
        <v>-65.239999999999995</v>
      </c>
      <c r="K568" s="4">
        <v>578437.17000000004</v>
      </c>
      <c r="L568" t="s">
        <v>27</v>
      </c>
      <c r="M568" s="5">
        <v>-65.239999999999995</v>
      </c>
      <c r="N568" s="3">
        <v>0</v>
      </c>
      <c r="O568" t="s">
        <v>1030</v>
      </c>
      <c r="P568" t="s">
        <v>938</v>
      </c>
      <c r="Q568" t="s">
        <v>1030</v>
      </c>
      <c r="R568" t="str">
        <f t="shared" si="17"/>
        <v>Sim</v>
      </c>
      <c r="S568" t="s">
        <v>1030</v>
      </c>
      <c r="T568" t="s">
        <v>683</v>
      </c>
      <c r="U568" t="s">
        <v>483</v>
      </c>
      <c r="V568" s="3">
        <v>-65.239999999999995</v>
      </c>
      <c r="W568" t="s">
        <v>190</v>
      </c>
      <c r="X568" s="3">
        <v>-65.239999999999995</v>
      </c>
    </row>
    <row r="569" spans="1:24" s="2" customFormat="1" x14ac:dyDescent="0.2">
      <c r="A569">
        <v>569</v>
      </c>
      <c r="B569"/>
      <c r="C569" t="s">
        <v>297</v>
      </c>
      <c r="D569" t="s">
        <v>684</v>
      </c>
      <c r="E569" t="s">
        <v>566</v>
      </c>
      <c r="F569" t="s">
        <v>63</v>
      </c>
      <c r="G569" t="s">
        <v>25</v>
      </c>
      <c r="H569" t="str">
        <f t="shared" si="16"/>
        <v xml:space="preserve">DARF_ PIS | Recorrência:5/12 | Observações: </v>
      </c>
      <c r="I569" t="s">
        <v>26</v>
      </c>
      <c r="J569" s="5">
        <v>-19.22</v>
      </c>
      <c r="K569" s="4">
        <v>578417.94999999995</v>
      </c>
      <c r="L569" t="s">
        <v>27</v>
      </c>
      <c r="M569" s="5">
        <v>-19.22</v>
      </c>
      <c r="N569" s="3">
        <v>0</v>
      </c>
      <c r="O569" t="s">
        <v>1030</v>
      </c>
      <c r="P569" t="s">
        <v>954</v>
      </c>
      <c r="Q569" t="s">
        <v>970</v>
      </c>
      <c r="R569" t="str">
        <f t="shared" si="17"/>
        <v>nao</v>
      </c>
      <c r="S569" t="s">
        <v>1030</v>
      </c>
      <c r="T569" t="s">
        <v>30</v>
      </c>
      <c r="U569" t="s">
        <v>483</v>
      </c>
      <c r="V569" s="3">
        <v>-19.22</v>
      </c>
      <c r="W569" t="s">
        <v>376</v>
      </c>
      <c r="X569" s="3">
        <v>-19.22</v>
      </c>
    </row>
    <row r="570" spans="1:24" s="2" customFormat="1" x14ac:dyDescent="0.2">
      <c r="A570" s="2">
        <v>570</v>
      </c>
      <c r="B570"/>
      <c r="C570" t="s">
        <v>792</v>
      </c>
      <c r="D570" t="s">
        <v>1031</v>
      </c>
      <c r="E570" t="s">
        <v>30</v>
      </c>
      <c r="F570" t="s">
        <v>24</v>
      </c>
      <c r="G570" t="s">
        <v>25</v>
      </c>
      <c r="H570" t="str">
        <f t="shared" si="16"/>
        <v xml:space="preserve">RT - DIVETRO_PENDURE | Recorrência: | Observações: </v>
      </c>
      <c r="I570" t="s">
        <v>491</v>
      </c>
      <c r="J570" s="4">
        <v>163</v>
      </c>
      <c r="K570" s="4">
        <v>578580.94999999995</v>
      </c>
      <c r="L570" t="s">
        <v>27</v>
      </c>
      <c r="M570" s="4">
        <v>163</v>
      </c>
      <c r="N570" s="3">
        <v>0</v>
      </c>
      <c r="O570" t="s">
        <v>1030</v>
      </c>
      <c r="P570" t="s">
        <v>970</v>
      </c>
      <c r="Q570" t="s">
        <v>970</v>
      </c>
      <c r="R570" t="str">
        <f t="shared" si="17"/>
        <v>Sim</v>
      </c>
      <c r="S570" t="s">
        <v>970</v>
      </c>
      <c r="T570" t="s">
        <v>30</v>
      </c>
      <c r="U570" t="s">
        <v>49</v>
      </c>
      <c r="V570" s="3">
        <v>163</v>
      </c>
      <c r="W570" t="s">
        <v>494</v>
      </c>
      <c r="X570" s="3">
        <v>163</v>
      </c>
    </row>
    <row r="571" spans="1:24" s="2" customFormat="1" x14ac:dyDescent="0.2">
      <c r="A571">
        <v>571</v>
      </c>
      <c r="B571"/>
      <c r="C571" t="s">
        <v>1032</v>
      </c>
      <c r="D571" t="s">
        <v>1033</v>
      </c>
      <c r="E571" t="s">
        <v>30</v>
      </c>
      <c r="F571" t="s">
        <v>24</v>
      </c>
      <c r="G571" t="s">
        <v>25</v>
      </c>
      <c r="H571" t="str">
        <f t="shared" si="16"/>
        <v xml:space="preserve">1/2 - PROJETO 1/2 | Recorrência: | Observações: </v>
      </c>
      <c r="I571" t="s">
        <v>991</v>
      </c>
      <c r="J571" s="4">
        <v>3000</v>
      </c>
      <c r="K571" s="4">
        <v>581580.94999999995</v>
      </c>
      <c r="L571" t="s">
        <v>27</v>
      </c>
      <c r="M571" s="4">
        <v>3000</v>
      </c>
      <c r="N571" s="3">
        <v>0</v>
      </c>
      <c r="O571" t="s">
        <v>973</v>
      </c>
      <c r="P571" t="s">
        <v>973</v>
      </c>
      <c r="Q571" t="s">
        <v>973</v>
      </c>
      <c r="R571" t="str">
        <f t="shared" si="17"/>
        <v>Sim</v>
      </c>
      <c r="S571" t="s">
        <v>973</v>
      </c>
      <c r="T571" t="s">
        <v>30</v>
      </c>
      <c r="U571" t="s">
        <v>40</v>
      </c>
      <c r="V571" s="3">
        <v>3000</v>
      </c>
      <c r="W571" t="s">
        <v>40</v>
      </c>
      <c r="X571" s="3">
        <v>3000</v>
      </c>
    </row>
    <row r="572" spans="1:24" s="2" customFormat="1" x14ac:dyDescent="0.2">
      <c r="A572" s="2">
        <v>572</v>
      </c>
      <c r="B572"/>
      <c r="C572" t="s">
        <v>710</v>
      </c>
      <c r="D572" t="s">
        <v>711</v>
      </c>
      <c r="E572" t="s">
        <v>566</v>
      </c>
      <c r="F572" t="s">
        <v>63</v>
      </c>
      <c r="G572" t="s">
        <v>25</v>
      </c>
      <c r="H572" t="str">
        <f t="shared" si="16"/>
        <v xml:space="preserve">ELETROPAULO_ENERGIA _ITAIM | Recorrência:5/12 | Observações: </v>
      </c>
      <c r="I572" t="s">
        <v>26</v>
      </c>
      <c r="J572" s="5">
        <v>-313.08</v>
      </c>
      <c r="K572" s="4">
        <v>581267.87</v>
      </c>
      <c r="L572" t="s">
        <v>27</v>
      </c>
      <c r="M572" s="5">
        <v>-313.08</v>
      </c>
      <c r="N572" s="3">
        <v>0</v>
      </c>
      <c r="O572" t="s">
        <v>963</v>
      </c>
      <c r="P572" t="s">
        <v>836</v>
      </c>
      <c r="Q572" t="s">
        <v>963</v>
      </c>
      <c r="R572" t="str">
        <f t="shared" si="17"/>
        <v>Sim</v>
      </c>
      <c r="S572" t="s">
        <v>963</v>
      </c>
      <c r="T572" t="s">
        <v>30</v>
      </c>
      <c r="U572" t="s">
        <v>125</v>
      </c>
      <c r="V572" s="3">
        <v>-313.08</v>
      </c>
      <c r="W572" t="s">
        <v>324</v>
      </c>
      <c r="X572" s="3">
        <v>-313.08</v>
      </c>
    </row>
    <row r="573" spans="1:24" s="2" customFormat="1" x14ac:dyDescent="0.2">
      <c r="A573">
        <v>573</v>
      </c>
      <c r="B573"/>
      <c r="C573" t="s">
        <v>153</v>
      </c>
      <c r="D573" t="s">
        <v>1036</v>
      </c>
      <c r="E573" t="s">
        <v>1035</v>
      </c>
      <c r="F573" t="s">
        <v>63</v>
      </c>
      <c r="G573" t="s">
        <v>25</v>
      </c>
      <c r="H573" t="str">
        <f t="shared" si="16"/>
        <v>VALE TRANSPORTE _ELIANE &gt;referente mês de julho | Recorrência:4/8 | Observações: Referente 21 dias 
Ida/Volta  - 17,60
Valor Unitário: 4,40</v>
      </c>
      <c r="I573" t="s">
        <v>26</v>
      </c>
      <c r="J573" s="5">
        <v>-369.6</v>
      </c>
      <c r="K573" s="4">
        <v>580898.27</v>
      </c>
      <c r="L573" t="s">
        <v>27</v>
      </c>
      <c r="M573" s="5">
        <v>-369.6</v>
      </c>
      <c r="N573" s="3">
        <v>0</v>
      </c>
      <c r="O573" t="s">
        <v>1034</v>
      </c>
      <c r="P573" t="s">
        <v>1034</v>
      </c>
      <c r="Q573" t="s">
        <v>1037</v>
      </c>
      <c r="R573" t="str">
        <f t="shared" si="17"/>
        <v>nao</v>
      </c>
      <c r="S573" t="s">
        <v>1034</v>
      </c>
      <c r="T573" t="s">
        <v>1038</v>
      </c>
      <c r="U573" t="s">
        <v>662</v>
      </c>
      <c r="V573" s="3">
        <v>-369.6</v>
      </c>
      <c r="W573" t="s">
        <v>577</v>
      </c>
      <c r="X573" s="3">
        <v>-369.6</v>
      </c>
    </row>
    <row r="574" spans="1:24" s="2" customFormat="1" x14ac:dyDescent="0.2">
      <c r="A574" s="2">
        <v>574</v>
      </c>
      <c r="B574"/>
      <c r="C574" t="s">
        <v>153</v>
      </c>
      <c r="D574" t="s">
        <v>636</v>
      </c>
      <c r="E574" t="s">
        <v>730</v>
      </c>
      <c r="F574" t="s">
        <v>63</v>
      </c>
      <c r="G574" t="s">
        <v>25</v>
      </c>
      <c r="H574" t="str">
        <f t="shared" si="16"/>
        <v xml:space="preserve">SALÁRIO ELIANE | Recorrência:7/12 | Observações: </v>
      </c>
      <c r="I574" t="s">
        <v>26</v>
      </c>
      <c r="J574" s="5">
        <v>-1466.99</v>
      </c>
      <c r="K574" s="4">
        <v>579431.28</v>
      </c>
      <c r="L574" t="s">
        <v>27</v>
      </c>
      <c r="M574" s="5">
        <v>-1466.99</v>
      </c>
      <c r="N574" s="3">
        <v>0</v>
      </c>
      <c r="O574" t="s">
        <v>1034</v>
      </c>
      <c r="P574" t="s">
        <v>963</v>
      </c>
      <c r="Q574" t="s">
        <v>1039</v>
      </c>
      <c r="R574" t="str">
        <f t="shared" si="17"/>
        <v>nao</v>
      </c>
      <c r="S574" t="s">
        <v>1034</v>
      </c>
      <c r="T574" t="s">
        <v>30</v>
      </c>
      <c r="U574" t="s">
        <v>323</v>
      </c>
      <c r="V574" s="3">
        <v>-1466.99</v>
      </c>
      <c r="W574" t="s">
        <v>324</v>
      </c>
      <c r="X574" s="3">
        <v>-1466.99</v>
      </c>
    </row>
    <row r="575" spans="1:24" s="2" customFormat="1" x14ac:dyDescent="0.2">
      <c r="A575">
        <v>575</v>
      </c>
      <c r="B575"/>
      <c r="C575" t="s">
        <v>153</v>
      </c>
      <c r="D575" t="s">
        <v>1040</v>
      </c>
      <c r="E575" t="s">
        <v>730</v>
      </c>
      <c r="F575" t="s">
        <v>63</v>
      </c>
      <c r="G575" t="s">
        <v>25</v>
      </c>
      <c r="H575" t="str">
        <f t="shared" si="16"/>
        <v xml:space="preserve">SODEXO - Eliane | Recorrência:7/12 | Observações: </v>
      </c>
      <c r="I575" t="s">
        <v>26</v>
      </c>
      <c r="J575" s="5">
        <v>-610.04999999999995</v>
      </c>
      <c r="K575" s="4">
        <v>578821.23</v>
      </c>
      <c r="L575" t="s">
        <v>27</v>
      </c>
      <c r="M575" s="5">
        <v>-610.04999999999995</v>
      </c>
      <c r="N575" s="3">
        <v>0</v>
      </c>
      <c r="O575" t="s">
        <v>1034</v>
      </c>
      <c r="P575" t="s">
        <v>970</v>
      </c>
      <c r="Q575" t="s">
        <v>1041</v>
      </c>
      <c r="R575" t="str">
        <f t="shared" si="17"/>
        <v>Sim</v>
      </c>
      <c r="S575" t="s">
        <v>1041</v>
      </c>
      <c r="T575" t="s">
        <v>30</v>
      </c>
      <c r="U575" t="s">
        <v>93</v>
      </c>
      <c r="V575" s="3">
        <v>-610.04999999999995</v>
      </c>
      <c r="W575" t="s">
        <v>577</v>
      </c>
      <c r="X575" s="3">
        <v>-610.04999999999995</v>
      </c>
    </row>
    <row r="576" spans="1:24" s="2" customFormat="1" x14ac:dyDescent="0.2">
      <c r="A576" s="2">
        <v>576</v>
      </c>
      <c r="B576"/>
      <c r="C576" t="s">
        <v>153</v>
      </c>
      <c r="D576" t="s">
        <v>689</v>
      </c>
      <c r="E576" t="s">
        <v>730</v>
      </c>
      <c r="F576" t="s">
        <v>63</v>
      </c>
      <c r="G576" t="s">
        <v>25</v>
      </c>
      <c r="H576" t="str">
        <f t="shared" si="16"/>
        <v xml:space="preserve">LIMPEZA_JULIANA COSTA SOARES | Recorrência:7/12 | Observações: </v>
      </c>
      <c r="I576" t="s">
        <v>26</v>
      </c>
      <c r="J576" s="5">
        <v>-480</v>
      </c>
      <c r="K576" s="4">
        <v>578341.23</v>
      </c>
      <c r="L576" t="s">
        <v>27</v>
      </c>
      <c r="M576" s="5">
        <v>-480</v>
      </c>
      <c r="N576" s="3">
        <v>0</v>
      </c>
      <c r="O576" t="s">
        <v>1034</v>
      </c>
      <c r="P576" t="s">
        <v>1039</v>
      </c>
      <c r="Q576" t="s">
        <v>1042</v>
      </c>
      <c r="R576" t="str">
        <f t="shared" si="17"/>
        <v>Sim</v>
      </c>
      <c r="S576" t="s">
        <v>1042</v>
      </c>
      <c r="T576" t="s">
        <v>30</v>
      </c>
      <c r="U576" t="s">
        <v>691</v>
      </c>
      <c r="V576" s="3">
        <v>-480</v>
      </c>
      <c r="W576" t="s">
        <v>577</v>
      </c>
      <c r="X576" s="3">
        <v>-480</v>
      </c>
    </row>
    <row r="577" spans="1:24" s="2" customFormat="1" x14ac:dyDescent="0.2">
      <c r="A577">
        <v>577</v>
      </c>
      <c r="B577"/>
      <c r="C577" t="s">
        <v>153</v>
      </c>
      <c r="D577" t="s">
        <v>635</v>
      </c>
      <c r="E577" t="s">
        <v>730</v>
      </c>
      <c r="F577" t="s">
        <v>63</v>
      </c>
      <c r="G577" t="s">
        <v>25</v>
      </c>
      <c r="H577" t="str">
        <f t="shared" si="16"/>
        <v xml:space="preserve">SALÁRIO HELOISA | Recorrência:7/12 | Observações: </v>
      </c>
      <c r="I577" t="s">
        <v>26</v>
      </c>
      <c r="J577" s="5">
        <v>-4291.17</v>
      </c>
      <c r="K577" s="4">
        <v>574050.06000000006</v>
      </c>
      <c r="L577" t="s">
        <v>27</v>
      </c>
      <c r="M577" s="5">
        <v>-4291.17</v>
      </c>
      <c r="N577" s="3">
        <v>0</v>
      </c>
      <c r="O577" t="s">
        <v>1034</v>
      </c>
      <c r="P577" t="s">
        <v>971</v>
      </c>
      <c r="Q577" t="s">
        <v>1039</v>
      </c>
      <c r="R577" t="str">
        <f t="shared" si="17"/>
        <v>nao</v>
      </c>
      <c r="S577" t="s">
        <v>1034</v>
      </c>
      <c r="T577" t="s">
        <v>30</v>
      </c>
      <c r="U577" t="s">
        <v>323</v>
      </c>
      <c r="V577" s="3">
        <v>-4291.17</v>
      </c>
      <c r="W577" t="s">
        <v>324</v>
      </c>
      <c r="X577" s="3">
        <v>-4291.17</v>
      </c>
    </row>
    <row r="578" spans="1:24" s="2" customFormat="1" x14ac:dyDescent="0.2">
      <c r="A578" s="2">
        <v>578</v>
      </c>
      <c r="B578"/>
      <c r="C578" t="s">
        <v>153</v>
      </c>
      <c r="D578" t="s">
        <v>905</v>
      </c>
      <c r="E578" t="s">
        <v>972</v>
      </c>
      <c r="F578" t="s">
        <v>63</v>
      </c>
      <c r="G578" t="s">
        <v>25</v>
      </c>
      <c r="H578" t="str">
        <f t="shared" si="16"/>
        <v xml:space="preserve">SALÁRIO JULYA | Recorrência:3/8 | Observações: </v>
      </c>
      <c r="I578" t="s">
        <v>26</v>
      </c>
      <c r="J578" s="5">
        <v>-3819.87</v>
      </c>
      <c r="K578" s="4">
        <v>570230.18999999994</v>
      </c>
      <c r="L578" t="s">
        <v>27</v>
      </c>
      <c r="M578" s="5">
        <v>-3819.87</v>
      </c>
      <c r="N578" s="3">
        <v>0</v>
      </c>
      <c r="O578" t="s">
        <v>1034</v>
      </c>
      <c r="P578" t="s">
        <v>1034</v>
      </c>
      <c r="Q578" t="s">
        <v>1034</v>
      </c>
      <c r="R578" t="str">
        <f t="shared" si="17"/>
        <v>Sim</v>
      </c>
      <c r="S578" t="s">
        <v>1034</v>
      </c>
      <c r="T578" t="s">
        <v>30</v>
      </c>
      <c r="U578" t="s">
        <v>323</v>
      </c>
      <c r="V578" s="3">
        <v>-3819.87</v>
      </c>
      <c r="W578" t="s">
        <v>1043</v>
      </c>
      <c r="X578" s="3">
        <v>-3819.87</v>
      </c>
    </row>
    <row r="579" spans="1:24" s="2" customFormat="1" x14ac:dyDescent="0.2">
      <c r="A579">
        <v>579</v>
      </c>
      <c r="B579"/>
      <c r="C579" t="s">
        <v>153</v>
      </c>
      <c r="D579" t="s">
        <v>1044</v>
      </c>
      <c r="E579" t="s">
        <v>778</v>
      </c>
      <c r="F579" t="s">
        <v>63</v>
      </c>
      <c r="G579" t="s">
        <v>25</v>
      </c>
      <c r="H579" t="str">
        <f t="shared" ref="H579:H642" si="18">D579&amp;" | "&amp;$E$1&amp;E579&amp;" | Observações: "&amp;T579</f>
        <v xml:space="preserve">SALARIO FELIPE - ESTAGIÁRIO | Recorrência:8/12 | Observações: </v>
      </c>
      <c r="I579" t="s">
        <v>26</v>
      </c>
      <c r="J579" s="5">
        <v>-1323.85</v>
      </c>
      <c r="K579" s="4">
        <v>568906.34</v>
      </c>
      <c r="L579" t="s">
        <v>27</v>
      </c>
      <c r="M579" s="5">
        <v>-1323.85</v>
      </c>
      <c r="N579" s="3">
        <v>0</v>
      </c>
      <c r="O579" t="s">
        <v>1034</v>
      </c>
      <c r="P579" t="s">
        <v>969</v>
      </c>
      <c r="Q579" t="s">
        <v>1034</v>
      </c>
      <c r="R579" t="str">
        <f t="shared" ref="R579:R642" si="19">IF(Q579=S579,"Sim","nao")</f>
        <v>Sim</v>
      </c>
      <c r="S579" t="s">
        <v>1034</v>
      </c>
      <c r="T579" t="s">
        <v>30</v>
      </c>
      <c r="U579" t="s">
        <v>323</v>
      </c>
      <c r="V579" s="3">
        <v>-1323.85</v>
      </c>
      <c r="W579" t="s">
        <v>324</v>
      </c>
      <c r="X579" s="3">
        <v>-1323.85</v>
      </c>
    </row>
    <row r="580" spans="1:24" s="2" customFormat="1" x14ac:dyDescent="0.2">
      <c r="A580" s="2">
        <v>580</v>
      </c>
      <c r="B580"/>
      <c r="C580" t="s">
        <v>153</v>
      </c>
      <c r="D580" t="s">
        <v>630</v>
      </c>
      <c r="E580" t="s">
        <v>730</v>
      </c>
      <c r="F580" t="s">
        <v>63</v>
      </c>
      <c r="G580" t="s">
        <v>25</v>
      </c>
      <c r="H580" t="str">
        <f t="shared" si="18"/>
        <v xml:space="preserve">PRÓ-LABORE MAYARA | Recorrência:7/12 | Observações: </v>
      </c>
      <c r="I580" t="s">
        <v>26</v>
      </c>
      <c r="J580" s="5">
        <v>-15000</v>
      </c>
      <c r="K580" s="4">
        <v>553906.34</v>
      </c>
      <c r="L580" t="s">
        <v>27</v>
      </c>
      <c r="M580" s="5">
        <v>-15000</v>
      </c>
      <c r="N580" s="3">
        <v>0</v>
      </c>
      <c r="O580" t="s">
        <v>1034</v>
      </c>
      <c r="P580" t="s">
        <v>982</v>
      </c>
      <c r="Q580" t="s">
        <v>1039</v>
      </c>
      <c r="R580" t="str">
        <f t="shared" si="19"/>
        <v>Sim</v>
      </c>
      <c r="S580" t="s">
        <v>1039</v>
      </c>
      <c r="T580" t="s">
        <v>30</v>
      </c>
      <c r="U580" t="s">
        <v>631</v>
      </c>
      <c r="V580" s="3">
        <v>-15000</v>
      </c>
      <c r="W580" t="s">
        <v>632</v>
      </c>
      <c r="X580" s="3">
        <v>-15000</v>
      </c>
    </row>
    <row r="581" spans="1:24" s="2" customFormat="1" x14ac:dyDescent="0.2">
      <c r="A581">
        <v>581</v>
      </c>
      <c r="B581"/>
      <c r="C581" t="s">
        <v>153</v>
      </c>
      <c r="D581" t="s">
        <v>633</v>
      </c>
      <c r="E581" t="s">
        <v>730</v>
      </c>
      <c r="F581" t="s">
        <v>63</v>
      </c>
      <c r="G581" t="s">
        <v>25</v>
      </c>
      <c r="H581" t="str">
        <f t="shared" si="18"/>
        <v xml:space="preserve">PRÓ-LABORE NATASHA | Recorrência:7/12 | Observações: </v>
      </c>
      <c r="I581" t="s">
        <v>26</v>
      </c>
      <c r="J581" s="5">
        <v>-15000</v>
      </c>
      <c r="K581" s="4">
        <v>538906.34</v>
      </c>
      <c r="L581" t="s">
        <v>27</v>
      </c>
      <c r="M581" s="5">
        <v>-15000</v>
      </c>
      <c r="N581" s="3">
        <v>0</v>
      </c>
      <c r="O581" t="s">
        <v>1034</v>
      </c>
      <c r="P581" t="s">
        <v>969</v>
      </c>
      <c r="Q581" t="s">
        <v>1039</v>
      </c>
      <c r="R581" t="str">
        <f t="shared" si="19"/>
        <v>Sim</v>
      </c>
      <c r="S581" t="s">
        <v>1039</v>
      </c>
      <c r="T581" t="s">
        <v>30</v>
      </c>
      <c r="U581" t="s">
        <v>631</v>
      </c>
      <c r="V581" s="3">
        <v>-15000</v>
      </c>
      <c r="W581" t="s">
        <v>577</v>
      </c>
      <c r="X581" s="3">
        <v>-15000</v>
      </c>
    </row>
    <row r="582" spans="1:24" s="2" customFormat="1" x14ac:dyDescent="0.2">
      <c r="A582" s="2">
        <v>582</v>
      </c>
      <c r="B582"/>
      <c r="C582" t="s">
        <v>153</v>
      </c>
      <c r="D582" t="s">
        <v>1045</v>
      </c>
      <c r="E582" t="s">
        <v>30</v>
      </c>
      <c r="F582" t="s">
        <v>63</v>
      </c>
      <c r="G582" t="s">
        <v>25</v>
      </c>
      <c r="H582" t="str">
        <f t="shared" si="18"/>
        <v>SALÁRIO &gt; KAUÊ AMARIZ DA CUNHA 1/7 | Recorrência: | Observações: CPF 42793201871
Nu pagamentos S.A 260
Número da conta - 43333921 - 3
Agência 0001
Pix - e-mail - kcunha195@gmail.com</v>
      </c>
      <c r="I582" t="s">
        <v>491</v>
      </c>
      <c r="J582" s="5">
        <v>-1800</v>
      </c>
      <c r="K582" s="4">
        <v>537106.34</v>
      </c>
      <c r="L582" t="s">
        <v>27</v>
      </c>
      <c r="M582" s="5">
        <v>-1800</v>
      </c>
      <c r="N582" s="3">
        <v>0</v>
      </c>
      <c r="O582" t="s">
        <v>1034</v>
      </c>
      <c r="P582" t="s">
        <v>969</v>
      </c>
      <c r="Q582" t="s">
        <v>1034</v>
      </c>
      <c r="R582" t="str">
        <f t="shared" si="19"/>
        <v>Sim</v>
      </c>
      <c r="S582" t="s">
        <v>1034</v>
      </c>
      <c r="T582" t="s">
        <v>1046</v>
      </c>
      <c r="U582" t="s">
        <v>323</v>
      </c>
      <c r="V582" s="3">
        <v>-1800</v>
      </c>
      <c r="W582" t="s">
        <v>1043</v>
      </c>
      <c r="X582" s="3">
        <v>-1800</v>
      </c>
    </row>
    <row r="583" spans="1:24" s="2" customFormat="1" x14ac:dyDescent="0.2">
      <c r="A583">
        <v>583</v>
      </c>
      <c r="B583"/>
      <c r="C583" t="s">
        <v>153</v>
      </c>
      <c r="D583" t="s">
        <v>1044</v>
      </c>
      <c r="E583" t="s">
        <v>853</v>
      </c>
      <c r="F583" t="s">
        <v>63</v>
      </c>
      <c r="G583" t="s">
        <v>25</v>
      </c>
      <c r="H583" t="str">
        <f t="shared" si="18"/>
        <v xml:space="preserve">SALARIO FELIPE - ESTAGIÁRIO | Recorrência:9/12 | Observações: </v>
      </c>
      <c r="I583" t="s">
        <v>26</v>
      </c>
      <c r="J583" s="5">
        <v>-1385.5</v>
      </c>
      <c r="K583" s="4">
        <v>535720.84</v>
      </c>
      <c r="L583" t="s">
        <v>27</v>
      </c>
      <c r="M583" s="5">
        <v>-1385.5</v>
      </c>
      <c r="N583" s="3">
        <v>0</v>
      </c>
      <c r="O583" t="s">
        <v>1034</v>
      </c>
      <c r="P583" t="s">
        <v>1034</v>
      </c>
      <c r="Q583" t="s">
        <v>1047</v>
      </c>
      <c r="R583" t="str">
        <f t="shared" si="19"/>
        <v>Sim</v>
      </c>
      <c r="S583" t="s">
        <v>1047</v>
      </c>
      <c r="T583" t="s">
        <v>30</v>
      </c>
      <c r="U583" t="s">
        <v>323</v>
      </c>
      <c r="V583" s="3">
        <v>-1385.5</v>
      </c>
      <c r="W583" t="s">
        <v>324</v>
      </c>
      <c r="X583" s="3">
        <v>-1385.5</v>
      </c>
    </row>
    <row r="584" spans="1:24" s="2" customFormat="1" x14ac:dyDescent="0.2">
      <c r="A584" s="2">
        <v>584</v>
      </c>
      <c r="B584" t="s">
        <v>1048</v>
      </c>
      <c r="C584" t="s">
        <v>1049</v>
      </c>
      <c r="D584" t="s">
        <v>1050</v>
      </c>
      <c r="E584" t="s">
        <v>30</v>
      </c>
      <c r="F584" t="s">
        <v>24</v>
      </c>
      <c r="G584" t="s">
        <v>25</v>
      </c>
      <c r="H584" t="str">
        <f t="shared" si="18"/>
        <v>RT - CRISTIANE UFLACKER + RONEI+WILLIAM GUIDINI | Recorrência: | Observações: CRISTIANE UFLACKER  - 2.743,13
RONEI - 2.842,00
WILLIAM GUIDINI - 2.500,00</v>
      </c>
      <c r="I584" t="s">
        <v>991</v>
      </c>
      <c r="J584" s="4">
        <v>8085.13</v>
      </c>
      <c r="K584" s="4">
        <v>543805.97</v>
      </c>
      <c r="L584" t="s">
        <v>27</v>
      </c>
      <c r="M584" s="4">
        <v>8085.13</v>
      </c>
      <c r="N584" s="3">
        <v>0</v>
      </c>
      <c r="O584" t="s">
        <v>1034</v>
      </c>
      <c r="P584" t="s">
        <v>1034</v>
      </c>
      <c r="Q584" t="s">
        <v>1034</v>
      </c>
      <c r="R584" t="str">
        <f t="shared" si="19"/>
        <v>Sim</v>
      </c>
      <c r="S584" t="s">
        <v>1034</v>
      </c>
      <c r="T584" t="s">
        <v>1051</v>
      </c>
      <c r="U584" t="s">
        <v>49</v>
      </c>
      <c r="V584" s="3">
        <v>8085.13</v>
      </c>
      <c r="W584" t="s">
        <v>494</v>
      </c>
      <c r="X584" s="3">
        <v>8085.13</v>
      </c>
    </row>
    <row r="585" spans="1:24" s="2" customFormat="1" x14ac:dyDescent="0.2">
      <c r="A585">
        <v>585</v>
      </c>
      <c r="B585" t="s">
        <v>1053</v>
      </c>
      <c r="C585" t="s">
        <v>1054</v>
      </c>
      <c r="D585" t="s">
        <v>1055</v>
      </c>
      <c r="E585" t="s">
        <v>30</v>
      </c>
      <c r="F585" t="s">
        <v>24</v>
      </c>
      <c r="G585" t="s">
        <v>25</v>
      </c>
      <c r="H585" t="str">
        <f t="shared" si="18"/>
        <v xml:space="preserve">REEMBOLSO REF A COMPRA RIACHUELO E GRANADO | Recorrência: | Observações: </v>
      </c>
      <c r="I585" t="s">
        <v>491</v>
      </c>
      <c r="J585" s="4">
        <v>896.66</v>
      </c>
      <c r="K585" s="4">
        <v>544702.63</v>
      </c>
      <c r="L585" t="s">
        <v>27</v>
      </c>
      <c r="M585" s="4">
        <v>896.66</v>
      </c>
      <c r="N585" s="3">
        <v>0</v>
      </c>
      <c r="O585" t="s">
        <v>1052</v>
      </c>
      <c r="P585" t="s">
        <v>1056</v>
      </c>
      <c r="Q585" t="s">
        <v>1052</v>
      </c>
      <c r="R585" t="str">
        <f t="shared" si="19"/>
        <v>Sim</v>
      </c>
      <c r="S585" t="s">
        <v>1052</v>
      </c>
      <c r="T585" t="s">
        <v>30</v>
      </c>
      <c r="U585" t="s">
        <v>1057</v>
      </c>
      <c r="V585" s="3">
        <v>896.66</v>
      </c>
      <c r="W585" t="s">
        <v>1058</v>
      </c>
      <c r="X585" s="3">
        <v>896.66</v>
      </c>
    </row>
    <row r="586" spans="1:24" s="2" customFormat="1" x14ac:dyDescent="0.2">
      <c r="A586" s="2">
        <v>586</v>
      </c>
      <c r="B586"/>
      <c r="C586" t="s">
        <v>574</v>
      </c>
      <c r="D586" t="s">
        <v>575</v>
      </c>
      <c r="E586" t="s">
        <v>778</v>
      </c>
      <c r="F586" t="s">
        <v>63</v>
      </c>
      <c r="G586" t="s">
        <v>25</v>
      </c>
      <c r="H586" t="str">
        <f t="shared" si="18"/>
        <v>ALUGUEL+CONDOMINIO+IPTU | Recorrência:8/12 | Observações: REF: 06/21 _VENC 07/22</v>
      </c>
      <c r="I586" t="s">
        <v>26</v>
      </c>
      <c r="J586" s="5">
        <v>-5902</v>
      </c>
      <c r="K586" s="4">
        <v>538800.63</v>
      </c>
      <c r="L586" t="s">
        <v>27</v>
      </c>
      <c r="M586" s="5">
        <v>-5902</v>
      </c>
      <c r="N586" s="3">
        <v>0</v>
      </c>
      <c r="O586" t="s">
        <v>1039</v>
      </c>
      <c r="P586" t="s">
        <v>1030</v>
      </c>
      <c r="Q586" t="s">
        <v>1039</v>
      </c>
      <c r="R586" t="str">
        <f t="shared" si="19"/>
        <v>Sim</v>
      </c>
      <c r="S586" t="s">
        <v>1039</v>
      </c>
      <c r="T586" t="s">
        <v>1059</v>
      </c>
      <c r="U586" t="s">
        <v>571</v>
      </c>
      <c r="V586" s="3">
        <v>-5902</v>
      </c>
      <c r="W586" t="s">
        <v>577</v>
      </c>
      <c r="X586" s="3">
        <v>-5902</v>
      </c>
    </row>
    <row r="587" spans="1:24" s="2" customFormat="1" x14ac:dyDescent="0.2">
      <c r="A587">
        <v>587</v>
      </c>
      <c r="B587"/>
      <c r="C587" t="s">
        <v>918</v>
      </c>
      <c r="D587" t="s">
        <v>1060</v>
      </c>
      <c r="E587" t="s">
        <v>624</v>
      </c>
      <c r="F587" t="s">
        <v>24</v>
      </c>
      <c r="G587" t="s">
        <v>25</v>
      </c>
      <c r="H587" t="str">
        <f t="shared" si="18"/>
        <v xml:space="preserve">Gerenciamento de Projeto MN Arquitetura e Interiores Ltda. | Recorrência:5/5 | Observações: </v>
      </c>
      <c r="I587" t="s">
        <v>26</v>
      </c>
      <c r="J587" s="4">
        <v>4500</v>
      </c>
      <c r="K587" s="4">
        <v>543300.63</v>
      </c>
      <c r="L587" t="s">
        <v>27</v>
      </c>
      <c r="M587" s="4">
        <v>4500</v>
      </c>
      <c r="N587" s="3">
        <v>0</v>
      </c>
      <c r="O587" t="s">
        <v>1039</v>
      </c>
      <c r="P587" t="s">
        <v>399</v>
      </c>
      <c r="Q587" t="s">
        <v>1039</v>
      </c>
      <c r="R587" t="str">
        <f t="shared" si="19"/>
        <v>Sim</v>
      </c>
      <c r="S587" t="s">
        <v>1039</v>
      </c>
      <c r="T587" t="s">
        <v>30</v>
      </c>
      <c r="U587" t="s">
        <v>274</v>
      </c>
      <c r="V587" s="3">
        <v>4500</v>
      </c>
      <c r="W587" t="s">
        <v>166</v>
      </c>
      <c r="X587" s="3">
        <v>4500</v>
      </c>
    </row>
    <row r="588" spans="1:24" s="2" customFormat="1" x14ac:dyDescent="0.2">
      <c r="A588" s="2">
        <v>588</v>
      </c>
      <c r="B588" t="s">
        <v>1061</v>
      </c>
      <c r="C588" t="s">
        <v>1062</v>
      </c>
      <c r="D588" t="s">
        <v>1063</v>
      </c>
      <c r="E588" t="s">
        <v>30</v>
      </c>
      <c r="F588" t="s">
        <v>24</v>
      </c>
      <c r="G588" t="s">
        <v>25</v>
      </c>
      <c r="H588" t="str">
        <f t="shared" si="18"/>
        <v>RT - MARIA ISABEL C NAJM  e MANUELA REZENDE | Recorrência: | Observações: RESERVA TÉCNICA O VALOR INCLUI RT DA CLIENTE MANUELA REZENDE 
TOTAL DE RT REFERE-SE AOS PEDIDOS: 157491 - 157445
NF207</v>
      </c>
      <c r="I588" t="s">
        <v>491</v>
      </c>
      <c r="J588" s="4">
        <v>1365.02</v>
      </c>
      <c r="K588" s="4">
        <v>544665.65</v>
      </c>
      <c r="L588" t="s">
        <v>27</v>
      </c>
      <c r="M588" s="4">
        <v>1365.02</v>
      </c>
      <c r="N588" s="3">
        <v>0</v>
      </c>
      <c r="O588" t="s">
        <v>1039</v>
      </c>
      <c r="P588" t="s">
        <v>963</v>
      </c>
      <c r="Q588" t="s">
        <v>1039</v>
      </c>
      <c r="R588" t="str">
        <f t="shared" si="19"/>
        <v>Sim</v>
      </c>
      <c r="S588" t="s">
        <v>1039</v>
      </c>
      <c r="T588" t="s">
        <v>1064</v>
      </c>
      <c r="U588" t="s">
        <v>49</v>
      </c>
      <c r="V588" s="3">
        <v>1365.02</v>
      </c>
      <c r="W588" t="s">
        <v>49</v>
      </c>
      <c r="X588" s="3">
        <v>1365.02</v>
      </c>
    </row>
    <row r="589" spans="1:24" s="2" customFormat="1" x14ac:dyDescent="0.2">
      <c r="A589">
        <v>589</v>
      </c>
      <c r="B589"/>
      <c r="C589" t="s">
        <v>297</v>
      </c>
      <c r="D589" t="s">
        <v>806</v>
      </c>
      <c r="E589" t="s">
        <v>730</v>
      </c>
      <c r="F589" t="s">
        <v>63</v>
      </c>
      <c r="G589" t="s">
        <v>25</v>
      </c>
      <c r="H589" t="str">
        <f t="shared" si="18"/>
        <v xml:space="preserve">DARF ISS | Recorrência:7/12 | Observações: </v>
      </c>
      <c r="I589" t="s">
        <v>26</v>
      </c>
      <c r="J589" s="5">
        <v>-671.87</v>
      </c>
      <c r="K589" s="4">
        <v>543993.78</v>
      </c>
      <c r="L589" t="s">
        <v>27</v>
      </c>
      <c r="M589" s="5">
        <v>-671.87</v>
      </c>
      <c r="N589" s="3">
        <v>0</v>
      </c>
      <c r="O589" t="s">
        <v>1065</v>
      </c>
      <c r="P589" t="s">
        <v>989</v>
      </c>
      <c r="Q589" t="s">
        <v>1066</v>
      </c>
      <c r="R589" t="str">
        <f t="shared" si="19"/>
        <v>Sim</v>
      </c>
      <c r="S589" t="s">
        <v>1066</v>
      </c>
      <c r="T589" t="s">
        <v>30</v>
      </c>
      <c r="U589" t="s">
        <v>656</v>
      </c>
      <c r="V589" s="3">
        <v>-671.87</v>
      </c>
      <c r="W589" t="s">
        <v>376</v>
      </c>
      <c r="X589" s="3">
        <v>-671.87</v>
      </c>
    </row>
    <row r="590" spans="1:24" s="2" customFormat="1" x14ac:dyDescent="0.2">
      <c r="A590" s="2">
        <v>590</v>
      </c>
      <c r="B590"/>
      <c r="C590" t="s">
        <v>153</v>
      </c>
      <c r="D590" t="s">
        <v>650</v>
      </c>
      <c r="E590" t="s">
        <v>730</v>
      </c>
      <c r="F590" t="s">
        <v>63</v>
      </c>
      <c r="G590" t="s">
        <v>25</v>
      </c>
      <c r="H590" t="str">
        <f t="shared" si="18"/>
        <v xml:space="preserve">FGTS | Recorrência:7/12 | Observações: </v>
      </c>
      <c r="I590" t="s">
        <v>26</v>
      </c>
      <c r="J590" s="5">
        <v>-120.1</v>
      </c>
      <c r="K590" s="4">
        <v>543873.68000000005</v>
      </c>
      <c r="L590" t="s">
        <v>27</v>
      </c>
      <c r="M590" s="5">
        <v>-120.1</v>
      </c>
      <c r="N590" s="3">
        <v>0</v>
      </c>
      <c r="O590" t="s">
        <v>1065</v>
      </c>
      <c r="P590" t="s">
        <v>982</v>
      </c>
      <c r="Q590" t="s">
        <v>1065</v>
      </c>
      <c r="R590" t="str">
        <f t="shared" si="19"/>
        <v>Sim</v>
      </c>
      <c r="S590" t="s">
        <v>1065</v>
      </c>
      <c r="T590" t="s">
        <v>30</v>
      </c>
      <c r="U590" t="s">
        <v>651</v>
      </c>
      <c r="V590" s="3">
        <v>-120.1</v>
      </c>
      <c r="W590" t="s">
        <v>376</v>
      </c>
      <c r="X590" s="3">
        <v>-120.1</v>
      </c>
    </row>
    <row r="591" spans="1:24" s="2" customFormat="1" x14ac:dyDescent="0.2">
      <c r="A591">
        <v>591</v>
      </c>
      <c r="B591" t="s">
        <v>647</v>
      </c>
      <c r="C591" t="s">
        <v>648</v>
      </c>
      <c r="D591" t="s">
        <v>649</v>
      </c>
      <c r="E591" t="s">
        <v>730</v>
      </c>
      <c r="F591" t="s">
        <v>63</v>
      </c>
      <c r="G591" t="s">
        <v>25</v>
      </c>
      <c r="H591" t="str">
        <f t="shared" si="18"/>
        <v xml:space="preserve">HONORÁRIOS CONTÁBEIS | Recorrência:7/12 | Observações: </v>
      </c>
      <c r="I591" t="s">
        <v>26</v>
      </c>
      <c r="J591" s="5">
        <v>-830</v>
      </c>
      <c r="K591" s="4">
        <v>543043.68000000005</v>
      </c>
      <c r="L591" t="s">
        <v>27</v>
      </c>
      <c r="M591" s="5">
        <v>-830</v>
      </c>
      <c r="N591" s="3">
        <v>0</v>
      </c>
      <c r="O591" t="s">
        <v>1065</v>
      </c>
      <c r="P591" t="s">
        <v>982</v>
      </c>
      <c r="Q591" t="s">
        <v>1065</v>
      </c>
      <c r="R591" t="str">
        <f t="shared" si="19"/>
        <v>Sim</v>
      </c>
      <c r="S591" t="s">
        <v>1065</v>
      </c>
      <c r="T591" t="s">
        <v>30</v>
      </c>
      <c r="U591" t="s">
        <v>608</v>
      </c>
      <c r="V591" s="3">
        <v>-830</v>
      </c>
      <c r="W591" t="s">
        <v>577</v>
      </c>
      <c r="X591" s="3">
        <v>-830</v>
      </c>
    </row>
    <row r="592" spans="1:24" s="2" customFormat="1" x14ac:dyDescent="0.2">
      <c r="A592" s="2">
        <v>592</v>
      </c>
      <c r="B592"/>
      <c r="C592" t="s">
        <v>1067</v>
      </c>
      <c r="D592" t="s">
        <v>1068</v>
      </c>
      <c r="E592" t="s">
        <v>30</v>
      </c>
      <c r="F592" t="s">
        <v>63</v>
      </c>
      <c r="G592" t="s">
        <v>25</v>
      </c>
      <c r="H592" t="str">
        <f t="shared" si="18"/>
        <v xml:space="preserve">1/2 - TFE - TAXA DE FISCALIZAÇÃO DE ESTABELECIMENTOS 1/2 | Recorrência: | Observações: </v>
      </c>
      <c r="I592" t="s">
        <v>755</v>
      </c>
      <c r="J592" s="5">
        <v>-150</v>
      </c>
      <c r="K592" s="4">
        <v>542893.68000000005</v>
      </c>
      <c r="L592" t="s">
        <v>27</v>
      </c>
      <c r="M592" s="5">
        <v>-150</v>
      </c>
      <c r="N592" s="3">
        <v>0</v>
      </c>
      <c r="O592" t="s">
        <v>1065</v>
      </c>
      <c r="P592" t="s">
        <v>1065</v>
      </c>
      <c r="Q592" t="s">
        <v>1069</v>
      </c>
      <c r="R592" t="str">
        <f t="shared" si="19"/>
        <v>nao</v>
      </c>
      <c r="S592" t="s">
        <v>1070</v>
      </c>
      <c r="T592" t="s">
        <v>30</v>
      </c>
      <c r="U592" t="s">
        <v>832</v>
      </c>
      <c r="V592" s="3">
        <v>-150</v>
      </c>
    </row>
    <row r="593" spans="1:24" s="2" customFormat="1" x14ac:dyDescent="0.2">
      <c r="A593">
        <v>593</v>
      </c>
      <c r="B593" t="s">
        <v>702</v>
      </c>
      <c r="C593" t="s">
        <v>703</v>
      </c>
      <c r="D593" t="s">
        <v>1071</v>
      </c>
      <c r="E593" t="s">
        <v>30</v>
      </c>
      <c r="F593" t="s">
        <v>63</v>
      </c>
      <c r="G593" t="s">
        <v>25</v>
      </c>
      <c r="H593" t="str">
        <f t="shared" si="18"/>
        <v>MATERIAIS DE ESCRITÓRIO | Recorrência: | Observações: - kit 04 pilhas &gt; Pilha Duracell AAA3</v>
      </c>
      <c r="I593" t="s">
        <v>1072</v>
      </c>
      <c r="J593" s="5">
        <v>-25</v>
      </c>
      <c r="K593" s="4">
        <v>542868.68000000005</v>
      </c>
      <c r="L593" t="s">
        <v>27</v>
      </c>
      <c r="M593" s="5">
        <v>-25</v>
      </c>
      <c r="N593" s="3">
        <v>0</v>
      </c>
      <c r="O593" t="s">
        <v>1069</v>
      </c>
      <c r="P593" t="s">
        <v>1069</v>
      </c>
      <c r="Q593" t="s">
        <v>1069</v>
      </c>
      <c r="R593" t="str">
        <f t="shared" si="19"/>
        <v>Sim</v>
      </c>
      <c r="S593" t="s">
        <v>1069</v>
      </c>
      <c r="T593" t="s">
        <v>1073</v>
      </c>
      <c r="U593" t="s">
        <v>641</v>
      </c>
      <c r="V593" s="3">
        <v>-25</v>
      </c>
      <c r="W593" t="s">
        <v>577</v>
      </c>
      <c r="X593" s="3">
        <v>-25</v>
      </c>
    </row>
    <row r="594" spans="1:24" s="2" customFormat="1" x14ac:dyDescent="0.2">
      <c r="A594" s="2">
        <v>594</v>
      </c>
      <c r="B594" t="s">
        <v>1074</v>
      </c>
      <c r="C594" t="s">
        <v>1075</v>
      </c>
      <c r="D594" t="s">
        <v>1076</v>
      </c>
      <c r="E594" t="s">
        <v>30</v>
      </c>
      <c r="F594" t="s">
        <v>24</v>
      </c>
      <c r="G594" t="s">
        <v>25</v>
      </c>
      <c r="H594" t="str">
        <f t="shared" si="18"/>
        <v>RT - JULIANA COVINO E THIAGO RAPUANO ESTAR MÓVEIS | Recorrência: | Observações: Reserva técnica referente: PV 53118 - PV 53791
VALOR: 920,00 + 172,50</v>
      </c>
      <c r="I594" t="s">
        <v>491</v>
      </c>
      <c r="J594" s="4">
        <v>1092.5</v>
      </c>
      <c r="K594" s="4">
        <v>543961.18000000005</v>
      </c>
      <c r="L594" t="s">
        <v>27</v>
      </c>
      <c r="M594" s="4">
        <v>1092.5</v>
      </c>
      <c r="N594" s="3">
        <v>0</v>
      </c>
      <c r="O594" t="s">
        <v>1069</v>
      </c>
      <c r="P594" t="s">
        <v>963</v>
      </c>
      <c r="Q594" t="s">
        <v>1077</v>
      </c>
      <c r="R594" t="str">
        <f t="shared" si="19"/>
        <v>Sim</v>
      </c>
      <c r="S594" t="s">
        <v>1077</v>
      </c>
      <c r="T594" t="s">
        <v>1078</v>
      </c>
      <c r="U594" t="s">
        <v>49</v>
      </c>
      <c r="V594" s="3">
        <v>1092.5</v>
      </c>
      <c r="W594" t="s">
        <v>494</v>
      </c>
      <c r="X594" s="3">
        <v>1092.5</v>
      </c>
    </row>
    <row r="595" spans="1:24" s="2" customFormat="1" x14ac:dyDescent="0.2">
      <c r="A595">
        <v>595</v>
      </c>
      <c r="B595"/>
      <c r="C595" t="s">
        <v>666</v>
      </c>
      <c r="D595" t="s">
        <v>667</v>
      </c>
      <c r="E595" t="s">
        <v>730</v>
      </c>
      <c r="F595" t="s">
        <v>63</v>
      </c>
      <c r="G595" t="s">
        <v>25</v>
      </c>
      <c r="H595" t="str">
        <f t="shared" si="18"/>
        <v>TELEFONIA E INTERNET | Recorrência:7/12 | Observações: conta Mayara paga pelo APP&gt; Lembrar o Pagamento</v>
      </c>
      <c r="I595" t="s">
        <v>26</v>
      </c>
      <c r="J595" s="5">
        <v>-158.99</v>
      </c>
      <c r="K595" s="4">
        <v>543802.18999999994</v>
      </c>
      <c r="L595" t="s">
        <v>27</v>
      </c>
      <c r="M595" s="5">
        <v>-158.99</v>
      </c>
      <c r="N595" s="3">
        <v>0</v>
      </c>
      <c r="O595" t="s">
        <v>1079</v>
      </c>
      <c r="P595" t="s">
        <v>996</v>
      </c>
      <c r="Q595" t="s">
        <v>1080</v>
      </c>
      <c r="R595" t="str">
        <f t="shared" si="19"/>
        <v>nao</v>
      </c>
      <c r="S595" t="s">
        <v>1079</v>
      </c>
      <c r="T595" t="s">
        <v>669</v>
      </c>
      <c r="U595" t="s">
        <v>670</v>
      </c>
      <c r="V595" s="3">
        <v>-158.99</v>
      </c>
      <c r="W595" t="s">
        <v>324</v>
      </c>
      <c r="X595" s="3">
        <v>-158.99</v>
      </c>
    </row>
    <row r="596" spans="1:24" s="2" customFormat="1" x14ac:dyDescent="0.2">
      <c r="A596" s="2">
        <v>596</v>
      </c>
      <c r="B596"/>
      <c r="C596" t="s">
        <v>822</v>
      </c>
      <c r="D596" t="s">
        <v>1060</v>
      </c>
      <c r="E596" t="s">
        <v>624</v>
      </c>
      <c r="F596" t="s">
        <v>24</v>
      </c>
      <c r="G596" t="s">
        <v>25</v>
      </c>
      <c r="H596" t="str">
        <f t="shared" si="18"/>
        <v xml:space="preserve">Gerenciamento de Projeto MN Arquitetura e Interiores Ltda. | Recorrência:5/5 | Observações: </v>
      </c>
      <c r="I596" t="s">
        <v>26</v>
      </c>
      <c r="J596" s="4">
        <v>5000</v>
      </c>
      <c r="K596" s="4">
        <v>548802.18999999994</v>
      </c>
      <c r="L596" t="s">
        <v>27</v>
      </c>
      <c r="M596" s="4">
        <v>5000</v>
      </c>
      <c r="N596" s="3">
        <v>0</v>
      </c>
      <c r="O596" t="s">
        <v>1081</v>
      </c>
      <c r="P596" t="s">
        <v>374</v>
      </c>
      <c r="Q596" t="s">
        <v>1081</v>
      </c>
      <c r="R596" t="str">
        <f t="shared" si="19"/>
        <v>Sim</v>
      </c>
      <c r="S596" t="s">
        <v>1081</v>
      </c>
      <c r="T596" t="s">
        <v>30</v>
      </c>
      <c r="U596" t="s">
        <v>146</v>
      </c>
      <c r="V596" s="3">
        <v>5000</v>
      </c>
      <c r="W596" t="s">
        <v>166</v>
      </c>
      <c r="X596" s="3">
        <v>5000</v>
      </c>
    </row>
    <row r="597" spans="1:24" s="2" customFormat="1" x14ac:dyDescent="0.2">
      <c r="A597">
        <v>597</v>
      </c>
      <c r="B597" t="s">
        <v>1048</v>
      </c>
      <c r="C597" t="s">
        <v>1049</v>
      </c>
      <c r="D597" t="s">
        <v>1082</v>
      </c>
      <c r="E597" t="s">
        <v>356</v>
      </c>
      <c r="F597" t="s">
        <v>24</v>
      </c>
      <c r="G597" t="s">
        <v>25</v>
      </c>
      <c r="H597" t="str">
        <f t="shared" si="18"/>
        <v xml:space="preserve">RT - GABRIELA BORGES  - 5 DE 6 | Recorrência:5/6 | Observações: </v>
      </c>
      <c r="I597" t="s">
        <v>26</v>
      </c>
      <c r="J597" s="4">
        <v>3500</v>
      </c>
      <c r="K597" s="4">
        <v>552302.18999999994</v>
      </c>
      <c r="L597" t="s">
        <v>27</v>
      </c>
      <c r="M597" s="4">
        <v>3500</v>
      </c>
      <c r="N597" s="3">
        <v>0</v>
      </c>
      <c r="O597" t="s">
        <v>1081</v>
      </c>
      <c r="P597" t="s">
        <v>1083</v>
      </c>
      <c r="Q597" t="s">
        <v>1069</v>
      </c>
      <c r="R597" t="str">
        <f t="shared" si="19"/>
        <v>Sim</v>
      </c>
      <c r="S597" t="s">
        <v>1069</v>
      </c>
      <c r="T597" t="s">
        <v>30</v>
      </c>
      <c r="U597" t="s">
        <v>49</v>
      </c>
      <c r="V597" s="3">
        <v>3500</v>
      </c>
      <c r="W597" t="s">
        <v>49</v>
      </c>
      <c r="X597" s="3">
        <v>3500</v>
      </c>
    </row>
    <row r="598" spans="1:24" s="2" customFormat="1" x14ac:dyDescent="0.2">
      <c r="A598" s="2">
        <v>598</v>
      </c>
      <c r="B598"/>
      <c r="C598" t="s">
        <v>943</v>
      </c>
      <c r="D598" t="s">
        <v>1084</v>
      </c>
      <c r="E598" t="s">
        <v>41</v>
      </c>
      <c r="F598" t="s">
        <v>24</v>
      </c>
      <c r="G598" t="s">
        <v>25</v>
      </c>
      <c r="H598" t="str">
        <f t="shared" si="18"/>
        <v xml:space="preserve">PROJETO DE ARQUITETURA FARIZE MURAD - 3 DE 4 | Recorrência:3/4 | Observações: </v>
      </c>
      <c r="I598" t="s">
        <v>26</v>
      </c>
      <c r="J598" s="4">
        <v>4620</v>
      </c>
      <c r="K598" s="4">
        <v>556922.18999999994</v>
      </c>
      <c r="L598" t="s">
        <v>27</v>
      </c>
      <c r="M598" s="4">
        <v>4620</v>
      </c>
      <c r="N598" s="3">
        <v>0</v>
      </c>
      <c r="O598" t="s">
        <v>1081</v>
      </c>
      <c r="P598" t="s">
        <v>1085</v>
      </c>
      <c r="Q598" t="s">
        <v>1086</v>
      </c>
      <c r="R598" t="str">
        <f t="shared" si="19"/>
        <v>Sim</v>
      </c>
      <c r="S598" t="s">
        <v>1086</v>
      </c>
      <c r="T598" t="s">
        <v>30</v>
      </c>
      <c r="U598" t="s">
        <v>31</v>
      </c>
      <c r="V598" s="3">
        <v>4620</v>
      </c>
      <c r="W598" t="s">
        <v>32</v>
      </c>
      <c r="X598" s="3">
        <v>4620</v>
      </c>
    </row>
    <row r="599" spans="1:24" s="2" customFormat="1" x14ac:dyDescent="0.2">
      <c r="A599">
        <v>599</v>
      </c>
      <c r="B599" t="s">
        <v>1088</v>
      </c>
      <c r="C599" t="s">
        <v>1089</v>
      </c>
      <c r="D599" t="s">
        <v>1090</v>
      </c>
      <c r="E599" t="s">
        <v>30</v>
      </c>
      <c r="F599" t="s">
        <v>24</v>
      </c>
      <c r="G599" t="s">
        <v>25</v>
      </c>
      <c r="H599" t="str">
        <f t="shared" si="18"/>
        <v xml:space="preserve">RT PATRICIA NAJM | Recorrência: | Observações: Transferência : Raquel Araújo Dias &gt; Ag: 0846 - Cc 16056-2 &gt; Reserva Técnica Elias Marceneiro </v>
      </c>
      <c r="I599" t="s">
        <v>991</v>
      </c>
      <c r="J599" s="4">
        <v>1089</v>
      </c>
      <c r="K599" s="4">
        <v>558011.18999999994</v>
      </c>
      <c r="L599" t="s">
        <v>27</v>
      </c>
      <c r="M599" s="4">
        <v>1089</v>
      </c>
      <c r="N599" s="3">
        <v>0</v>
      </c>
      <c r="O599" t="s">
        <v>1087</v>
      </c>
      <c r="P599" t="s">
        <v>1087</v>
      </c>
      <c r="Q599" t="s">
        <v>1087</v>
      </c>
      <c r="R599" t="str">
        <f t="shared" si="19"/>
        <v>Sim</v>
      </c>
      <c r="S599" t="s">
        <v>1087</v>
      </c>
      <c r="T599" t="s">
        <v>1091</v>
      </c>
      <c r="U599" t="s">
        <v>49</v>
      </c>
      <c r="V599" s="3">
        <v>1089</v>
      </c>
      <c r="W599" t="s">
        <v>494</v>
      </c>
      <c r="X599" s="3">
        <v>1089</v>
      </c>
    </row>
    <row r="600" spans="1:24" s="2" customFormat="1" x14ac:dyDescent="0.2">
      <c r="A600" s="2">
        <v>600</v>
      </c>
      <c r="B600"/>
      <c r="C600" t="s">
        <v>710</v>
      </c>
      <c r="D600" t="s">
        <v>711</v>
      </c>
      <c r="E600" t="s">
        <v>634</v>
      </c>
      <c r="F600" t="s">
        <v>63</v>
      </c>
      <c r="G600" t="s">
        <v>25</v>
      </c>
      <c r="H600" t="str">
        <f t="shared" si="18"/>
        <v xml:space="preserve">ELETROPAULO_ENERGIA _ITAIM | Recorrência:6/12 | Observações: </v>
      </c>
      <c r="I600" t="s">
        <v>26</v>
      </c>
      <c r="J600" s="5">
        <v>-318.08</v>
      </c>
      <c r="K600" s="4">
        <v>557693.11</v>
      </c>
      <c r="L600" t="s">
        <v>27</v>
      </c>
      <c r="M600" s="5">
        <v>-318.08</v>
      </c>
      <c r="N600" s="3">
        <v>0</v>
      </c>
      <c r="O600" t="s">
        <v>1086</v>
      </c>
      <c r="P600" t="s">
        <v>922</v>
      </c>
      <c r="Q600" t="s">
        <v>1092</v>
      </c>
      <c r="R600" t="str">
        <f t="shared" si="19"/>
        <v>Sim</v>
      </c>
      <c r="S600" t="s">
        <v>1092</v>
      </c>
      <c r="T600" t="s">
        <v>30</v>
      </c>
      <c r="U600" t="s">
        <v>125</v>
      </c>
      <c r="V600" s="3">
        <v>-318.08</v>
      </c>
      <c r="W600" t="s">
        <v>324</v>
      </c>
      <c r="X600" s="3">
        <v>-318.08</v>
      </c>
    </row>
    <row r="601" spans="1:24" s="2" customFormat="1" x14ac:dyDescent="0.2">
      <c r="A601">
        <v>601</v>
      </c>
      <c r="B601"/>
      <c r="C601" t="s">
        <v>297</v>
      </c>
      <c r="D601" t="s">
        <v>715</v>
      </c>
      <c r="E601" t="s">
        <v>730</v>
      </c>
      <c r="F601" t="s">
        <v>63</v>
      </c>
      <c r="G601" t="s">
        <v>25</v>
      </c>
      <c r="H601" t="str">
        <f t="shared" si="18"/>
        <v xml:space="preserve">DARF PREVIDENCIARIO (ANTIGO GPS) | Recorrência:7/12 | Observações: valor poderá ser alterado </v>
      </c>
      <c r="I601" t="s">
        <v>755</v>
      </c>
      <c r="J601" s="5">
        <v>-1335.04</v>
      </c>
      <c r="K601" s="4">
        <v>556358.06999999995</v>
      </c>
      <c r="L601" t="s">
        <v>27</v>
      </c>
      <c r="M601" s="5">
        <v>-1335.04</v>
      </c>
      <c r="N601" s="3">
        <v>0</v>
      </c>
      <c r="O601" t="s">
        <v>1086</v>
      </c>
      <c r="P601" t="s">
        <v>982</v>
      </c>
      <c r="Q601" t="s">
        <v>1041</v>
      </c>
      <c r="R601" t="str">
        <f t="shared" si="19"/>
        <v>Sim</v>
      </c>
      <c r="S601" t="s">
        <v>1041</v>
      </c>
      <c r="T601" t="s">
        <v>717</v>
      </c>
      <c r="U601" t="s">
        <v>677</v>
      </c>
      <c r="V601" s="3">
        <v>-1335.04</v>
      </c>
      <c r="W601" t="s">
        <v>376</v>
      </c>
      <c r="X601" s="3">
        <v>-1335.04</v>
      </c>
    </row>
    <row r="602" spans="1:24" s="2" customFormat="1" x14ac:dyDescent="0.2">
      <c r="A602" s="2">
        <v>602</v>
      </c>
      <c r="B602"/>
      <c r="C602" t="s">
        <v>828</v>
      </c>
      <c r="D602" t="s">
        <v>830</v>
      </c>
      <c r="E602" t="s">
        <v>1093</v>
      </c>
      <c r="F602" t="s">
        <v>63</v>
      </c>
      <c r="G602" t="s">
        <v>25</v>
      </c>
      <c r="H602" t="str">
        <f t="shared" si="18"/>
        <v xml:space="preserve">PREFEITURA DO MUNICIPIO DE BERTIOGA | Recorrência:5/41 | Observações: REF.02 PAGAMENTOS </v>
      </c>
      <c r="I602" t="s">
        <v>26</v>
      </c>
      <c r="J602" s="5">
        <v>-210.56</v>
      </c>
      <c r="K602" s="4">
        <v>556147.51</v>
      </c>
      <c r="L602" t="s">
        <v>27</v>
      </c>
      <c r="M602" s="5">
        <v>-210.56</v>
      </c>
      <c r="N602" s="3">
        <v>0</v>
      </c>
      <c r="O602" t="s">
        <v>1086</v>
      </c>
      <c r="P602" t="s">
        <v>1087</v>
      </c>
      <c r="Q602" t="s">
        <v>1037</v>
      </c>
      <c r="R602" t="str">
        <f t="shared" si="19"/>
        <v>Sim</v>
      </c>
      <c r="S602" t="s">
        <v>1037</v>
      </c>
      <c r="T602" t="s">
        <v>831</v>
      </c>
      <c r="U602" t="s">
        <v>832</v>
      </c>
      <c r="V602" s="3">
        <v>-210.56</v>
      </c>
    </row>
    <row r="603" spans="1:24" s="2" customFormat="1" x14ac:dyDescent="0.2">
      <c r="A603">
        <v>603</v>
      </c>
      <c r="B603" t="s">
        <v>1016</v>
      </c>
      <c r="C603" t="s">
        <v>1017</v>
      </c>
      <c r="D603" t="s">
        <v>1094</v>
      </c>
      <c r="E603" t="s">
        <v>30</v>
      </c>
      <c r="F603" t="s">
        <v>63</v>
      </c>
      <c r="G603" t="s">
        <v>25</v>
      </c>
      <c r="H603" t="str">
        <f t="shared" si="18"/>
        <v>2/4 - HOSPEDAGEM SITE 2/4 | Recorrência: | Observações: Alteração site MN</v>
      </c>
      <c r="I603" t="s">
        <v>755</v>
      </c>
      <c r="J603" s="5">
        <v>-525</v>
      </c>
      <c r="K603" s="4">
        <v>555622.51</v>
      </c>
      <c r="L603" t="s">
        <v>27</v>
      </c>
      <c r="M603" s="5">
        <v>-525</v>
      </c>
      <c r="N603" s="3">
        <v>0</v>
      </c>
      <c r="O603" t="s">
        <v>1086</v>
      </c>
      <c r="P603" t="s">
        <v>1015</v>
      </c>
      <c r="Q603" t="s">
        <v>1095</v>
      </c>
      <c r="R603" t="str">
        <f t="shared" si="19"/>
        <v>Sim</v>
      </c>
      <c r="S603" t="s">
        <v>1095</v>
      </c>
      <c r="T603" t="s">
        <v>1019</v>
      </c>
      <c r="U603" t="s">
        <v>344</v>
      </c>
      <c r="V603" s="3">
        <v>-525</v>
      </c>
      <c r="W603" t="s">
        <v>577</v>
      </c>
      <c r="X603" s="3">
        <v>-525</v>
      </c>
    </row>
    <row r="604" spans="1:24" s="2" customFormat="1" x14ac:dyDescent="0.2">
      <c r="A604" s="2">
        <v>604</v>
      </c>
      <c r="B604" t="s">
        <v>647</v>
      </c>
      <c r="C604" t="s">
        <v>648</v>
      </c>
      <c r="D604" t="s">
        <v>1096</v>
      </c>
      <c r="E604" t="s">
        <v>30</v>
      </c>
      <c r="F604" t="s">
        <v>63</v>
      </c>
      <c r="G604" t="s">
        <v>25</v>
      </c>
      <c r="H604" t="str">
        <f t="shared" si="18"/>
        <v xml:space="preserve">DARFS ATUALIZADOS DE 2019 | Recorrência: | Observações: DARF PIS - 05-2019 - Valor R$ 130,96
DARF PIS - 07-2019 - Valor R$ 120,67
DARF IRPJ - 06-2019 - Valor R$ 930,64
DARF IRPJ - 09-2019 - Valor R$ 907,55
DARF CSLL - 06-2019 - Valor R$ 577,80
DARF CSLL - 09-2019 - Valor R$ 525,31
DARF COFINS - 05-2019 - Valor R$ 604,42
DARF COFINS - 07 - 2019 - Valor R$ 556,94
</v>
      </c>
      <c r="I604" t="s">
        <v>26</v>
      </c>
      <c r="J604" s="5">
        <v>-4354.29</v>
      </c>
      <c r="K604" s="4">
        <v>551268.22</v>
      </c>
      <c r="L604" t="s">
        <v>27</v>
      </c>
      <c r="M604" s="5">
        <v>-4354.29</v>
      </c>
      <c r="N604" s="3">
        <v>0</v>
      </c>
      <c r="O604" t="s">
        <v>1086</v>
      </c>
      <c r="P604" t="s">
        <v>1086</v>
      </c>
      <c r="Q604" t="s">
        <v>1037</v>
      </c>
      <c r="R604" t="str">
        <f t="shared" si="19"/>
        <v>Sim</v>
      </c>
      <c r="S604" t="s">
        <v>1037</v>
      </c>
      <c r="T604" t="s">
        <v>1097</v>
      </c>
      <c r="U604" t="s">
        <v>1098</v>
      </c>
      <c r="V604" s="3">
        <v>-4354.29</v>
      </c>
      <c r="W604" t="s">
        <v>577</v>
      </c>
      <c r="X604" s="3">
        <v>-4354.29</v>
      </c>
    </row>
    <row r="605" spans="1:24" s="2" customFormat="1" x14ac:dyDescent="0.2">
      <c r="A605">
        <v>605</v>
      </c>
      <c r="B605"/>
      <c r="C605" t="s">
        <v>297</v>
      </c>
      <c r="D605" t="s">
        <v>1099</v>
      </c>
      <c r="E605" t="s">
        <v>41</v>
      </c>
      <c r="F605" t="s">
        <v>63</v>
      </c>
      <c r="G605" t="s">
        <v>25</v>
      </c>
      <c r="H605" t="str">
        <f t="shared" si="18"/>
        <v xml:space="preserve">DARF_CSLL | Recorrência:3/4 | Observações: </v>
      </c>
      <c r="I605" t="s">
        <v>26</v>
      </c>
      <c r="J605" s="5">
        <v>-961.36</v>
      </c>
      <c r="K605" s="4">
        <v>550306.86</v>
      </c>
      <c r="L605" t="s">
        <v>27</v>
      </c>
      <c r="M605" s="5">
        <v>-961.36</v>
      </c>
      <c r="N605" s="3">
        <v>0</v>
      </c>
      <c r="O605" t="s">
        <v>1086</v>
      </c>
      <c r="P605" t="s">
        <v>937</v>
      </c>
      <c r="Q605" t="s">
        <v>1087</v>
      </c>
      <c r="R605" t="str">
        <f t="shared" si="19"/>
        <v>Sim</v>
      </c>
      <c r="S605" t="s">
        <v>1087</v>
      </c>
      <c r="T605" t="s">
        <v>30</v>
      </c>
      <c r="U605" t="s">
        <v>728</v>
      </c>
      <c r="V605" s="3">
        <v>-961.36</v>
      </c>
      <c r="W605" t="s">
        <v>376</v>
      </c>
      <c r="X605" s="3">
        <v>-961.36</v>
      </c>
    </row>
    <row r="606" spans="1:24" s="2" customFormat="1" x14ac:dyDescent="0.2">
      <c r="A606" s="2">
        <v>606</v>
      </c>
      <c r="B606"/>
      <c r="C606" t="s">
        <v>1067</v>
      </c>
      <c r="D606" t="s">
        <v>1100</v>
      </c>
      <c r="E606" t="s">
        <v>30</v>
      </c>
      <c r="F606" t="s">
        <v>63</v>
      </c>
      <c r="G606" t="s">
        <v>25</v>
      </c>
      <c r="H606" t="str">
        <f t="shared" si="18"/>
        <v xml:space="preserve">2/2 - TFE - TAXA DE FISCALIZAÇÃO DE ESTABELECIMENTOS 2/2 | Recorrência: | Observações: </v>
      </c>
      <c r="I606" t="s">
        <v>755</v>
      </c>
      <c r="J606" s="5">
        <v>-150</v>
      </c>
      <c r="K606" s="4">
        <v>550156.86</v>
      </c>
      <c r="L606" t="s">
        <v>27</v>
      </c>
      <c r="M606" s="5">
        <v>-150</v>
      </c>
      <c r="N606" s="3">
        <v>0</v>
      </c>
      <c r="O606" t="s">
        <v>1086</v>
      </c>
      <c r="P606" t="s">
        <v>1065</v>
      </c>
      <c r="Q606" t="s">
        <v>1101</v>
      </c>
      <c r="R606" t="str">
        <f t="shared" si="19"/>
        <v>nao</v>
      </c>
      <c r="S606" t="s">
        <v>1102</v>
      </c>
      <c r="T606" t="s">
        <v>30</v>
      </c>
      <c r="U606" t="s">
        <v>832</v>
      </c>
      <c r="V606" s="3">
        <v>-150</v>
      </c>
    </row>
    <row r="607" spans="1:24" s="2" customFormat="1" x14ac:dyDescent="0.2">
      <c r="A607">
        <v>607</v>
      </c>
      <c r="B607" t="s">
        <v>1103</v>
      </c>
      <c r="C607" t="s">
        <v>1104</v>
      </c>
      <c r="D607" t="s">
        <v>1105</v>
      </c>
      <c r="E607" t="s">
        <v>30</v>
      </c>
      <c r="F607" t="s">
        <v>24</v>
      </c>
      <c r="G607" t="s">
        <v>25</v>
      </c>
      <c r="H607" t="str">
        <f t="shared" si="18"/>
        <v>RT - MARIA ISABEL CORRÊA NAJM STRAPETTI | Recorrência: | Observações: RT 10% - FORNECEDOR EXIGE EMISSÃO DE NF</v>
      </c>
      <c r="I607" t="s">
        <v>30</v>
      </c>
      <c r="J607" s="4">
        <v>141.44999999999999</v>
      </c>
      <c r="K607" s="4">
        <v>550298.31000000006</v>
      </c>
      <c r="L607" t="s">
        <v>27</v>
      </c>
      <c r="M607" s="4">
        <v>141.44999999999999</v>
      </c>
      <c r="N607" s="3">
        <v>0</v>
      </c>
      <c r="O607" t="s">
        <v>1041</v>
      </c>
      <c r="P607" t="s">
        <v>970</v>
      </c>
      <c r="Q607" t="s">
        <v>1041</v>
      </c>
      <c r="R607" t="str">
        <f t="shared" si="19"/>
        <v>Sim</v>
      </c>
      <c r="S607" t="s">
        <v>1041</v>
      </c>
      <c r="T607" t="s">
        <v>1106</v>
      </c>
      <c r="U607" t="s">
        <v>463</v>
      </c>
      <c r="V607" s="3">
        <v>141.44999999999999</v>
      </c>
      <c r="W607" t="s">
        <v>49</v>
      </c>
      <c r="X607" s="3">
        <v>141.44999999999999</v>
      </c>
    </row>
    <row r="608" spans="1:24" s="2" customFormat="1" x14ac:dyDescent="0.2">
      <c r="A608" s="2">
        <v>608</v>
      </c>
      <c r="B608"/>
      <c r="C608" t="s">
        <v>297</v>
      </c>
      <c r="D608" t="s">
        <v>1107</v>
      </c>
      <c r="E608" t="s">
        <v>398</v>
      </c>
      <c r="F608" t="s">
        <v>63</v>
      </c>
      <c r="G608" t="s">
        <v>25</v>
      </c>
      <c r="H608" t="str">
        <f t="shared" si="18"/>
        <v>DARF_IRPJ_Referente mês 06 | Recorrência:2/12 | Observações: trimestral</v>
      </c>
      <c r="I608" t="s">
        <v>26</v>
      </c>
      <c r="J608" s="5">
        <v>-1590.78</v>
      </c>
      <c r="K608" s="4">
        <v>548707.53</v>
      </c>
      <c r="L608" t="s">
        <v>27</v>
      </c>
      <c r="M608" s="5">
        <v>-1590.78</v>
      </c>
      <c r="N608" s="3">
        <v>0</v>
      </c>
      <c r="O608" t="s">
        <v>1095</v>
      </c>
      <c r="P608" t="s">
        <v>790</v>
      </c>
      <c r="Q608" t="s">
        <v>1037</v>
      </c>
      <c r="R608" t="str">
        <f t="shared" si="19"/>
        <v>Sim</v>
      </c>
      <c r="S608" t="s">
        <v>1037</v>
      </c>
      <c r="T608" t="s">
        <v>903</v>
      </c>
      <c r="U608" t="s">
        <v>280</v>
      </c>
      <c r="V608" s="3">
        <v>-1590.78</v>
      </c>
    </row>
    <row r="609" spans="1:24" s="2" customFormat="1" x14ac:dyDescent="0.2">
      <c r="A609">
        <v>609</v>
      </c>
      <c r="B609"/>
      <c r="C609" t="s">
        <v>297</v>
      </c>
      <c r="D609" t="s">
        <v>1108</v>
      </c>
      <c r="E609" t="s">
        <v>566</v>
      </c>
      <c r="F609" t="s">
        <v>63</v>
      </c>
      <c r="G609" t="s">
        <v>25</v>
      </c>
      <c r="H609" t="str">
        <f t="shared" si="18"/>
        <v>DARF_COFINS_Referente ao mês 06 | Recorrência:5/12 | Observações: ATENÇÃO:
VENCIMENTO TODO DIA 25, EM CASO DE FERIADO/FINAL DE SEMANA O PAGAMENTO DEVERÁ SER ANTECIPADO OU SERÁ CONSIDERADO</v>
      </c>
      <c r="I609" t="s">
        <v>26</v>
      </c>
      <c r="J609" s="5">
        <v>-22.03</v>
      </c>
      <c r="K609" s="4">
        <v>548685.5</v>
      </c>
      <c r="L609" t="s">
        <v>27</v>
      </c>
      <c r="M609" s="5">
        <v>-22.03</v>
      </c>
      <c r="N609" s="3">
        <v>0</v>
      </c>
      <c r="O609" t="s">
        <v>1095</v>
      </c>
      <c r="P609" t="s">
        <v>963</v>
      </c>
      <c r="Q609" t="s">
        <v>1109</v>
      </c>
      <c r="R609" t="str">
        <f t="shared" si="19"/>
        <v>Sim</v>
      </c>
      <c r="S609" t="s">
        <v>1109</v>
      </c>
      <c r="T609" t="s">
        <v>1110</v>
      </c>
      <c r="U609" t="s">
        <v>483</v>
      </c>
      <c r="V609" s="3">
        <v>-22.03</v>
      </c>
      <c r="W609" t="s">
        <v>190</v>
      </c>
      <c r="X609" s="3">
        <v>-22.03</v>
      </c>
    </row>
    <row r="610" spans="1:24" s="2" customFormat="1" x14ac:dyDescent="0.2">
      <c r="A610" s="2">
        <v>610</v>
      </c>
      <c r="B610"/>
      <c r="C610" t="s">
        <v>1111</v>
      </c>
      <c r="D610" t="s">
        <v>1112</v>
      </c>
      <c r="E610" t="s">
        <v>30</v>
      </c>
      <c r="F610" t="s">
        <v>24</v>
      </c>
      <c r="G610" t="s">
        <v>25</v>
      </c>
      <c r="H610" t="str">
        <f t="shared" si="18"/>
        <v xml:space="preserve">1/3 - PROJETO 1/3 | Recorrência: | Observações: </v>
      </c>
      <c r="I610" t="s">
        <v>1113</v>
      </c>
      <c r="J610" s="4">
        <v>2000</v>
      </c>
      <c r="K610" s="4">
        <v>550685.5</v>
      </c>
      <c r="L610" t="s">
        <v>27</v>
      </c>
      <c r="M610" s="4">
        <v>2000</v>
      </c>
      <c r="N610" s="3">
        <v>0</v>
      </c>
      <c r="O610" t="s">
        <v>1095</v>
      </c>
      <c r="P610" t="s">
        <v>1095</v>
      </c>
      <c r="Q610" t="s">
        <v>1095</v>
      </c>
      <c r="R610" t="str">
        <f t="shared" si="19"/>
        <v>Sim</v>
      </c>
      <c r="S610" t="s">
        <v>1095</v>
      </c>
      <c r="T610" t="s">
        <v>30</v>
      </c>
      <c r="U610" t="s">
        <v>31</v>
      </c>
      <c r="V610" s="3">
        <v>2000</v>
      </c>
      <c r="W610" t="s">
        <v>32</v>
      </c>
      <c r="X610" s="3">
        <v>2000</v>
      </c>
    </row>
    <row r="611" spans="1:24" s="2" customFormat="1" x14ac:dyDescent="0.2">
      <c r="A611">
        <v>611</v>
      </c>
      <c r="B611" t="s">
        <v>647</v>
      </c>
      <c r="C611" t="s">
        <v>648</v>
      </c>
      <c r="D611" t="s">
        <v>1114</v>
      </c>
      <c r="E611" t="s">
        <v>30</v>
      </c>
      <c r="F611" t="s">
        <v>63</v>
      </c>
      <c r="G611" t="s">
        <v>25</v>
      </c>
      <c r="H611" t="str">
        <f t="shared" si="18"/>
        <v xml:space="preserve">DARF_CLSS_TRIMESTRAL | Recorrência: | Observações: </v>
      </c>
      <c r="I611" t="s">
        <v>26</v>
      </c>
      <c r="J611" s="5">
        <v>-961.36</v>
      </c>
      <c r="K611" s="4">
        <v>549724.14</v>
      </c>
      <c r="L611" t="s">
        <v>27</v>
      </c>
      <c r="M611" s="5">
        <v>-961.36</v>
      </c>
      <c r="N611" s="3">
        <v>0</v>
      </c>
      <c r="O611" t="s">
        <v>1095</v>
      </c>
      <c r="P611" t="s">
        <v>862</v>
      </c>
      <c r="Q611" t="s">
        <v>1037</v>
      </c>
      <c r="R611" t="str">
        <f t="shared" si="19"/>
        <v>Sim</v>
      </c>
      <c r="S611" t="s">
        <v>1037</v>
      </c>
      <c r="T611" t="s">
        <v>30</v>
      </c>
      <c r="U611" t="s">
        <v>728</v>
      </c>
      <c r="V611" s="3">
        <v>-961.36</v>
      </c>
      <c r="W611" t="s">
        <v>1115</v>
      </c>
      <c r="X611" s="3">
        <v>-961.36</v>
      </c>
    </row>
    <row r="612" spans="1:24" s="2" customFormat="1" x14ac:dyDescent="0.2">
      <c r="A612" s="2">
        <v>612</v>
      </c>
      <c r="B612" t="s">
        <v>1061</v>
      </c>
      <c r="C612" t="s">
        <v>1062</v>
      </c>
      <c r="D612" t="s">
        <v>1116</v>
      </c>
      <c r="E612" t="s">
        <v>30</v>
      </c>
      <c r="F612" t="s">
        <v>24</v>
      </c>
      <c r="G612" t="s">
        <v>25</v>
      </c>
      <c r="H612" t="str">
        <f t="shared" si="18"/>
        <v>RT - PATRICIA MEIRELLES | Recorrência: | Observações: REFERENTE PAGAMENTO DE RT PEDIDO  158812
Nome Fantasia: CLAMI | DPOT 
Razão: Fema Comércio</v>
      </c>
      <c r="I612" t="s">
        <v>1117</v>
      </c>
      <c r="J612" s="4">
        <v>249.1</v>
      </c>
      <c r="K612" s="4">
        <v>549973.24</v>
      </c>
      <c r="L612" t="s">
        <v>27</v>
      </c>
      <c r="M612" s="4">
        <v>249.1</v>
      </c>
      <c r="N612" s="3">
        <v>0</v>
      </c>
      <c r="O612" t="s">
        <v>1095</v>
      </c>
      <c r="P612" t="s">
        <v>1077</v>
      </c>
      <c r="Q612" t="s">
        <v>1037</v>
      </c>
      <c r="R612" t="str">
        <f t="shared" si="19"/>
        <v>Sim</v>
      </c>
      <c r="S612" t="s">
        <v>1037</v>
      </c>
      <c r="T612" t="s">
        <v>1118</v>
      </c>
      <c r="U612" t="s">
        <v>49</v>
      </c>
      <c r="V612" s="3">
        <v>249.1</v>
      </c>
      <c r="W612" t="s">
        <v>494</v>
      </c>
      <c r="X612" s="3">
        <v>249.1</v>
      </c>
    </row>
    <row r="613" spans="1:24" s="2" customFormat="1" x14ac:dyDescent="0.2">
      <c r="A613">
        <v>613</v>
      </c>
      <c r="B613" t="s">
        <v>1120</v>
      </c>
      <c r="C613" t="s">
        <v>1121</v>
      </c>
      <c r="D613" t="s">
        <v>1122</v>
      </c>
      <c r="E613" t="s">
        <v>30</v>
      </c>
      <c r="F613" t="s">
        <v>24</v>
      </c>
      <c r="G613" t="s">
        <v>25</v>
      </c>
      <c r="H613" t="str">
        <f t="shared" si="18"/>
        <v>RT DANIELA CALITO_WILLIAM  E CRISTIANE UFLACKER_RICARDO GALVÃO | Recorrência: | Observações: REFERENTE PEDIDO MÊS DE MAIO</v>
      </c>
      <c r="I613" t="s">
        <v>491</v>
      </c>
      <c r="J613" s="4">
        <v>200</v>
      </c>
      <c r="K613" s="4">
        <v>550173.24</v>
      </c>
      <c r="L613" t="s">
        <v>27</v>
      </c>
      <c r="M613" s="4">
        <v>200</v>
      </c>
      <c r="N613" s="3">
        <v>0</v>
      </c>
      <c r="O613" t="s">
        <v>1119</v>
      </c>
      <c r="P613" t="s">
        <v>980</v>
      </c>
      <c r="Q613" t="s">
        <v>1039</v>
      </c>
      <c r="R613" t="str">
        <f t="shared" si="19"/>
        <v>Sim</v>
      </c>
      <c r="S613" t="s">
        <v>1039</v>
      </c>
      <c r="T613" t="s">
        <v>1123</v>
      </c>
      <c r="U613" t="s">
        <v>49</v>
      </c>
      <c r="V613" s="3">
        <v>200</v>
      </c>
      <c r="W613" t="s">
        <v>494</v>
      </c>
      <c r="X613" s="3">
        <v>200</v>
      </c>
    </row>
    <row r="614" spans="1:24" s="2" customFormat="1" x14ac:dyDescent="0.2">
      <c r="A614" s="2">
        <v>614</v>
      </c>
      <c r="B614"/>
      <c r="C614" t="s">
        <v>817</v>
      </c>
      <c r="D614" t="s">
        <v>1060</v>
      </c>
      <c r="E614" t="s">
        <v>195</v>
      </c>
      <c r="F614" t="s">
        <v>24</v>
      </c>
      <c r="G614" t="s">
        <v>25</v>
      </c>
      <c r="H614" t="str">
        <f t="shared" si="18"/>
        <v xml:space="preserve">Gerenciamento de Projeto MN Arquitetura e Interiores Ltda. | Recorrência:2/3 | Observações: </v>
      </c>
      <c r="I614" t="s">
        <v>26</v>
      </c>
      <c r="J614" s="4">
        <v>2000</v>
      </c>
      <c r="K614" s="4">
        <v>552173.24</v>
      </c>
      <c r="L614" t="s">
        <v>27</v>
      </c>
      <c r="M614" s="4">
        <v>2000</v>
      </c>
      <c r="N614" s="3">
        <v>0</v>
      </c>
      <c r="O614" t="s">
        <v>1119</v>
      </c>
      <c r="P614" t="s">
        <v>839</v>
      </c>
      <c r="Q614" t="s">
        <v>1039</v>
      </c>
      <c r="R614" t="str">
        <f t="shared" si="19"/>
        <v>Sim</v>
      </c>
      <c r="S614" t="s">
        <v>1039</v>
      </c>
      <c r="T614" t="s">
        <v>30</v>
      </c>
      <c r="U614" t="s">
        <v>274</v>
      </c>
      <c r="V614" s="3">
        <v>2000</v>
      </c>
      <c r="W614" t="s">
        <v>166</v>
      </c>
      <c r="X614" s="3">
        <v>2000</v>
      </c>
    </row>
    <row r="615" spans="1:24" s="2" customFormat="1" x14ac:dyDescent="0.2">
      <c r="A615">
        <v>615</v>
      </c>
      <c r="B615"/>
      <c r="C615" t="s">
        <v>153</v>
      </c>
      <c r="D615" t="s">
        <v>838</v>
      </c>
      <c r="E615" t="s">
        <v>1124</v>
      </c>
      <c r="F615" t="s">
        <v>63</v>
      </c>
      <c r="G615" t="s">
        <v>25</v>
      </c>
      <c r="H615" t="str">
        <f t="shared" si="18"/>
        <v xml:space="preserve">CARTÃO DE CREDITO_ FINAL 5507 | Recorrência:6/10 | Observações: </v>
      </c>
      <c r="I615" t="s">
        <v>26</v>
      </c>
      <c r="J615" s="5">
        <v>-995.29</v>
      </c>
      <c r="K615" s="4">
        <v>551177.94999999995</v>
      </c>
      <c r="L615" t="s">
        <v>27</v>
      </c>
      <c r="M615" s="5">
        <v>-995.29</v>
      </c>
      <c r="N615" s="3">
        <v>0</v>
      </c>
      <c r="O615" t="s">
        <v>1119</v>
      </c>
      <c r="P615" t="s">
        <v>1119</v>
      </c>
      <c r="Q615" t="s">
        <v>1119</v>
      </c>
      <c r="R615" t="str">
        <f t="shared" si="19"/>
        <v>Sim</v>
      </c>
      <c r="S615" t="s">
        <v>1119</v>
      </c>
      <c r="T615" t="s">
        <v>30</v>
      </c>
      <c r="U615" t="s">
        <v>764</v>
      </c>
      <c r="V615" s="3">
        <v>-995.29</v>
      </c>
      <c r="W615" t="s">
        <v>577</v>
      </c>
      <c r="X615" s="3">
        <v>-995.29</v>
      </c>
    </row>
    <row r="616" spans="1:24" s="2" customFormat="1" x14ac:dyDescent="0.2">
      <c r="A616" s="2">
        <v>616</v>
      </c>
      <c r="B616" t="s">
        <v>1088</v>
      </c>
      <c r="C616" t="s">
        <v>1089</v>
      </c>
      <c r="D616" t="s">
        <v>1125</v>
      </c>
      <c r="E616" t="s">
        <v>266</v>
      </c>
      <c r="F616" t="s">
        <v>24</v>
      </c>
      <c r="G616" t="s">
        <v>25</v>
      </c>
      <c r="H616" t="str">
        <f t="shared" si="18"/>
        <v>RT MARIELLA MATAVELLI | Recorrência:4/5 | Observações: PEDIDO PARCELADO EM 5X</v>
      </c>
      <c r="I616" t="s">
        <v>26</v>
      </c>
      <c r="J616" s="4">
        <v>1240</v>
      </c>
      <c r="K616" s="4">
        <v>552417.94999999995</v>
      </c>
      <c r="L616" t="s">
        <v>27</v>
      </c>
      <c r="M616" s="4">
        <v>1240</v>
      </c>
      <c r="N616" s="3">
        <v>0</v>
      </c>
      <c r="O616" t="s">
        <v>1109</v>
      </c>
      <c r="P616" t="s">
        <v>1041</v>
      </c>
      <c r="Q616" t="s">
        <v>1119</v>
      </c>
      <c r="R616" t="str">
        <f t="shared" si="19"/>
        <v>Sim</v>
      </c>
      <c r="S616" t="s">
        <v>1119</v>
      </c>
      <c r="T616" t="s">
        <v>893</v>
      </c>
      <c r="U616" t="s">
        <v>49</v>
      </c>
      <c r="V616" s="3">
        <v>1240</v>
      </c>
      <c r="W616" t="s">
        <v>494</v>
      </c>
      <c r="X616" s="3">
        <v>1240</v>
      </c>
    </row>
    <row r="617" spans="1:24" s="2" customFormat="1" x14ac:dyDescent="0.2">
      <c r="A617">
        <v>617</v>
      </c>
      <c r="B617"/>
      <c r="C617" t="s">
        <v>153</v>
      </c>
      <c r="D617" t="s">
        <v>1126</v>
      </c>
      <c r="E617" t="s">
        <v>30</v>
      </c>
      <c r="F617" t="s">
        <v>63</v>
      </c>
      <c r="G617" t="s">
        <v>25</v>
      </c>
      <c r="H617" t="str">
        <f t="shared" si="18"/>
        <v xml:space="preserve">CARREFOUR - MATERIAIS DE LIMPEZA E HIGIENE | Recorrência: | Observações: </v>
      </c>
      <c r="I617" t="s">
        <v>1072</v>
      </c>
      <c r="J617" s="5">
        <v>-149.07</v>
      </c>
      <c r="K617" s="4">
        <v>552268.88</v>
      </c>
      <c r="L617" t="s">
        <v>27</v>
      </c>
      <c r="M617" s="5">
        <v>-149.07</v>
      </c>
      <c r="N617" s="3">
        <v>0</v>
      </c>
      <c r="O617" t="s">
        <v>1109</v>
      </c>
      <c r="P617" t="s">
        <v>1109</v>
      </c>
      <c r="Q617" t="s">
        <v>1109</v>
      </c>
      <c r="R617" t="str">
        <f t="shared" si="19"/>
        <v>Sim</v>
      </c>
      <c r="S617" t="s">
        <v>1109</v>
      </c>
      <c r="T617" t="s">
        <v>30</v>
      </c>
      <c r="U617" t="s">
        <v>1127</v>
      </c>
      <c r="V617" s="3">
        <v>-149.07</v>
      </c>
      <c r="W617" t="s">
        <v>577</v>
      </c>
      <c r="X617" s="3">
        <v>-149.07</v>
      </c>
    </row>
    <row r="618" spans="1:24" s="2" customFormat="1" x14ac:dyDescent="0.2">
      <c r="A618" s="2">
        <v>618</v>
      </c>
      <c r="B618"/>
      <c r="C618" t="s">
        <v>153</v>
      </c>
      <c r="D618" t="s">
        <v>1128</v>
      </c>
      <c r="E618" t="s">
        <v>30</v>
      </c>
      <c r="F618" t="s">
        <v>63</v>
      </c>
      <c r="G618" t="s">
        <v>25</v>
      </c>
      <c r="H618" t="str">
        <f t="shared" si="18"/>
        <v>2ª - BRENO FERREIRA L MONTEIRO &gt;Referente espelho da Mariella | Recorrência: | Observações: Referente a 2ª parcela de pagamento do espelho&gt; Cliente: Mariella</v>
      </c>
      <c r="I618" t="s">
        <v>991</v>
      </c>
      <c r="J618" s="5">
        <v>-1345</v>
      </c>
      <c r="K618" s="4">
        <v>550923.88</v>
      </c>
      <c r="L618" t="s">
        <v>27</v>
      </c>
      <c r="M618" s="5">
        <v>-1345</v>
      </c>
      <c r="N618" s="3">
        <v>0</v>
      </c>
      <c r="O618" t="s">
        <v>1042</v>
      </c>
      <c r="P618" t="s">
        <v>1042</v>
      </c>
      <c r="Q618" t="s">
        <v>1042</v>
      </c>
      <c r="R618" t="str">
        <f t="shared" si="19"/>
        <v>Sim</v>
      </c>
      <c r="S618" t="s">
        <v>1042</v>
      </c>
      <c r="T618" t="s">
        <v>1129</v>
      </c>
      <c r="U618" t="s">
        <v>641</v>
      </c>
      <c r="V618" s="3">
        <v>-1345</v>
      </c>
      <c r="W618" t="s">
        <v>978</v>
      </c>
      <c r="X618" s="3">
        <v>-1345</v>
      </c>
    </row>
    <row r="619" spans="1:24" s="2" customFormat="1" x14ac:dyDescent="0.2">
      <c r="A619">
        <v>619</v>
      </c>
      <c r="B619"/>
      <c r="C619" t="s">
        <v>297</v>
      </c>
      <c r="D619" t="s">
        <v>684</v>
      </c>
      <c r="E619" t="s">
        <v>634</v>
      </c>
      <c r="F619" t="s">
        <v>63</v>
      </c>
      <c r="G619" t="s">
        <v>25</v>
      </c>
      <c r="H619" t="str">
        <f t="shared" si="18"/>
        <v xml:space="preserve">DARF_ PIS | Recorrência:6/12 | Observações: </v>
      </c>
      <c r="I619" t="s">
        <v>755</v>
      </c>
      <c r="J619" s="5">
        <v>-120.67</v>
      </c>
      <c r="K619" s="4">
        <v>550803.21</v>
      </c>
      <c r="L619" t="s">
        <v>27</v>
      </c>
      <c r="M619" s="5">
        <v>-120.67</v>
      </c>
      <c r="N619" s="3">
        <v>0</v>
      </c>
      <c r="O619" t="s">
        <v>1042</v>
      </c>
      <c r="P619" t="s">
        <v>963</v>
      </c>
      <c r="Q619" t="s">
        <v>1037</v>
      </c>
      <c r="R619" t="str">
        <f t="shared" si="19"/>
        <v>Sim</v>
      </c>
      <c r="S619" t="s">
        <v>1037</v>
      </c>
      <c r="T619" t="s">
        <v>30</v>
      </c>
      <c r="U619" t="s">
        <v>483</v>
      </c>
      <c r="V619" s="3">
        <v>-120.67</v>
      </c>
      <c r="W619" t="s">
        <v>376</v>
      </c>
      <c r="X619" s="3">
        <v>-120.67</v>
      </c>
    </row>
    <row r="620" spans="1:24" s="2" customFormat="1" x14ac:dyDescent="0.2">
      <c r="A620" s="2">
        <v>620</v>
      </c>
      <c r="B620" t="s">
        <v>1130</v>
      </c>
      <c r="C620" t="s">
        <v>77</v>
      </c>
      <c r="D620" t="s">
        <v>1131</v>
      </c>
      <c r="E620" t="s">
        <v>30</v>
      </c>
      <c r="F620" t="s">
        <v>24</v>
      </c>
      <c r="G620" t="s">
        <v>25</v>
      </c>
      <c r="H620" t="str">
        <f t="shared" si="18"/>
        <v>RT EDIFICIO SUPREME+ THAIS KOCH | Recorrência: | Observações: RT- Pedido 14118700 -  Condomínio Edificio Supreme - R$ 805,72
Pedido 14118864 - Thais Farias Koch Mello   R$ 49,77</v>
      </c>
      <c r="I620" t="s">
        <v>26</v>
      </c>
      <c r="J620" s="4">
        <v>802.88</v>
      </c>
      <c r="K620" s="4">
        <v>551606.09</v>
      </c>
      <c r="L620" t="s">
        <v>27</v>
      </c>
      <c r="M620" s="4">
        <v>802.88</v>
      </c>
      <c r="N620" s="3">
        <v>0</v>
      </c>
      <c r="O620" t="s">
        <v>1042</v>
      </c>
      <c r="P620" t="s">
        <v>876</v>
      </c>
      <c r="Q620" t="s">
        <v>1042</v>
      </c>
      <c r="R620" t="str">
        <f t="shared" si="19"/>
        <v>Sim</v>
      </c>
      <c r="S620" t="s">
        <v>1042</v>
      </c>
      <c r="T620" t="s">
        <v>1132</v>
      </c>
      <c r="U620" t="s">
        <v>49</v>
      </c>
      <c r="V620" s="3">
        <v>802.88</v>
      </c>
      <c r="W620" t="s">
        <v>49</v>
      </c>
      <c r="X620" s="3">
        <v>802.88</v>
      </c>
    </row>
    <row r="621" spans="1:24" s="2" customFormat="1" x14ac:dyDescent="0.2">
      <c r="A621">
        <v>621</v>
      </c>
      <c r="B621" t="s">
        <v>1133</v>
      </c>
      <c r="C621" t="s">
        <v>1134</v>
      </c>
      <c r="D621" t="s">
        <v>1135</v>
      </c>
      <c r="E621" t="s">
        <v>30</v>
      </c>
      <c r="F621" t="s">
        <v>24</v>
      </c>
      <c r="G621" t="s">
        <v>25</v>
      </c>
      <c r="H621" t="str">
        <f t="shared" si="18"/>
        <v xml:space="preserve">RT - Mª ISABEL C NAJM | Recorrência: | Observações: </v>
      </c>
      <c r="I621" t="s">
        <v>491</v>
      </c>
      <c r="J621" s="4">
        <v>1368.33</v>
      </c>
      <c r="K621" s="4">
        <v>552974.42000000004</v>
      </c>
      <c r="L621" t="s">
        <v>27</v>
      </c>
      <c r="M621" s="4">
        <v>1368.33</v>
      </c>
      <c r="N621" s="3">
        <v>0</v>
      </c>
      <c r="O621" t="s">
        <v>1042</v>
      </c>
      <c r="P621" t="s">
        <v>1136</v>
      </c>
      <c r="Q621" t="s">
        <v>1042</v>
      </c>
      <c r="R621" t="str">
        <f t="shared" si="19"/>
        <v>Sim</v>
      </c>
      <c r="S621" t="s">
        <v>1042</v>
      </c>
      <c r="T621" t="s">
        <v>30</v>
      </c>
      <c r="U621" t="s">
        <v>49</v>
      </c>
      <c r="V621" s="3">
        <v>1368.33</v>
      </c>
      <c r="W621" t="s">
        <v>494</v>
      </c>
      <c r="X621" s="3">
        <v>1368.33</v>
      </c>
    </row>
    <row r="622" spans="1:24" s="2" customFormat="1" x14ac:dyDescent="0.2">
      <c r="A622" s="2">
        <v>622</v>
      </c>
      <c r="B622"/>
      <c r="C622" t="s">
        <v>153</v>
      </c>
      <c r="D622" t="s">
        <v>1138</v>
      </c>
      <c r="E622" t="s">
        <v>30</v>
      </c>
      <c r="F622" t="s">
        <v>63</v>
      </c>
      <c r="G622" t="s">
        <v>25</v>
      </c>
      <c r="H622" t="str">
        <f t="shared" si="18"/>
        <v>ELETROLUX - REFIL DO FILTRO DE ÁGUA | Recorrência: | Observações: AUTORIZADA Electrolux Top Service &amp; Outlet
Endereço: R. Prof. Serafim Orlandi, 146 - Jardim Vila Mariana, São Paulo - SP, 04115-090
Telefone: (11) 3004-8677</v>
      </c>
      <c r="I622" t="s">
        <v>1139</v>
      </c>
      <c r="J622" s="5">
        <v>-99.9</v>
      </c>
      <c r="K622" s="4">
        <v>552874.52</v>
      </c>
      <c r="L622" t="s">
        <v>27</v>
      </c>
      <c r="M622" s="5">
        <v>-99.9</v>
      </c>
      <c r="N622" s="3">
        <v>0</v>
      </c>
      <c r="O622" t="s">
        <v>1137</v>
      </c>
      <c r="P622" t="s">
        <v>1137</v>
      </c>
      <c r="Q622" t="s">
        <v>1137</v>
      </c>
      <c r="R622" t="str">
        <f t="shared" si="19"/>
        <v>Sim</v>
      </c>
      <c r="S622" t="s">
        <v>1137</v>
      </c>
      <c r="T622" t="s">
        <v>1140</v>
      </c>
      <c r="U622" t="s">
        <v>1127</v>
      </c>
      <c r="V622" s="3">
        <v>-99.9</v>
      </c>
      <c r="W622" t="s">
        <v>1058</v>
      </c>
      <c r="X622" s="3">
        <v>-99.9</v>
      </c>
    </row>
    <row r="623" spans="1:24" s="2" customFormat="1" x14ac:dyDescent="0.2">
      <c r="A623">
        <v>623</v>
      </c>
      <c r="B623"/>
      <c r="C623" t="s">
        <v>1141</v>
      </c>
      <c r="D623" t="s">
        <v>1142</v>
      </c>
      <c r="E623" t="s">
        <v>30</v>
      </c>
      <c r="F623" t="s">
        <v>24</v>
      </c>
      <c r="G623" t="s">
        <v>25</v>
      </c>
      <c r="H623" t="str">
        <f t="shared" si="18"/>
        <v xml:space="preserve">1/4 - Projeto de arquitetura de interiores 1/4 | Recorrência: | Observações: </v>
      </c>
      <c r="I623" t="s">
        <v>991</v>
      </c>
      <c r="J623" s="4">
        <v>3500</v>
      </c>
      <c r="K623" s="4">
        <v>556374.52</v>
      </c>
      <c r="L623" t="s">
        <v>27</v>
      </c>
      <c r="M623" s="4">
        <v>3500</v>
      </c>
      <c r="N623" s="3">
        <v>0</v>
      </c>
      <c r="O623" t="s">
        <v>1137</v>
      </c>
      <c r="P623" t="s">
        <v>1137</v>
      </c>
      <c r="Q623" t="s">
        <v>1137</v>
      </c>
      <c r="R623" t="str">
        <f t="shared" si="19"/>
        <v>Sim</v>
      </c>
      <c r="S623" t="s">
        <v>1137</v>
      </c>
      <c r="T623" t="s">
        <v>30</v>
      </c>
      <c r="U623" t="s">
        <v>40</v>
      </c>
      <c r="V623" s="3">
        <v>3500</v>
      </c>
      <c r="W623" t="s">
        <v>32</v>
      </c>
      <c r="X623" s="3">
        <v>3500</v>
      </c>
    </row>
    <row r="624" spans="1:24" s="2" customFormat="1" x14ac:dyDescent="0.2">
      <c r="A624" s="2">
        <v>624</v>
      </c>
      <c r="B624"/>
      <c r="C624" t="s">
        <v>747</v>
      </c>
      <c r="D624" t="s">
        <v>1143</v>
      </c>
      <c r="E624" t="s">
        <v>30</v>
      </c>
      <c r="F624" t="s">
        <v>24</v>
      </c>
      <c r="G624" t="s">
        <v>25</v>
      </c>
      <c r="H624" t="str">
        <f t="shared" si="18"/>
        <v xml:space="preserve">RT - CODEX HOME | Recorrência: | Observações: REFERENTE PEDIDO 6243 - NÃO IDENTIFICADO NA REDE </v>
      </c>
      <c r="I624" t="s">
        <v>491</v>
      </c>
      <c r="J624" s="4">
        <v>538</v>
      </c>
      <c r="K624" s="4">
        <v>556912.52</v>
      </c>
      <c r="L624" t="s">
        <v>27</v>
      </c>
      <c r="M624" s="4">
        <v>538</v>
      </c>
      <c r="N624" s="3">
        <v>0</v>
      </c>
      <c r="O624" t="s">
        <v>1137</v>
      </c>
      <c r="P624" t="s">
        <v>1080</v>
      </c>
      <c r="Q624" t="s">
        <v>1144</v>
      </c>
      <c r="R624" t="str">
        <f t="shared" si="19"/>
        <v>Sim</v>
      </c>
      <c r="S624" t="s">
        <v>1144</v>
      </c>
      <c r="T624" t="s">
        <v>1145</v>
      </c>
      <c r="U624" t="s">
        <v>49</v>
      </c>
      <c r="V624" s="3">
        <v>538</v>
      </c>
      <c r="W624" t="s">
        <v>494</v>
      </c>
      <c r="X624" s="3">
        <v>538</v>
      </c>
    </row>
    <row r="625" spans="1:24" s="2" customFormat="1" x14ac:dyDescent="0.2">
      <c r="A625">
        <v>625</v>
      </c>
      <c r="B625"/>
      <c r="C625" t="s">
        <v>1032</v>
      </c>
      <c r="D625" t="s">
        <v>1146</v>
      </c>
      <c r="E625" t="s">
        <v>30</v>
      </c>
      <c r="F625" t="s">
        <v>24</v>
      </c>
      <c r="G625" t="s">
        <v>25</v>
      </c>
      <c r="H625" t="str">
        <f t="shared" si="18"/>
        <v xml:space="preserve">2/2 - PROJETO 2/2 | Recorrência: | Observações: </v>
      </c>
      <c r="I625" t="s">
        <v>991</v>
      </c>
      <c r="J625" s="4">
        <v>3000</v>
      </c>
      <c r="K625" s="4">
        <v>559912.52</v>
      </c>
      <c r="L625" t="s">
        <v>27</v>
      </c>
      <c r="M625" s="4">
        <v>3000</v>
      </c>
      <c r="N625" s="3">
        <v>0</v>
      </c>
      <c r="O625" t="s">
        <v>1037</v>
      </c>
      <c r="P625" t="s">
        <v>973</v>
      </c>
      <c r="Q625" t="s">
        <v>1037</v>
      </c>
      <c r="R625" t="str">
        <f t="shared" si="19"/>
        <v>Sim</v>
      </c>
      <c r="S625" t="s">
        <v>1037</v>
      </c>
      <c r="T625" t="s">
        <v>30</v>
      </c>
      <c r="U625" t="s">
        <v>40</v>
      </c>
      <c r="V625" s="3">
        <v>3000</v>
      </c>
      <c r="W625" t="s">
        <v>40</v>
      </c>
      <c r="X625" s="3">
        <v>3000</v>
      </c>
    </row>
    <row r="626" spans="1:24" s="2" customFormat="1" x14ac:dyDescent="0.2">
      <c r="A626" s="2">
        <v>626</v>
      </c>
      <c r="B626" t="s">
        <v>1048</v>
      </c>
      <c r="C626" t="s">
        <v>1049</v>
      </c>
      <c r="D626" t="s">
        <v>1147</v>
      </c>
      <c r="E626" t="s">
        <v>199</v>
      </c>
      <c r="F626" t="s">
        <v>24</v>
      </c>
      <c r="G626" t="s">
        <v>25</v>
      </c>
      <c r="H626" t="str">
        <f t="shared" si="18"/>
        <v>RT - CRISTIANE UFLACKER E RICARDO GALVÃO | Recorrência:3/5 | Observações: Recebimento referente ao depósito realizado no dia 29/07 - 02 RT's:
2.500,00 - William Guidini
2.150,00 - Cristiane Uflacker</v>
      </c>
      <c r="I626" t="s">
        <v>26</v>
      </c>
      <c r="J626" s="4">
        <v>2150</v>
      </c>
      <c r="K626" s="4">
        <v>562062.52</v>
      </c>
      <c r="L626" t="s">
        <v>27</v>
      </c>
      <c r="M626" s="4">
        <v>2150</v>
      </c>
      <c r="N626" s="3">
        <v>0</v>
      </c>
      <c r="O626" t="s">
        <v>1037</v>
      </c>
      <c r="P626" t="s">
        <v>954</v>
      </c>
      <c r="Q626" t="s">
        <v>1037</v>
      </c>
      <c r="R626" t="str">
        <f t="shared" si="19"/>
        <v>Sim</v>
      </c>
      <c r="S626" t="s">
        <v>1037</v>
      </c>
      <c r="T626" t="s">
        <v>1148</v>
      </c>
      <c r="U626" t="s">
        <v>49</v>
      </c>
      <c r="V626" s="3">
        <v>2150</v>
      </c>
      <c r="W626" t="s">
        <v>494</v>
      </c>
      <c r="X626" s="3">
        <v>2150</v>
      </c>
    </row>
    <row r="627" spans="1:24" s="2" customFormat="1" x14ac:dyDescent="0.2">
      <c r="A627">
        <v>627</v>
      </c>
      <c r="B627" t="s">
        <v>1048</v>
      </c>
      <c r="C627" t="s">
        <v>1049</v>
      </c>
      <c r="D627" t="s">
        <v>1149</v>
      </c>
      <c r="E627" t="s">
        <v>30</v>
      </c>
      <c r="F627" t="s">
        <v>24</v>
      </c>
      <c r="G627" t="s">
        <v>25</v>
      </c>
      <c r="H627" t="str">
        <f t="shared" si="18"/>
        <v>RT - 03 DE 05 - WILLIAM E DANI CALITO | Recorrência: | Observações: DEPOSITADO VALOR TOTAL: 4.650,00
WILLIAM - 2.500,00
CRISTIANE - 2.150,00</v>
      </c>
      <c r="I627" t="s">
        <v>491</v>
      </c>
      <c r="J627" s="4">
        <v>2500</v>
      </c>
      <c r="K627" s="4">
        <v>564562.52</v>
      </c>
      <c r="L627" t="s">
        <v>27</v>
      </c>
      <c r="M627" s="4">
        <v>2500</v>
      </c>
      <c r="N627" s="3">
        <v>0</v>
      </c>
      <c r="O627" t="s">
        <v>1037</v>
      </c>
      <c r="P627" t="s">
        <v>1037</v>
      </c>
      <c r="Q627" t="s">
        <v>1037</v>
      </c>
      <c r="R627" t="str">
        <f t="shared" si="19"/>
        <v>Sim</v>
      </c>
      <c r="S627" t="s">
        <v>1037</v>
      </c>
      <c r="T627" t="s">
        <v>1150</v>
      </c>
      <c r="U627" t="s">
        <v>49</v>
      </c>
      <c r="V627" s="3">
        <v>2500</v>
      </c>
      <c r="W627" t="s">
        <v>494</v>
      </c>
      <c r="X627" s="3">
        <v>2500</v>
      </c>
    </row>
    <row r="628" spans="1:24" s="2" customFormat="1" x14ac:dyDescent="0.2">
      <c r="A628" s="2">
        <v>628</v>
      </c>
      <c r="B628"/>
      <c r="C628" t="s">
        <v>153</v>
      </c>
      <c r="D628" t="s">
        <v>1040</v>
      </c>
      <c r="E628" t="s">
        <v>778</v>
      </c>
      <c r="F628" t="s">
        <v>63</v>
      </c>
      <c r="G628" t="s">
        <v>25</v>
      </c>
      <c r="H628" t="str">
        <f t="shared" si="18"/>
        <v xml:space="preserve">SODEXO - Eliane | Recorrência:8/12 | Observações: </v>
      </c>
      <c r="I628" t="s">
        <v>26</v>
      </c>
      <c r="J628" s="5">
        <v>-668.15</v>
      </c>
      <c r="K628" s="4">
        <v>563894.37</v>
      </c>
      <c r="L628" t="s">
        <v>27</v>
      </c>
      <c r="M628" s="5">
        <v>-668.15</v>
      </c>
      <c r="N628" s="3">
        <v>0</v>
      </c>
      <c r="O628" t="s">
        <v>1047</v>
      </c>
      <c r="P628" t="s">
        <v>1041</v>
      </c>
      <c r="Q628" t="s">
        <v>1151</v>
      </c>
      <c r="R628" t="str">
        <f t="shared" si="19"/>
        <v>Sim</v>
      </c>
      <c r="S628" t="s">
        <v>1151</v>
      </c>
      <c r="T628" t="s">
        <v>30</v>
      </c>
      <c r="U628" t="s">
        <v>93</v>
      </c>
      <c r="V628" s="3">
        <v>-668.15</v>
      </c>
      <c r="W628" t="s">
        <v>577</v>
      </c>
      <c r="X628" s="3">
        <v>-668.15</v>
      </c>
    </row>
    <row r="629" spans="1:24" s="2" customFormat="1" x14ac:dyDescent="0.2">
      <c r="A629">
        <v>629</v>
      </c>
      <c r="B629"/>
      <c r="C629" t="s">
        <v>153</v>
      </c>
      <c r="D629" t="s">
        <v>317</v>
      </c>
      <c r="E629" t="s">
        <v>30</v>
      </c>
      <c r="F629" t="s">
        <v>63</v>
      </c>
      <c r="G629" t="s">
        <v>25</v>
      </c>
      <c r="H629" t="str">
        <f t="shared" si="18"/>
        <v xml:space="preserve">WEBDAS HOSPEDAGEM DO SITE | Recorrência: | Observações: </v>
      </c>
      <c r="I629" t="s">
        <v>26</v>
      </c>
      <c r="J629" s="5">
        <v>-128.69999999999999</v>
      </c>
      <c r="K629" s="4">
        <v>563765.67000000004</v>
      </c>
      <c r="L629" t="s">
        <v>27</v>
      </c>
      <c r="M629" s="5">
        <v>-128.69999999999999</v>
      </c>
      <c r="N629" s="3">
        <v>0</v>
      </c>
      <c r="O629" t="s">
        <v>1047</v>
      </c>
      <c r="P629" t="s">
        <v>908</v>
      </c>
      <c r="Q629" t="s">
        <v>1152</v>
      </c>
      <c r="R629" t="str">
        <f t="shared" si="19"/>
        <v>Sim</v>
      </c>
      <c r="S629" t="s">
        <v>1152</v>
      </c>
      <c r="T629" t="s">
        <v>30</v>
      </c>
      <c r="U629" t="s">
        <v>319</v>
      </c>
      <c r="V629" s="3">
        <v>-128.69999999999999</v>
      </c>
    </row>
    <row r="630" spans="1:24" s="2" customFormat="1" x14ac:dyDescent="0.2">
      <c r="A630" s="2">
        <v>630</v>
      </c>
      <c r="B630"/>
      <c r="C630" t="s">
        <v>153</v>
      </c>
      <c r="D630" t="s">
        <v>659</v>
      </c>
      <c r="E630" t="s">
        <v>1153</v>
      </c>
      <c r="F630" t="s">
        <v>63</v>
      </c>
      <c r="G630" t="s">
        <v>25</v>
      </c>
      <c r="H630" t="str">
        <f t="shared" si="18"/>
        <v xml:space="preserve">VALE TRANSPORTE _ELIANE | Recorrência:5/8 | Observações: </v>
      </c>
      <c r="I630" t="s">
        <v>26</v>
      </c>
      <c r="J630" s="5">
        <v>-404.8</v>
      </c>
      <c r="K630" s="4">
        <v>563360.87</v>
      </c>
      <c r="L630" t="s">
        <v>27</v>
      </c>
      <c r="M630" s="5">
        <v>-404.8</v>
      </c>
      <c r="N630" s="3">
        <v>0</v>
      </c>
      <c r="O630" t="s">
        <v>1047</v>
      </c>
      <c r="P630" t="s">
        <v>1047</v>
      </c>
      <c r="Q630" t="s">
        <v>1154</v>
      </c>
      <c r="R630" t="str">
        <f t="shared" si="19"/>
        <v>Sim</v>
      </c>
      <c r="S630" t="s">
        <v>1154</v>
      </c>
      <c r="T630" t="s">
        <v>30</v>
      </c>
      <c r="U630" t="s">
        <v>662</v>
      </c>
      <c r="V630" s="3">
        <v>-404.8</v>
      </c>
      <c r="W630" t="s">
        <v>577</v>
      </c>
      <c r="X630" s="3">
        <v>-404.8</v>
      </c>
    </row>
    <row r="631" spans="1:24" s="2" customFormat="1" x14ac:dyDescent="0.2">
      <c r="A631">
        <v>631</v>
      </c>
      <c r="B631"/>
      <c r="C631" t="s">
        <v>153</v>
      </c>
      <c r="D631" t="s">
        <v>1155</v>
      </c>
      <c r="E631" t="s">
        <v>778</v>
      </c>
      <c r="F631" t="s">
        <v>63</v>
      </c>
      <c r="G631" t="s">
        <v>25</v>
      </c>
      <c r="H631" t="str">
        <f t="shared" si="18"/>
        <v>LIMPEZA_JULIANA COSTA SOARES - 4 DIÁRIAS/JULHO 22 | Recorrência:8/12 | Observações: REFERENTE AS DIAS DOS DIAS 06-13-20-27</v>
      </c>
      <c r="I631" t="s">
        <v>26</v>
      </c>
      <c r="J631" s="5">
        <v>-480</v>
      </c>
      <c r="K631" s="4">
        <v>562880.87</v>
      </c>
      <c r="L631" t="s">
        <v>27</v>
      </c>
      <c r="M631" s="5">
        <v>-480</v>
      </c>
      <c r="N631" s="3">
        <v>0</v>
      </c>
      <c r="O631" t="s">
        <v>1047</v>
      </c>
      <c r="P631" t="s">
        <v>1152</v>
      </c>
      <c r="Q631" t="s">
        <v>1047</v>
      </c>
      <c r="R631" t="str">
        <f t="shared" si="19"/>
        <v>Sim</v>
      </c>
      <c r="S631" t="s">
        <v>1047</v>
      </c>
      <c r="T631" t="s">
        <v>1156</v>
      </c>
      <c r="U631" t="s">
        <v>691</v>
      </c>
      <c r="V631" s="3">
        <v>-480</v>
      </c>
      <c r="W631" t="s">
        <v>324</v>
      </c>
      <c r="X631" s="3">
        <v>-480</v>
      </c>
    </row>
    <row r="632" spans="1:24" s="2" customFormat="1" x14ac:dyDescent="0.2">
      <c r="A632" s="2">
        <v>632</v>
      </c>
      <c r="B632"/>
      <c r="C632" t="s">
        <v>574</v>
      </c>
      <c r="D632" t="s">
        <v>575</v>
      </c>
      <c r="E632" t="s">
        <v>853</v>
      </c>
      <c r="F632" t="s">
        <v>63</v>
      </c>
      <c r="G632" t="s">
        <v>25</v>
      </c>
      <c r="H632" t="str">
        <f t="shared" si="18"/>
        <v>ALUGUEL+CONDOMINIO+IPTU | Recorrência:9/12 | Observações: REF: 07/21 _VENC 08/22</v>
      </c>
      <c r="I632" t="s">
        <v>26</v>
      </c>
      <c r="J632" s="5">
        <v>-5902</v>
      </c>
      <c r="K632" s="4">
        <v>556978.87</v>
      </c>
      <c r="L632" t="s">
        <v>27</v>
      </c>
      <c r="M632" s="5">
        <v>-5902</v>
      </c>
      <c r="N632" s="3">
        <v>0</v>
      </c>
      <c r="O632" t="s">
        <v>1047</v>
      </c>
      <c r="P632" t="s">
        <v>1157</v>
      </c>
      <c r="Q632" t="s">
        <v>1152</v>
      </c>
      <c r="R632" t="str">
        <f t="shared" si="19"/>
        <v>Sim</v>
      </c>
      <c r="S632" t="s">
        <v>1152</v>
      </c>
      <c r="T632" t="s">
        <v>1158</v>
      </c>
      <c r="U632" t="s">
        <v>571</v>
      </c>
      <c r="V632" s="3">
        <v>-5902</v>
      </c>
      <c r="W632" t="s">
        <v>577</v>
      </c>
      <c r="X632" s="3">
        <v>-5902</v>
      </c>
    </row>
    <row r="633" spans="1:24" s="2" customFormat="1" x14ac:dyDescent="0.2">
      <c r="A633">
        <v>633</v>
      </c>
      <c r="B633"/>
      <c r="C633" t="s">
        <v>153</v>
      </c>
      <c r="D633" t="s">
        <v>635</v>
      </c>
      <c r="E633" t="s">
        <v>778</v>
      </c>
      <c r="F633" t="s">
        <v>63</v>
      </c>
      <c r="G633" t="s">
        <v>25</v>
      </c>
      <c r="H633" t="str">
        <f t="shared" si="18"/>
        <v xml:space="preserve">SALÁRIO HELOISA | Recorrência:8/12 | Observações: </v>
      </c>
      <c r="I633" t="s">
        <v>26</v>
      </c>
      <c r="J633" s="5">
        <v>-2819.33</v>
      </c>
      <c r="K633" s="4">
        <v>554159.54</v>
      </c>
      <c r="L633" t="s">
        <v>27</v>
      </c>
      <c r="M633" s="5">
        <v>-2819.33</v>
      </c>
      <c r="N633" s="3">
        <v>0</v>
      </c>
      <c r="O633" t="s">
        <v>1047</v>
      </c>
      <c r="P633" t="s">
        <v>1039</v>
      </c>
      <c r="Q633" t="s">
        <v>1152</v>
      </c>
      <c r="R633" t="str">
        <f t="shared" si="19"/>
        <v>Sim</v>
      </c>
      <c r="S633" t="s">
        <v>1152</v>
      </c>
      <c r="T633" t="s">
        <v>30</v>
      </c>
      <c r="U633" t="s">
        <v>323</v>
      </c>
      <c r="V633" s="3">
        <v>-2819.33</v>
      </c>
      <c r="W633" t="s">
        <v>324</v>
      </c>
      <c r="X633" s="3">
        <v>-2819.33</v>
      </c>
    </row>
    <row r="634" spans="1:24" s="2" customFormat="1" x14ac:dyDescent="0.2">
      <c r="A634" s="2">
        <v>634</v>
      </c>
      <c r="B634"/>
      <c r="C634" t="s">
        <v>917</v>
      </c>
      <c r="D634" t="s">
        <v>1159</v>
      </c>
      <c r="E634" t="s">
        <v>148</v>
      </c>
      <c r="F634" t="s">
        <v>24</v>
      </c>
      <c r="G634" t="s">
        <v>25</v>
      </c>
      <c r="H634" t="str">
        <f t="shared" si="18"/>
        <v xml:space="preserve">Projeto MN Arquitetura e Interiores Ltda. | Recorrência:3/3 | Observações: </v>
      </c>
      <c r="I634" t="s">
        <v>491</v>
      </c>
      <c r="J634" s="4">
        <v>6900</v>
      </c>
      <c r="K634" s="4">
        <v>561059.54</v>
      </c>
      <c r="L634" t="s">
        <v>27</v>
      </c>
      <c r="M634" s="4">
        <v>6900</v>
      </c>
      <c r="N634" s="3">
        <v>0</v>
      </c>
      <c r="O634" t="s">
        <v>1047</v>
      </c>
      <c r="P634" t="s">
        <v>973</v>
      </c>
      <c r="Q634" t="s">
        <v>1039</v>
      </c>
      <c r="R634" t="str">
        <f t="shared" si="19"/>
        <v>Sim</v>
      </c>
      <c r="S634" t="s">
        <v>1039</v>
      </c>
      <c r="T634" t="s">
        <v>30</v>
      </c>
      <c r="U634" t="s">
        <v>31</v>
      </c>
      <c r="V634" s="3">
        <v>6900</v>
      </c>
      <c r="W634" t="s">
        <v>494</v>
      </c>
      <c r="X634" s="3">
        <v>6900</v>
      </c>
    </row>
    <row r="635" spans="1:24" s="2" customFormat="1" x14ac:dyDescent="0.2">
      <c r="A635">
        <v>635</v>
      </c>
      <c r="B635"/>
      <c r="C635" t="s">
        <v>917</v>
      </c>
      <c r="D635" t="s">
        <v>1060</v>
      </c>
      <c r="E635" t="s">
        <v>22</v>
      </c>
      <c r="F635" t="s">
        <v>24</v>
      </c>
      <c r="G635" t="s">
        <v>25</v>
      </c>
      <c r="H635" t="str">
        <f t="shared" si="18"/>
        <v>Gerenciamento de Projeto MN Arquitetura e Interiores Ltda. | Recorrência:1/4 | Observações: Pagamento referente Gerenciamento</v>
      </c>
      <c r="I635" t="s">
        <v>491</v>
      </c>
      <c r="J635" s="4">
        <v>4000</v>
      </c>
      <c r="K635" s="4">
        <v>565059.54</v>
      </c>
      <c r="L635" t="s">
        <v>27</v>
      </c>
      <c r="M635" s="4">
        <v>4000</v>
      </c>
      <c r="N635" s="3">
        <v>0</v>
      </c>
      <c r="O635" t="s">
        <v>1047</v>
      </c>
      <c r="P635" t="s">
        <v>908</v>
      </c>
      <c r="Q635" t="s">
        <v>1039</v>
      </c>
      <c r="R635" t="str">
        <f t="shared" si="19"/>
        <v>Sim</v>
      </c>
      <c r="S635" t="s">
        <v>1039</v>
      </c>
      <c r="T635" t="s">
        <v>1160</v>
      </c>
      <c r="U635" t="s">
        <v>274</v>
      </c>
      <c r="V635" s="3">
        <v>4000</v>
      </c>
      <c r="W635" t="s">
        <v>1161</v>
      </c>
      <c r="X635" s="3">
        <v>4000</v>
      </c>
    </row>
    <row r="636" spans="1:24" s="2" customFormat="1" x14ac:dyDescent="0.2">
      <c r="A636" s="2">
        <v>636</v>
      </c>
      <c r="B636"/>
      <c r="C636" t="s">
        <v>153</v>
      </c>
      <c r="D636" t="s">
        <v>905</v>
      </c>
      <c r="E636" t="s">
        <v>1035</v>
      </c>
      <c r="F636" t="s">
        <v>63</v>
      </c>
      <c r="G636" t="s">
        <v>25</v>
      </c>
      <c r="H636" t="str">
        <f t="shared" si="18"/>
        <v xml:space="preserve">SALÁRIO JULYA | Recorrência:4/8 | Observações: </v>
      </c>
      <c r="I636" t="s">
        <v>26</v>
      </c>
      <c r="J636" s="5">
        <v>-3159.73</v>
      </c>
      <c r="K636" s="4">
        <v>561899.81000000006</v>
      </c>
      <c r="L636" t="s">
        <v>27</v>
      </c>
      <c r="M636" s="5">
        <v>-3159.73</v>
      </c>
      <c r="N636" s="3">
        <v>0</v>
      </c>
      <c r="O636" t="s">
        <v>1047</v>
      </c>
      <c r="P636" t="s">
        <v>1047</v>
      </c>
      <c r="Q636" t="s">
        <v>1047</v>
      </c>
      <c r="R636" t="str">
        <f t="shared" si="19"/>
        <v>Sim</v>
      </c>
      <c r="S636" t="s">
        <v>1047</v>
      </c>
      <c r="T636" t="s">
        <v>30</v>
      </c>
      <c r="U636" t="s">
        <v>323</v>
      </c>
      <c r="V636" s="3">
        <v>-3159.73</v>
      </c>
      <c r="W636" t="s">
        <v>1043</v>
      </c>
      <c r="X636" s="3">
        <v>-3159.73</v>
      </c>
    </row>
    <row r="637" spans="1:24" s="2" customFormat="1" x14ac:dyDescent="0.2">
      <c r="A637">
        <v>637</v>
      </c>
      <c r="B637"/>
      <c r="C637" t="s">
        <v>153</v>
      </c>
      <c r="D637" t="s">
        <v>1162</v>
      </c>
      <c r="E637" t="s">
        <v>30</v>
      </c>
      <c r="F637" t="s">
        <v>63</v>
      </c>
      <c r="G637" t="s">
        <v>25</v>
      </c>
      <c r="H637" t="str">
        <f t="shared" si="18"/>
        <v>1/5 - SALÁRIO - MARCELA S CAVALCANTE 1/5 | Recorrência: | Observações: Marcela Santana Cavalcante
CPF 469.884.048-13
Data Nasc - 25/12/99
Contato: 011 - 9-8216-5601
E-mail: ma.santana456@gmail.com
Dados Bancário:
Banco: Nubank
Ag: 0001
Cc: 47598749-6</v>
      </c>
      <c r="I637" t="s">
        <v>1113</v>
      </c>
      <c r="J637" s="5">
        <v>-738.15</v>
      </c>
      <c r="K637" s="4">
        <v>561161.66</v>
      </c>
      <c r="L637" t="s">
        <v>27</v>
      </c>
      <c r="M637" s="5">
        <v>-738.15</v>
      </c>
      <c r="N637" s="3">
        <v>0</v>
      </c>
      <c r="O637" t="s">
        <v>1047</v>
      </c>
      <c r="P637" t="s">
        <v>1095</v>
      </c>
      <c r="Q637" t="s">
        <v>1047</v>
      </c>
      <c r="R637" t="str">
        <f t="shared" si="19"/>
        <v>Sim</v>
      </c>
      <c r="S637" t="s">
        <v>1047</v>
      </c>
      <c r="T637" t="s">
        <v>1163</v>
      </c>
      <c r="U637" t="s">
        <v>323</v>
      </c>
      <c r="V637" s="3">
        <v>-738.15</v>
      </c>
      <c r="W637" t="s">
        <v>1164</v>
      </c>
      <c r="X637" s="3">
        <v>-738.15</v>
      </c>
    </row>
    <row r="638" spans="1:24" s="2" customFormat="1" x14ac:dyDescent="0.2">
      <c r="A638" s="2">
        <v>638</v>
      </c>
      <c r="B638"/>
      <c r="C638" t="s">
        <v>153</v>
      </c>
      <c r="D638" t="s">
        <v>1165</v>
      </c>
      <c r="E638" t="s">
        <v>30</v>
      </c>
      <c r="F638" t="s">
        <v>63</v>
      </c>
      <c r="G638" t="s">
        <v>25</v>
      </c>
      <c r="H638" t="str">
        <f t="shared" si="18"/>
        <v xml:space="preserve">KAUÊ - SERVIÇO DE FREELANCER 3D | Recorrência: | Observações: </v>
      </c>
      <c r="I638" t="s">
        <v>991</v>
      </c>
      <c r="J638" s="5">
        <v>-1800</v>
      </c>
      <c r="K638" s="4">
        <v>559361.66</v>
      </c>
      <c r="L638" t="s">
        <v>27</v>
      </c>
      <c r="M638" s="5">
        <v>-1800</v>
      </c>
      <c r="N638" s="3">
        <v>0</v>
      </c>
      <c r="O638" t="s">
        <v>1047</v>
      </c>
      <c r="P638" t="s">
        <v>1166</v>
      </c>
      <c r="Q638" t="s">
        <v>1047</v>
      </c>
      <c r="R638" t="str">
        <f t="shared" si="19"/>
        <v>Sim</v>
      </c>
      <c r="S638" t="s">
        <v>1047</v>
      </c>
      <c r="T638" t="s">
        <v>30</v>
      </c>
      <c r="U638" t="s">
        <v>323</v>
      </c>
      <c r="V638" s="3">
        <v>-1800</v>
      </c>
      <c r="W638" t="s">
        <v>1164</v>
      </c>
      <c r="X638" s="3">
        <v>-1800</v>
      </c>
    </row>
    <row r="639" spans="1:24" s="2" customFormat="1" x14ac:dyDescent="0.2">
      <c r="A639">
        <v>639</v>
      </c>
      <c r="B639" t="s">
        <v>1053</v>
      </c>
      <c r="C639" t="s">
        <v>1054</v>
      </c>
      <c r="D639" t="s">
        <v>1167</v>
      </c>
      <c r="E639" t="s">
        <v>30</v>
      </c>
      <c r="F639" t="s">
        <v>24</v>
      </c>
      <c r="G639" t="s">
        <v>25</v>
      </c>
      <c r="H639" t="str">
        <f t="shared" si="18"/>
        <v xml:space="preserve">1/2 - REEMBOLSO_MN ARQUITETURA_REF VAZAMENTO DA SALA 1/2 | Recorrência: | Observações: </v>
      </c>
      <c r="I639" t="s">
        <v>491</v>
      </c>
      <c r="J639" s="4">
        <v>2590.2600000000002</v>
      </c>
      <c r="K639" s="4">
        <v>561951.92000000004</v>
      </c>
      <c r="L639" t="s">
        <v>27</v>
      </c>
      <c r="M639" s="4">
        <v>2590.2600000000002</v>
      </c>
      <c r="N639" s="3">
        <v>0</v>
      </c>
      <c r="O639" t="s">
        <v>1047</v>
      </c>
      <c r="P639" t="s">
        <v>1086</v>
      </c>
      <c r="Q639" t="s">
        <v>1047</v>
      </c>
      <c r="R639" t="str">
        <f t="shared" si="19"/>
        <v>Sim</v>
      </c>
      <c r="S639" t="s">
        <v>1047</v>
      </c>
      <c r="T639" t="s">
        <v>30</v>
      </c>
      <c r="U639" t="s">
        <v>1057</v>
      </c>
      <c r="V639" s="3">
        <v>2590.2600000000002</v>
      </c>
      <c r="W639" t="s">
        <v>1168</v>
      </c>
      <c r="X639" s="3">
        <v>2590.2600000000002</v>
      </c>
    </row>
    <row r="640" spans="1:24" s="2" customFormat="1" x14ac:dyDescent="0.2">
      <c r="A640" s="2">
        <v>640</v>
      </c>
      <c r="B640"/>
      <c r="C640" t="s">
        <v>153</v>
      </c>
      <c r="D640" t="s">
        <v>630</v>
      </c>
      <c r="E640" t="s">
        <v>778</v>
      </c>
      <c r="F640" t="s">
        <v>63</v>
      </c>
      <c r="G640" t="s">
        <v>25</v>
      </c>
      <c r="H640" t="str">
        <f t="shared" si="18"/>
        <v xml:space="preserve">PRÓ-LABORE MAYARA | Recorrência:8/12 | Observações: </v>
      </c>
      <c r="I640" t="s">
        <v>26</v>
      </c>
      <c r="J640" s="5">
        <v>-15000</v>
      </c>
      <c r="K640" s="4">
        <v>546951.92000000004</v>
      </c>
      <c r="L640" t="s">
        <v>27</v>
      </c>
      <c r="M640" s="5">
        <v>-15000</v>
      </c>
      <c r="N640" s="3">
        <v>0</v>
      </c>
      <c r="O640" t="s">
        <v>1166</v>
      </c>
      <c r="P640" t="s">
        <v>1065</v>
      </c>
      <c r="Q640" t="s">
        <v>1152</v>
      </c>
      <c r="R640" t="str">
        <f t="shared" si="19"/>
        <v>Sim</v>
      </c>
      <c r="S640" t="s">
        <v>1152</v>
      </c>
      <c r="T640" t="s">
        <v>30</v>
      </c>
      <c r="U640" t="s">
        <v>631</v>
      </c>
      <c r="V640" s="3">
        <v>-15000</v>
      </c>
      <c r="W640" t="s">
        <v>632</v>
      </c>
      <c r="X640" s="3">
        <v>-15000</v>
      </c>
    </row>
    <row r="641" spans="1:24" s="2" customFormat="1" x14ac:dyDescent="0.2">
      <c r="A641">
        <v>641</v>
      </c>
      <c r="B641"/>
      <c r="C641" t="s">
        <v>153</v>
      </c>
      <c r="D641" t="s">
        <v>633</v>
      </c>
      <c r="E641" t="s">
        <v>778</v>
      </c>
      <c r="F641" t="s">
        <v>63</v>
      </c>
      <c r="G641" t="s">
        <v>25</v>
      </c>
      <c r="H641" t="str">
        <f t="shared" si="18"/>
        <v xml:space="preserve">PRÓ-LABORE NATASHA | Recorrência:8/12 | Observações: </v>
      </c>
      <c r="I641" t="s">
        <v>26</v>
      </c>
      <c r="J641" s="5">
        <v>-15000</v>
      </c>
      <c r="K641" s="4">
        <v>531951.92000000004</v>
      </c>
      <c r="L641" t="s">
        <v>27</v>
      </c>
      <c r="M641" s="5">
        <v>-15000</v>
      </c>
      <c r="N641" s="3">
        <v>0</v>
      </c>
      <c r="O641" t="s">
        <v>1166</v>
      </c>
      <c r="P641" t="s">
        <v>1034</v>
      </c>
      <c r="Q641" t="s">
        <v>1152</v>
      </c>
      <c r="R641" t="str">
        <f t="shared" si="19"/>
        <v>Sim</v>
      </c>
      <c r="S641" t="s">
        <v>1152</v>
      </c>
      <c r="T641" t="s">
        <v>30</v>
      </c>
      <c r="U641" t="s">
        <v>631</v>
      </c>
      <c r="V641" s="3">
        <v>-15000</v>
      </c>
      <c r="W641" t="s">
        <v>577</v>
      </c>
      <c r="X641" s="3">
        <v>-15000</v>
      </c>
    </row>
    <row r="642" spans="1:24" s="2" customFormat="1" x14ac:dyDescent="0.2">
      <c r="A642" s="2">
        <v>642</v>
      </c>
      <c r="B642"/>
      <c r="C642" t="s">
        <v>153</v>
      </c>
      <c r="D642" t="s">
        <v>636</v>
      </c>
      <c r="E642" t="s">
        <v>778</v>
      </c>
      <c r="F642" t="s">
        <v>63</v>
      </c>
      <c r="G642" t="s">
        <v>25</v>
      </c>
      <c r="H642" t="str">
        <f t="shared" si="18"/>
        <v xml:space="preserve">SALÁRIO ELIANE | Recorrência:8/12 | Observações: </v>
      </c>
      <c r="I642" t="s">
        <v>26</v>
      </c>
      <c r="J642" s="5">
        <v>-1466.99</v>
      </c>
      <c r="K642" s="4">
        <v>530484.93000000005</v>
      </c>
      <c r="L642" t="s">
        <v>27</v>
      </c>
      <c r="M642" s="5">
        <v>-1466.99</v>
      </c>
      <c r="N642" s="3">
        <v>0</v>
      </c>
      <c r="O642" t="s">
        <v>1166</v>
      </c>
      <c r="P642" t="s">
        <v>1092</v>
      </c>
      <c r="Q642" t="s">
        <v>1152</v>
      </c>
      <c r="R642" t="str">
        <f t="shared" si="19"/>
        <v>Sim</v>
      </c>
      <c r="S642" t="s">
        <v>1152</v>
      </c>
      <c r="T642" t="s">
        <v>30</v>
      </c>
      <c r="U642" t="s">
        <v>323</v>
      </c>
      <c r="V642" s="3">
        <v>-1466.99</v>
      </c>
      <c r="W642" t="s">
        <v>324</v>
      </c>
      <c r="X642" s="3">
        <v>-1466.99</v>
      </c>
    </row>
    <row r="643" spans="1:24" s="2" customFormat="1" x14ac:dyDescent="0.2">
      <c r="A643">
        <v>643</v>
      </c>
      <c r="B643" t="s">
        <v>1170</v>
      </c>
      <c r="C643" t="s">
        <v>1171</v>
      </c>
      <c r="D643" t="s">
        <v>1172</v>
      </c>
      <c r="E643" t="s">
        <v>30</v>
      </c>
      <c r="F643" t="s">
        <v>24</v>
      </c>
      <c r="G643" t="s">
        <v>25</v>
      </c>
      <c r="H643" t="str">
        <f t="shared" ref="H643:H706" si="20">D643&amp;" | "&amp;$E$1&amp;E643&amp;" | Observações: "&amp;T643</f>
        <v>RT - FELIPE REALES - CONTRATO 920301 | Recorrência: | Observações: REFERENTE AO CONTRATO 920301</v>
      </c>
      <c r="I643" t="s">
        <v>491</v>
      </c>
      <c r="J643" s="4">
        <v>1059.57</v>
      </c>
      <c r="K643" s="4">
        <v>531544.5</v>
      </c>
      <c r="L643" t="s">
        <v>27</v>
      </c>
      <c r="M643" s="4">
        <v>1059.57</v>
      </c>
      <c r="N643" s="3">
        <v>0</v>
      </c>
      <c r="O643" t="s">
        <v>1169</v>
      </c>
      <c r="P643" t="s">
        <v>1137</v>
      </c>
      <c r="Q643" t="s">
        <v>1047</v>
      </c>
      <c r="R643" t="str">
        <f t="shared" ref="R643:R706" si="21">IF(Q643=S643,"Sim","nao")</f>
        <v>Sim</v>
      </c>
      <c r="S643" t="s">
        <v>1047</v>
      </c>
      <c r="T643" t="s">
        <v>1173</v>
      </c>
      <c r="U643" t="s">
        <v>49</v>
      </c>
      <c r="V643" s="3">
        <v>1059.57</v>
      </c>
      <c r="W643" t="s">
        <v>494</v>
      </c>
      <c r="X643" s="3">
        <v>1059.57</v>
      </c>
    </row>
    <row r="644" spans="1:24" s="2" customFormat="1" x14ac:dyDescent="0.2">
      <c r="A644" s="2">
        <v>644</v>
      </c>
      <c r="B644"/>
      <c r="C644" t="s">
        <v>1174</v>
      </c>
      <c r="D644" t="s">
        <v>1175</v>
      </c>
      <c r="E644" t="s">
        <v>30</v>
      </c>
      <c r="F644" t="s">
        <v>24</v>
      </c>
      <c r="G644" t="s">
        <v>25</v>
      </c>
      <c r="H644" t="str">
        <f t="shared" si="20"/>
        <v xml:space="preserve">RT -NÃO IDENTIFICADO FORNECEDOR/CLIENTE | Recorrência: | Observações: </v>
      </c>
      <c r="I644" t="s">
        <v>491</v>
      </c>
      <c r="J644" s="4">
        <v>3945.8</v>
      </c>
      <c r="K644" s="4">
        <v>535490.30000000005</v>
      </c>
      <c r="L644" t="s">
        <v>27</v>
      </c>
      <c r="M644" s="4">
        <v>3945.8</v>
      </c>
      <c r="N644" s="3">
        <v>0</v>
      </c>
      <c r="O644" t="s">
        <v>1169</v>
      </c>
      <c r="P644" t="s">
        <v>1176</v>
      </c>
      <c r="Q644" t="s">
        <v>1169</v>
      </c>
      <c r="R644" t="str">
        <f t="shared" si="21"/>
        <v>Sim</v>
      </c>
      <c r="S644" t="s">
        <v>1169</v>
      </c>
      <c r="T644" t="s">
        <v>30</v>
      </c>
      <c r="U644" t="s">
        <v>49</v>
      </c>
      <c r="V644" s="3">
        <v>3945.8</v>
      </c>
      <c r="W644" t="s">
        <v>494</v>
      </c>
      <c r="X644" s="3">
        <v>3945.8</v>
      </c>
    </row>
    <row r="645" spans="1:24" s="2" customFormat="1" x14ac:dyDescent="0.2">
      <c r="A645">
        <v>645</v>
      </c>
      <c r="B645" t="s">
        <v>647</v>
      </c>
      <c r="C645" t="s">
        <v>648</v>
      </c>
      <c r="D645" t="s">
        <v>649</v>
      </c>
      <c r="E645" t="s">
        <v>778</v>
      </c>
      <c r="F645" t="s">
        <v>63</v>
      </c>
      <c r="G645" t="s">
        <v>25</v>
      </c>
      <c r="H645" t="str">
        <f t="shared" si="20"/>
        <v xml:space="preserve">HONORÁRIOS CONTÁBEIS | Recorrência:8/12 | Observações: </v>
      </c>
      <c r="I645" t="s">
        <v>26</v>
      </c>
      <c r="J645" s="5">
        <v>-830</v>
      </c>
      <c r="K645" s="4">
        <v>534660.30000000005</v>
      </c>
      <c r="L645" t="s">
        <v>27</v>
      </c>
      <c r="M645" s="5">
        <v>-830</v>
      </c>
      <c r="N645" s="3">
        <v>0</v>
      </c>
      <c r="O645" t="s">
        <v>1070</v>
      </c>
      <c r="P645" t="s">
        <v>1065</v>
      </c>
      <c r="Q645" t="s">
        <v>1070</v>
      </c>
      <c r="R645" t="str">
        <f t="shared" si="21"/>
        <v>Sim</v>
      </c>
      <c r="S645" t="s">
        <v>1070</v>
      </c>
      <c r="T645" t="s">
        <v>30</v>
      </c>
      <c r="U645" t="s">
        <v>608</v>
      </c>
      <c r="V645" s="3">
        <v>-830</v>
      </c>
      <c r="W645" t="s">
        <v>577</v>
      </c>
      <c r="X645" s="3">
        <v>-830</v>
      </c>
    </row>
    <row r="646" spans="1:24" s="2" customFormat="1" x14ac:dyDescent="0.2">
      <c r="A646" s="2">
        <v>646</v>
      </c>
      <c r="B646" t="s">
        <v>1178</v>
      </c>
      <c r="C646" t="s">
        <v>1179</v>
      </c>
      <c r="D646" t="s">
        <v>1180</v>
      </c>
      <c r="E646" t="s">
        <v>465</v>
      </c>
      <c r="F646" t="s">
        <v>24</v>
      </c>
      <c r="G646" t="s">
        <v>25</v>
      </c>
      <c r="H646" t="str">
        <f t="shared" si="20"/>
        <v>RT  EDIFICIO  SUPREME | Recorrência:4/4 | Observações: Referente a NF 203</v>
      </c>
      <c r="I646" t="s">
        <v>26</v>
      </c>
      <c r="J646" s="4">
        <v>135</v>
      </c>
      <c r="K646" s="4">
        <v>534795.30000000005</v>
      </c>
      <c r="L646" t="s">
        <v>27</v>
      </c>
      <c r="M646" s="4">
        <v>135</v>
      </c>
      <c r="N646" s="3">
        <v>0</v>
      </c>
      <c r="O646" t="s">
        <v>1177</v>
      </c>
      <c r="P646" t="s">
        <v>1181</v>
      </c>
      <c r="Q646" t="s">
        <v>1182</v>
      </c>
      <c r="R646" t="str">
        <f t="shared" si="21"/>
        <v>Sim</v>
      </c>
      <c r="S646" t="s">
        <v>1182</v>
      </c>
      <c r="T646" t="s">
        <v>1183</v>
      </c>
      <c r="U646" t="s">
        <v>49</v>
      </c>
      <c r="V646" s="3">
        <v>135</v>
      </c>
      <c r="W646" t="s">
        <v>49</v>
      </c>
      <c r="X646" s="3">
        <v>135</v>
      </c>
    </row>
    <row r="647" spans="1:24" s="2" customFormat="1" x14ac:dyDescent="0.2">
      <c r="A647">
        <v>647</v>
      </c>
      <c r="B647"/>
      <c r="C647" t="s">
        <v>297</v>
      </c>
      <c r="D647" t="s">
        <v>806</v>
      </c>
      <c r="E647" t="s">
        <v>778</v>
      </c>
      <c r="F647" t="s">
        <v>63</v>
      </c>
      <c r="G647" t="s">
        <v>25</v>
      </c>
      <c r="H647" t="str">
        <f t="shared" si="20"/>
        <v xml:space="preserve">DARF ISS | Recorrência:8/12 | Observações: </v>
      </c>
      <c r="I647" t="s">
        <v>26</v>
      </c>
      <c r="J647" s="5">
        <v>-580.76</v>
      </c>
      <c r="K647" s="4">
        <v>534214.54</v>
      </c>
      <c r="L647" t="s">
        <v>27</v>
      </c>
      <c r="M647" s="5">
        <v>-580.76</v>
      </c>
      <c r="N647" s="3">
        <v>0</v>
      </c>
      <c r="O647" t="s">
        <v>1184</v>
      </c>
      <c r="P647" t="s">
        <v>1066</v>
      </c>
      <c r="Q647" t="s">
        <v>1185</v>
      </c>
      <c r="R647" t="str">
        <f t="shared" si="21"/>
        <v>Sim</v>
      </c>
      <c r="S647" t="s">
        <v>1185</v>
      </c>
      <c r="T647" t="s">
        <v>30</v>
      </c>
      <c r="U647" t="s">
        <v>656</v>
      </c>
      <c r="V647" s="3">
        <v>-580.76</v>
      </c>
      <c r="W647" t="s">
        <v>376</v>
      </c>
      <c r="X647" s="3">
        <v>-580.76</v>
      </c>
    </row>
    <row r="648" spans="1:24" s="2" customFormat="1" x14ac:dyDescent="0.2">
      <c r="A648" s="2">
        <v>648</v>
      </c>
      <c r="B648" t="s">
        <v>1186</v>
      </c>
      <c r="C648" t="s">
        <v>1187</v>
      </c>
      <c r="D648" t="s">
        <v>1188</v>
      </c>
      <c r="E648" t="s">
        <v>30</v>
      </c>
      <c r="F648" t="s">
        <v>24</v>
      </c>
      <c r="G648" t="s">
        <v>25</v>
      </c>
      <c r="H648" t="str">
        <f t="shared" si="20"/>
        <v>RT -  Vanessa pedido 4247 | Recorrência: | Observações: RT - 10%</v>
      </c>
      <c r="I648" t="s">
        <v>491</v>
      </c>
      <c r="J648" s="4">
        <v>386.4</v>
      </c>
      <c r="K648" s="4">
        <v>534600.93999999994</v>
      </c>
      <c r="L648" t="s">
        <v>27</v>
      </c>
      <c r="M648" s="4">
        <v>386.4</v>
      </c>
      <c r="N648" s="3">
        <v>0</v>
      </c>
      <c r="O648" t="s">
        <v>1184</v>
      </c>
      <c r="P648" t="s">
        <v>1176</v>
      </c>
      <c r="Q648" t="s">
        <v>1184</v>
      </c>
      <c r="R648" t="str">
        <f t="shared" si="21"/>
        <v>Sim</v>
      </c>
      <c r="S648" t="s">
        <v>1184</v>
      </c>
      <c r="T648" t="s">
        <v>1189</v>
      </c>
      <c r="U648" t="s">
        <v>49</v>
      </c>
      <c r="V648" s="3">
        <v>386.4</v>
      </c>
      <c r="W648" t="s">
        <v>494</v>
      </c>
      <c r="X648" s="3">
        <v>386.4</v>
      </c>
    </row>
    <row r="649" spans="1:24" s="2" customFormat="1" x14ac:dyDescent="0.2">
      <c r="A649">
        <v>649</v>
      </c>
      <c r="B649" t="s">
        <v>1088</v>
      </c>
      <c r="C649" t="s">
        <v>1089</v>
      </c>
      <c r="D649" t="s">
        <v>1191</v>
      </c>
      <c r="E649" t="s">
        <v>30</v>
      </c>
      <c r="F649" t="s">
        <v>24</v>
      </c>
      <c r="G649" t="s">
        <v>25</v>
      </c>
      <c r="H649" t="str">
        <f t="shared" si="20"/>
        <v xml:space="preserve">RT - PATRICIA NAJM | Recorrência: | Observações: </v>
      </c>
      <c r="I649" t="s">
        <v>991</v>
      </c>
      <c r="J649" s="4">
        <v>1089</v>
      </c>
      <c r="K649" s="4">
        <v>535689.93999999994</v>
      </c>
      <c r="L649" t="s">
        <v>27</v>
      </c>
      <c r="M649" s="4">
        <v>1089</v>
      </c>
      <c r="N649" s="3">
        <v>0</v>
      </c>
      <c r="O649" t="s">
        <v>1190</v>
      </c>
      <c r="P649" t="s">
        <v>1176</v>
      </c>
      <c r="Q649" t="s">
        <v>1192</v>
      </c>
      <c r="R649" t="str">
        <f t="shared" si="21"/>
        <v>Sim</v>
      </c>
      <c r="S649" t="s">
        <v>1192</v>
      </c>
      <c r="T649" t="s">
        <v>30</v>
      </c>
      <c r="U649" t="s">
        <v>49</v>
      </c>
      <c r="V649" s="3">
        <v>1089</v>
      </c>
      <c r="W649" t="s">
        <v>494</v>
      </c>
      <c r="X649" s="3">
        <v>1089</v>
      </c>
    </row>
    <row r="650" spans="1:24" s="2" customFormat="1" x14ac:dyDescent="0.2">
      <c r="A650" s="2">
        <v>650</v>
      </c>
      <c r="B650"/>
      <c r="C650" t="s">
        <v>153</v>
      </c>
      <c r="D650" t="s">
        <v>1193</v>
      </c>
      <c r="E650" t="s">
        <v>30</v>
      </c>
      <c r="F650" t="s">
        <v>63</v>
      </c>
      <c r="G650" t="s">
        <v>25</v>
      </c>
      <c r="H650" t="str">
        <f t="shared" si="20"/>
        <v>8/12 - TELEFONIA E INTERNET | Recorrência: | Observações: VIVO FIXO</v>
      </c>
      <c r="I650" t="s">
        <v>26</v>
      </c>
      <c r="J650" s="5">
        <v>-162.53</v>
      </c>
      <c r="K650" s="4">
        <v>535527.41</v>
      </c>
      <c r="L650" t="s">
        <v>27</v>
      </c>
      <c r="M650" s="5">
        <v>-162.53</v>
      </c>
      <c r="N650" s="3">
        <v>0</v>
      </c>
      <c r="O650" t="s">
        <v>1182</v>
      </c>
      <c r="P650" t="s">
        <v>1081</v>
      </c>
      <c r="Q650" t="s">
        <v>1182</v>
      </c>
      <c r="R650" t="str">
        <f t="shared" si="21"/>
        <v>Sim</v>
      </c>
      <c r="S650" t="s">
        <v>1182</v>
      </c>
      <c r="T650" t="s">
        <v>1194</v>
      </c>
      <c r="U650" t="s">
        <v>670</v>
      </c>
      <c r="V650" s="3">
        <v>-162.53</v>
      </c>
      <c r="W650" t="s">
        <v>324</v>
      </c>
      <c r="X650" s="3">
        <v>-162.53</v>
      </c>
    </row>
    <row r="651" spans="1:24" s="2" customFormat="1" x14ac:dyDescent="0.2">
      <c r="A651">
        <v>651</v>
      </c>
      <c r="B651" t="s">
        <v>1195</v>
      </c>
      <c r="C651" t="s">
        <v>1196</v>
      </c>
      <c r="D651" t="s">
        <v>1197</v>
      </c>
      <c r="E651" t="s">
        <v>30</v>
      </c>
      <c r="F651" t="s">
        <v>24</v>
      </c>
      <c r="G651" t="s">
        <v>25</v>
      </c>
      <c r="H651" t="str">
        <f t="shared" si="20"/>
        <v xml:space="preserve">RT -MARIELLA MATAVELLI | Recorrência: | Observações: </v>
      </c>
      <c r="I651" t="s">
        <v>491</v>
      </c>
      <c r="J651" s="4">
        <v>4504.8</v>
      </c>
      <c r="K651" s="4">
        <v>540032.21</v>
      </c>
      <c r="L651" t="s">
        <v>27</v>
      </c>
      <c r="M651" s="4">
        <v>4504.8</v>
      </c>
      <c r="N651" s="3">
        <v>0</v>
      </c>
      <c r="O651" t="s">
        <v>1182</v>
      </c>
      <c r="P651" t="s">
        <v>1152</v>
      </c>
      <c r="Q651" t="s">
        <v>1182</v>
      </c>
      <c r="R651" t="str">
        <f t="shared" si="21"/>
        <v>Sim</v>
      </c>
      <c r="S651" t="s">
        <v>1182</v>
      </c>
      <c r="T651" t="s">
        <v>30</v>
      </c>
      <c r="U651" t="s">
        <v>49</v>
      </c>
      <c r="V651" s="3">
        <v>4504.8</v>
      </c>
      <c r="W651" t="s">
        <v>494</v>
      </c>
      <c r="X651" s="3">
        <v>4504.8</v>
      </c>
    </row>
    <row r="652" spans="1:24" s="2" customFormat="1" x14ac:dyDescent="0.2">
      <c r="A652" s="2">
        <v>652</v>
      </c>
      <c r="B652"/>
      <c r="C652" t="s">
        <v>943</v>
      </c>
      <c r="D652" t="s">
        <v>1199</v>
      </c>
      <c r="E652" t="s">
        <v>465</v>
      </c>
      <c r="F652" t="s">
        <v>24</v>
      </c>
      <c r="G652" t="s">
        <v>25</v>
      </c>
      <c r="H652" t="str">
        <f t="shared" si="20"/>
        <v xml:space="preserve">PROJETO DE ARQUITETURA FARIZE MURAD - 4 DE 4 - | Recorrência:4/4 | Observações: </v>
      </c>
      <c r="I652" t="s">
        <v>26</v>
      </c>
      <c r="J652" s="4">
        <v>4620</v>
      </c>
      <c r="K652" s="4">
        <v>544652.21</v>
      </c>
      <c r="L652" t="s">
        <v>27</v>
      </c>
      <c r="M652" s="4">
        <v>4620</v>
      </c>
      <c r="N652" s="3">
        <v>0</v>
      </c>
      <c r="O652" t="s">
        <v>1198</v>
      </c>
      <c r="P652" t="s">
        <v>1190</v>
      </c>
      <c r="Q652" t="s">
        <v>675</v>
      </c>
      <c r="R652" t="str">
        <f t="shared" si="21"/>
        <v>Sim</v>
      </c>
      <c r="S652" t="s">
        <v>675</v>
      </c>
      <c r="T652" t="s">
        <v>30</v>
      </c>
      <c r="U652" t="s">
        <v>31</v>
      </c>
      <c r="V652" s="3">
        <v>4620</v>
      </c>
      <c r="W652" t="s">
        <v>32</v>
      </c>
      <c r="X652" s="3">
        <v>4620</v>
      </c>
    </row>
    <row r="653" spans="1:24" s="2" customFormat="1" x14ac:dyDescent="0.2">
      <c r="A653">
        <v>653</v>
      </c>
      <c r="B653" t="s">
        <v>1200</v>
      </c>
      <c r="C653" t="s">
        <v>1201</v>
      </c>
      <c r="D653" t="s">
        <v>1202</v>
      </c>
      <c r="E653" t="s">
        <v>30</v>
      </c>
      <c r="F653" t="s">
        <v>63</v>
      </c>
      <c r="G653" t="s">
        <v>25</v>
      </c>
      <c r="H653" t="str">
        <f t="shared" si="20"/>
        <v xml:space="preserve">IMPRESSÕES:Stephanie/Mario e Roberta/ Ma Isabe e Flavio? Fabio e Ana Luiza | Recorrência: | Observações: 15 - A3 - Stephanie
09 A1 dos demais </v>
      </c>
      <c r="I653" t="s">
        <v>991</v>
      </c>
      <c r="J653" s="5">
        <v>-133.5</v>
      </c>
      <c r="K653" s="4">
        <v>544518.71</v>
      </c>
      <c r="L653" t="s">
        <v>27</v>
      </c>
      <c r="M653" s="5">
        <v>-133.5</v>
      </c>
      <c r="N653" s="3">
        <v>0</v>
      </c>
      <c r="O653" t="s">
        <v>1185</v>
      </c>
      <c r="P653" t="s">
        <v>1185</v>
      </c>
      <c r="Q653" t="s">
        <v>1185</v>
      </c>
      <c r="R653" t="str">
        <f t="shared" si="21"/>
        <v>Sim</v>
      </c>
      <c r="S653" t="s">
        <v>1185</v>
      </c>
      <c r="T653" t="s">
        <v>1203</v>
      </c>
      <c r="U653" t="s">
        <v>641</v>
      </c>
      <c r="V653" s="3">
        <v>-133.5</v>
      </c>
      <c r="W653" t="s">
        <v>1058</v>
      </c>
      <c r="X653" s="3">
        <v>-133.5</v>
      </c>
    </row>
    <row r="654" spans="1:24" s="2" customFormat="1" x14ac:dyDescent="0.2">
      <c r="A654" s="2">
        <v>654</v>
      </c>
      <c r="B654" t="s">
        <v>1204</v>
      </c>
      <c r="C654" t="s">
        <v>1205</v>
      </c>
      <c r="D654" t="s">
        <v>1206</v>
      </c>
      <c r="E654" t="s">
        <v>30</v>
      </c>
      <c r="F654" t="s">
        <v>24</v>
      </c>
      <c r="G654" t="s">
        <v>25</v>
      </c>
      <c r="H654" t="str">
        <f t="shared" si="20"/>
        <v xml:space="preserve">RT - GABRIELA BORGES - PEDIDO 294461 | Recorrência: | Observações: </v>
      </c>
      <c r="I654" t="s">
        <v>26</v>
      </c>
      <c r="J654" s="4">
        <v>2123.41</v>
      </c>
      <c r="K654" s="4">
        <v>546642.12</v>
      </c>
      <c r="L654" t="s">
        <v>27</v>
      </c>
      <c r="M654" s="4">
        <v>2123.41</v>
      </c>
      <c r="N654" s="3">
        <v>0</v>
      </c>
      <c r="O654" t="s">
        <v>1185</v>
      </c>
      <c r="P654" t="s">
        <v>960</v>
      </c>
      <c r="Q654" t="s">
        <v>1185</v>
      </c>
      <c r="R654" t="str">
        <f t="shared" si="21"/>
        <v>Sim</v>
      </c>
      <c r="S654" t="s">
        <v>1185</v>
      </c>
      <c r="T654" t="s">
        <v>30</v>
      </c>
      <c r="U654" t="s">
        <v>49</v>
      </c>
      <c r="V654" s="3">
        <v>2123.41</v>
      </c>
      <c r="W654" t="s">
        <v>494</v>
      </c>
      <c r="X654" s="3">
        <v>2123.41</v>
      </c>
    </row>
    <row r="655" spans="1:24" s="2" customFormat="1" x14ac:dyDescent="0.2">
      <c r="A655">
        <v>655</v>
      </c>
      <c r="B655"/>
      <c r="C655" t="s">
        <v>1141</v>
      </c>
      <c r="D655" t="s">
        <v>1207</v>
      </c>
      <c r="E655" t="s">
        <v>30</v>
      </c>
      <c r="F655" t="s">
        <v>24</v>
      </c>
      <c r="G655" t="s">
        <v>25</v>
      </c>
      <c r="H655" t="str">
        <f t="shared" si="20"/>
        <v>2/4 - Projeto de arquitetura de interiores 2/4 | Recorrência: | Observações: REFERENTE NF 215</v>
      </c>
      <c r="I655" t="s">
        <v>991</v>
      </c>
      <c r="J655" s="4">
        <v>3500</v>
      </c>
      <c r="K655" s="4">
        <v>550142.12</v>
      </c>
      <c r="L655" t="s">
        <v>27</v>
      </c>
      <c r="M655" s="4">
        <v>3500</v>
      </c>
      <c r="N655" s="3">
        <v>0</v>
      </c>
      <c r="O655" t="s">
        <v>492</v>
      </c>
      <c r="P655" t="s">
        <v>1137</v>
      </c>
      <c r="Q655" t="s">
        <v>1208</v>
      </c>
      <c r="R655" t="str">
        <f t="shared" si="21"/>
        <v>Sim</v>
      </c>
      <c r="S655" t="s">
        <v>1208</v>
      </c>
      <c r="T655" t="s">
        <v>1209</v>
      </c>
      <c r="U655" t="s">
        <v>40</v>
      </c>
      <c r="V655" s="3">
        <v>3500</v>
      </c>
      <c r="W655" t="s">
        <v>32</v>
      </c>
      <c r="X655" s="3">
        <v>3500</v>
      </c>
    </row>
    <row r="656" spans="1:24" s="2" customFormat="1" x14ac:dyDescent="0.2">
      <c r="A656" s="2">
        <v>656</v>
      </c>
      <c r="B656" t="s">
        <v>1210</v>
      </c>
      <c r="C656" t="s">
        <v>1211</v>
      </c>
      <c r="D656" t="s">
        <v>1212</v>
      </c>
      <c r="E656" t="s">
        <v>30</v>
      </c>
      <c r="F656" t="s">
        <v>24</v>
      </c>
      <c r="G656" t="s">
        <v>25</v>
      </c>
      <c r="H656" t="str">
        <f t="shared" si="20"/>
        <v>1/2 - RT Projeto STEPHANIE PICCIOTTO 1/2 | Recorrência: | Observações: RT  10% do valor recebido e ao final + 10%</v>
      </c>
      <c r="I656" t="s">
        <v>991</v>
      </c>
      <c r="J656" s="4">
        <v>860</v>
      </c>
      <c r="K656" s="4">
        <v>551002.12</v>
      </c>
      <c r="L656" t="s">
        <v>27</v>
      </c>
      <c r="M656" s="4">
        <v>860</v>
      </c>
      <c r="N656" s="3">
        <v>0</v>
      </c>
      <c r="O656" t="s">
        <v>492</v>
      </c>
      <c r="P656" t="s">
        <v>1177</v>
      </c>
      <c r="Q656" t="s">
        <v>1154</v>
      </c>
      <c r="R656" t="str">
        <f t="shared" si="21"/>
        <v>Sim</v>
      </c>
      <c r="S656" t="s">
        <v>1154</v>
      </c>
      <c r="T656" t="s">
        <v>1213</v>
      </c>
      <c r="U656" t="s">
        <v>49</v>
      </c>
      <c r="V656" s="3">
        <v>860</v>
      </c>
      <c r="W656" t="s">
        <v>494</v>
      </c>
      <c r="X656" s="3">
        <v>860</v>
      </c>
    </row>
    <row r="657" spans="1:24" s="2" customFormat="1" x14ac:dyDescent="0.2">
      <c r="A657">
        <v>657</v>
      </c>
      <c r="B657"/>
      <c r="C657" t="s">
        <v>297</v>
      </c>
      <c r="D657" t="s">
        <v>715</v>
      </c>
      <c r="E657" t="s">
        <v>778</v>
      </c>
      <c r="F657" t="s">
        <v>63</v>
      </c>
      <c r="G657" t="s">
        <v>25</v>
      </c>
      <c r="H657" t="str">
        <f t="shared" si="20"/>
        <v xml:space="preserve">DARF PREVIDENCIARIO (ANTIGO GPS) | Recorrência:8/12 | Observações: valor poderá ser alterado </v>
      </c>
      <c r="I657" t="s">
        <v>755</v>
      </c>
      <c r="J657" s="5">
        <v>-1335.04</v>
      </c>
      <c r="K657" s="4">
        <v>549667.07999999996</v>
      </c>
      <c r="L657" t="s">
        <v>27</v>
      </c>
      <c r="M657" s="5">
        <v>-1335.04</v>
      </c>
      <c r="N657" s="3">
        <v>0</v>
      </c>
      <c r="O657" t="s">
        <v>675</v>
      </c>
      <c r="P657" t="s">
        <v>1065</v>
      </c>
      <c r="Q657" t="s">
        <v>1151</v>
      </c>
      <c r="R657" t="str">
        <f t="shared" si="21"/>
        <v>nao</v>
      </c>
      <c r="S657" t="s">
        <v>675</v>
      </c>
      <c r="T657" t="s">
        <v>717</v>
      </c>
      <c r="U657" t="s">
        <v>677</v>
      </c>
      <c r="V657" s="3">
        <v>-1335.04</v>
      </c>
      <c r="W657" t="s">
        <v>376</v>
      </c>
      <c r="X657" s="3">
        <v>-1335.04</v>
      </c>
    </row>
    <row r="658" spans="1:24" s="2" customFormat="1" x14ac:dyDescent="0.2">
      <c r="A658" s="2">
        <v>658</v>
      </c>
      <c r="B658" t="s">
        <v>1016</v>
      </c>
      <c r="C658" t="s">
        <v>1017</v>
      </c>
      <c r="D658" t="s">
        <v>1214</v>
      </c>
      <c r="E658" t="s">
        <v>30</v>
      </c>
      <c r="F658" t="s">
        <v>63</v>
      </c>
      <c r="G658" t="s">
        <v>25</v>
      </c>
      <c r="H658" t="str">
        <f t="shared" si="20"/>
        <v>3/4 - HOSPEDAGEM SITE 3/4 | Recorrência: | Observações: Alteração site MN</v>
      </c>
      <c r="I658" t="s">
        <v>755</v>
      </c>
      <c r="J658" s="5">
        <v>-525</v>
      </c>
      <c r="K658" s="4">
        <v>549142.07999999996</v>
      </c>
      <c r="L658" t="s">
        <v>27</v>
      </c>
      <c r="M658" s="5">
        <v>-525</v>
      </c>
      <c r="N658" s="3">
        <v>0</v>
      </c>
      <c r="O658" t="s">
        <v>1151</v>
      </c>
      <c r="P658" t="s">
        <v>1015</v>
      </c>
      <c r="Q658" t="s">
        <v>1151</v>
      </c>
      <c r="R658" t="str">
        <f t="shared" si="21"/>
        <v>Sim</v>
      </c>
      <c r="S658" t="s">
        <v>1151</v>
      </c>
      <c r="T658" t="s">
        <v>1019</v>
      </c>
      <c r="U658" t="s">
        <v>344</v>
      </c>
      <c r="V658" s="3">
        <v>-525</v>
      </c>
      <c r="W658" t="s">
        <v>577</v>
      </c>
      <c r="X658" s="3">
        <v>-525</v>
      </c>
    </row>
    <row r="659" spans="1:24" s="2" customFormat="1" x14ac:dyDescent="0.2">
      <c r="A659">
        <v>659</v>
      </c>
      <c r="B659"/>
      <c r="C659" t="s">
        <v>1111</v>
      </c>
      <c r="D659" t="s">
        <v>1215</v>
      </c>
      <c r="E659" t="s">
        <v>30</v>
      </c>
      <c r="F659" t="s">
        <v>24</v>
      </c>
      <c r="G659" t="s">
        <v>25</v>
      </c>
      <c r="H659" t="str">
        <f t="shared" si="20"/>
        <v xml:space="preserve">2/3 - PROJETO 2/3 | Recorrência: | Observações: </v>
      </c>
      <c r="I659" t="s">
        <v>1113</v>
      </c>
      <c r="J659" s="6">
        <v>0</v>
      </c>
      <c r="K659" s="4">
        <v>549142.07999999996</v>
      </c>
      <c r="L659" t="s">
        <v>476</v>
      </c>
      <c r="M659" s="4">
        <v>2000</v>
      </c>
      <c r="N659" s="3">
        <v>0</v>
      </c>
      <c r="O659" t="s">
        <v>1151</v>
      </c>
      <c r="P659" t="s">
        <v>1095</v>
      </c>
      <c r="Q659" t="s">
        <v>1151</v>
      </c>
      <c r="R659" t="str">
        <f t="shared" si="21"/>
        <v>Sim</v>
      </c>
      <c r="S659" t="s">
        <v>1151</v>
      </c>
      <c r="T659" t="s">
        <v>30</v>
      </c>
      <c r="U659" t="s">
        <v>31</v>
      </c>
      <c r="V659" s="3">
        <v>0</v>
      </c>
      <c r="W659" t="s">
        <v>32</v>
      </c>
      <c r="X659" s="3">
        <v>0</v>
      </c>
    </row>
    <row r="660" spans="1:24" s="2" customFormat="1" x14ac:dyDescent="0.2">
      <c r="A660" s="2">
        <v>660</v>
      </c>
      <c r="B660" t="s">
        <v>1217</v>
      </c>
      <c r="C660" t="s">
        <v>230</v>
      </c>
      <c r="D660" t="s">
        <v>1218</v>
      </c>
      <c r="E660" t="s">
        <v>30</v>
      </c>
      <c r="F660" t="s">
        <v>63</v>
      </c>
      <c r="G660" t="s">
        <v>25</v>
      </c>
      <c r="H660" t="str">
        <f t="shared" si="20"/>
        <v xml:space="preserve">KALUNGA  - MATERIASI ESCRITÓRIO | Recorrência: | Observações: </v>
      </c>
      <c r="I660" t="s">
        <v>1219</v>
      </c>
      <c r="J660" s="5">
        <v>-111</v>
      </c>
      <c r="K660" s="4">
        <v>549031.07999999996</v>
      </c>
      <c r="L660" t="s">
        <v>27</v>
      </c>
      <c r="M660" s="5">
        <v>-111</v>
      </c>
      <c r="N660" s="3">
        <v>0</v>
      </c>
      <c r="O660" t="s">
        <v>1216</v>
      </c>
      <c r="P660" t="s">
        <v>1216</v>
      </c>
      <c r="Q660" t="s">
        <v>1216</v>
      </c>
      <c r="R660" t="str">
        <f t="shared" si="21"/>
        <v>Sim</v>
      </c>
      <c r="S660" t="s">
        <v>1216</v>
      </c>
      <c r="T660" t="s">
        <v>30</v>
      </c>
      <c r="U660" t="s">
        <v>740</v>
      </c>
      <c r="V660" s="3">
        <v>-111</v>
      </c>
      <c r="W660" t="s">
        <v>1058</v>
      </c>
      <c r="X660" s="3">
        <v>-111</v>
      </c>
    </row>
    <row r="661" spans="1:24" s="2" customFormat="1" x14ac:dyDescent="0.2">
      <c r="A661">
        <v>661</v>
      </c>
      <c r="B661"/>
      <c r="C661" t="s">
        <v>153</v>
      </c>
      <c r="D661" t="s">
        <v>838</v>
      </c>
      <c r="E661" t="s">
        <v>1220</v>
      </c>
      <c r="F661" t="s">
        <v>63</v>
      </c>
      <c r="G661" t="s">
        <v>25</v>
      </c>
      <c r="H661" t="str">
        <f t="shared" si="20"/>
        <v xml:space="preserve">CARTÃO DE CREDITO_ FINAL 5507 | Recorrência:7/10 | Observações: </v>
      </c>
      <c r="I661" t="s">
        <v>26</v>
      </c>
      <c r="J661" s="5">
        <v>-995.29</v>
      </c>
      <c r="K661" s="4">
        <v>548035.79</v>
      </c>
      <c r="L661" t="s">
        <v>27</v>
      </c>
      <c r="M661" s="5">
        <v>-995.29</v>
      </c>
      <c r="N661" s="3">
        <v>0</v>
      </c>
      <c r="O661" t="s">
        <v>1216</v>
      </c>
      <c r="P661" t="s">
        <v>1216</v>
      </c>
      <c r="Q661" t="s">
        <v>1216</v>
      </c>
      <c r="R661" t="str">
        <f t="shared" si="21"/>
        <v>Sim</v>
      </c>
      <c r="S661" t="s">
        <v>1216</v>
      </c>
      <c r="T661" t="s">
        <v>30</v>
      </c>
      <c r="U661" t="s">
        <v>764</v>
      </c>
      <c r="V661" s="3">
        <v>-995.29</v>
      </c>
      <c r="W661" t="s">
        <v>577</v>
      </c>
      <c r="X661" s="3">
        <v>-995.29</v>
      </c>
    </row>
    <row r="662" spans="1:24" s="2" customFormat="1" x14ac:dyDescent="0.2">
      <c r="A662" s="2">
        <v>662</v>
      </c>
      <c r="B662" t="s">
        <v>1200</v>
      </c>
      <c r="C662" t="s">
        <v>1201</v>
      </c>
      <c r="D662" t="s">
        <v>1222</v>
      </c>
      <c r="E662" t="s">
        <v>30</v>
      </c>
      <c r="F662" t="s">
        <v>63</v>
      </c>
      <c r="G662" t="s">
        <v>25</v>
      </c>
      <c r="H662" t="str">
        <f t="shared" si="20"/>
        <v xml:space="preserve">31 IMPRESSÕES A4- TIAGO KOCH | Recorrência: | Observações: </v>
      </c>
      <c r="I662" t="s">
        <v>1113</v>
      </c>
      <c r="J662" s="5">
        <v>-55.8</v>
      </c>
      <c r="K662" s="4">
        <v>547979.99</v>
      </c>
      <c r="L662" t="s">
        <v>27</v>
      </c>
      <c r="M662" s="5">
        <v>-55.8</v>
      </c>
      <c r="N662" s="3">
        <v>0</v>
      </c>
      <c r="O662" t="s">
        <v>1221</v>
      </c>
      <c r="P662" t="s">
        <v>1221</v>
      </c>
      <c r="Q662" t="s">
        <v>1221</v>
      </c>
      <c r="R662" t="str">
        <f t="shared" si="21"/>
        <v>Sim</v>
      </c>
      <c r="S662" t="s">
        <v>1221</v>
      </c>
      <c r="T662" t="s">
        <v>30</v>
      </c>
      <c r="U662" t="s">
        <v>641</v>
      </c>
      <c r="V662" s="3">
        <v>-55.8</v>
      </c>
      <c r="W662" t="s">
        <v>1058</v>
      </c>
      <c r="X662" s="3">
        <v>-55.8</v>
      </c>
    </row>
    <row r="663" spans="1:24" s="2" customFormat="1" x14ac:dyDescent="0.2">
      <c r="A663">
        <v>663</v>
      </c>
      <c r="B663"/>
      <c r="C663" t="s">
        <v>817</v>
      </c>
      <c r="D663" t="s">
        <v>274</v>
      </c>
      <c r="E663" t="s">
        <v>148</v>
      </c>
      <c r="F663" t="s">
        <v>24</v>
      </c>
      <c r="G663" t="s">
        <v>25</v>
      </c>
      <c r="H663" t="str">
        <f t="shared" si="20"/>
        <v xml:space="preserve">GERENCIAMENTO | Recorrência:3/3 | Observações: </v>
      </c>
      <c r="I663" t="s">
        <v>26</v>
      </c>
      <c r="J663" s="4">
        <v>2000</v>
      </c>
      <c r="K663" s="4">
        <v>549979.99</v>
      </c>
      <c r="L663" t="s">
        <v>27</v>
      </c>
      <c r="M663" s="4">
        <v>2000</v>
      </c>
      <c r="N663" s="3">
        <v>0</v>
      </c>
      <c r="O663" t="s">
        <v>1221</v>
      </c>
      <c r="P663" t="s">
        <v>931</v>
      </c>
      <c r="Q663" t="s">
        <v>1221</v>
      </c>
      <c r="R663" t="str">
        <f t="shared" si="21"/>
        <v>Sim</v>
      </c>
      <c r="S663" t="s">
        <v>1221</v>
      </c>
      <c r="T663" t="s">
        <v>30</v>
      </c>
      <c r="U663" t="s">
        <v>274</v>
      </c>
      <c r="V663" s="3">
        <v>2000</v>
      </c>
      <c r="W663" t="s">
        <v>166</v>
      </c>
      <c r="X663" s="3">
        <v>2000</v>
      </c>
    </row>
    <row r="664" spans="1:24" s="2" customFormat="1" x14ac:dyDescent="0.2">
      <c r="A664" s="2">
        <v>664</v>
      </c>
      <c r="B664" t="s">
        <v>1223</v>
      </c>
      <c r="C664" t="s">
        <v>1224</v>
      </c>
      <c r="D664" t="s">
        <v>1225</v>
      </c>
      <c r="E664" t="s">
        <v>30</v>
      </c>
      <c r="F664" t="s">
        <v>24</v>
      </c>
      <c r="G664" t="s">
        <v>25</v>
      </c>
      <c r="H664" t="str">
        <f t="shared" si="20"/>
        <v xml:space="preserve">RT GABRIELA BORGES - PEDIDO 199024-1 | Recorrência: | Observações: </v>
      </c>
      <c r="I664" t="s">
        <v>491</v>
      </c>
      <c r="J664" s="4">
        <v>872.56</v>
      </c>
      <c r="K664" s="4">
        <v>550852.55000000005</v>
      </c>
      <c r="L664" t="s">
        <v>27</v>
      </c>
      <c r="M664" s="4">
        <v>872.56</v>
      </c>
      <c r="N664" s="3">
        <v>0</v>
      </c>
      <c r="O664" t="s">
        <v>1221</v>
      </c>
      <c r="P664" t="s">
        <v>1176</v>
      </c>
      <c r="Q664" t="s">
        <v>1221</v>
      </c>
      <c r="R664" t="str">
        <f t="shared" si="21"/>
        <v>Sim</v>
      </c>
      <c r="S664" t="s">
        <v>1221</v>
      </c>
      <c r="T664" t="s">
        <v>30</v>
      </c>
      <c r="U664" t="s">
        <v>49</v>
      </c>
      <c r="V664" s="3">
        <v>872.56</v>
      </c>
      <c r="W664" t="s">
        <v>494</v>
      </c>
      <c r="X664" s="3">
        <v>872.56</v>
      </c>
    </row>
    <row r="665" spans="1:24" s="2" customFormat="1" x14ac:dyDescent="0.2">
      <c r="A665">
        <v>665</v>
      </c>
      <c r="B665" t="s">
        <v>1227</v>
      </c>
      <c r="C665" t="s">
        <v>849</v>
      </c>
      <c r="D665" t="s">
        <v>1228</v>
      </c>
      <c r="E665" t="s">
        <v>30</v>
      </c>
      <c r="F665" t="s">
        <v>24</v>
      </c>
      <c r="G665" t="s">
        <v>25</v>
      </c>
      <c r="H665" t="str">
        <f t="shared" si="20"/>
        <v xml:space="preserve">RT PATRICIA MEIRELLES PEDIDO6452 / PEDIDOS: 6338 E 6346 | Recorrência: | Observações: </v>
      </c>
      <c r="I665" t="s">
        <v>991</v>
      </c>
      <c r="J665" s="4">
        <v>1663.37</v>
      </c>
      <c r="K665" s="4">
        <v>552515.92000000004</v>
      </c>
      <c r="L665" t="s">
        <v>27</v>
      </c>
      <c r="M665" s="4">
        <v>1663.37</v>
      </c>
      <c r="N665" s="3">
        <v>0</v>
      </c>
      <c r="O665" t="s">
        <v>1226</v>
      </c>
      <c r="P665" t="s">
        <v>1086</v>
      </c>
      <c r="Q665" t="s">
        <v>1144</v>
      </c>
      <c r="R665" t="str">
        <f t="shared" si="21"/>
        <v>Sim</v>
      </c>
      <c r="S665" t="s">
        <v>1144</v>
      </c>
      <c r="T665" t="s">
        <v>30</v>
      </c>
      <c r="U665" t="s">
        <v>49</v>
      </c>
      <c r="V665" s="3">
        <v>1663.37</v>
      </c>
      <c r="W665" t="s">
        <v>494</v>
      </c>
      <c r="X665" s="3">
        <v>1663.37</v>
      </c>
    </row>
    <row r="666" spans="1:24" s="2" customFormat="1" x14ac:dyDescent="0.2">
      <c r="A666" s="2">
        <v>666</v>
      </c>
      <c r="B666"/>
      <c r="C666" t="s">
        <v>297</v>
      </c>
      <c r="D666" t="s">
        <v>481</v>
      </c>
      <c r="E666" t="s">
        <v>634</v>
      </c>
      <c r="F666" t="s">
        <v>63</v>
      </c>
      <c r="G666" t="s">
        <v>25</v>
      </c>
      <c r="H666" t="str">
        <f t="shared" si="20"/>
        <v>DARF_COFINS | Recorrência:6/12 | Observações: ATENÇÃO:
VENCIMENTO TODO DIA 25, EM CASO DE FERIADO/FINAL DE SEMANA O PAGAMENTO DEVERÁ SER ANTECIPADO OU SERÁ CONSIDERADO</v>
      </c>
      <c r="I666" t="s">
        <v>26</v>
      </c>
      <c r="J666" s="5">
        <v>-53.44</v>
      </c>
      <c r="K666" s="4">
        <v>552462.48</v>
      </c>
      <c r="L666" t="s">
        <v>27</v>
      </c>
      <c r="M666" s="5">
        <v>-53.44</v>
      </c>
      <c r="N666" s="3">
        <v>0</v>
      </c>
      <c r="O666" t="s">
        <v>1229</v>
      </c>
      <c r="P666" t="s">
        <v>1230</v>
      </c>
      <c r="Q666" t="s">
        <v>1229</v>
      </c>
      <c r="R666" t="str">
        <f t="shared" si="21"/>
        <v>Sim</v>
      </c>
      <c r="S666" t="s">
        <v>1229</v>
      </c>
      <c r="T666" t="s">
        <v>1110</v>
      </c>
      <c r="U666" t="s">
        <v>483</v>
      </c>
      <c r="V666" s="3">
        <v>-53.44</v>
      </c>
      <c r="W666" t="s">
        <v>190</v>
      </c>
      <c r="X666" s="3">
        <v>-53.44</v>
      </c>
    </row>
    <row r="667" spans="1:24" s="2" customFormat="1" x14ac:dyDescent="0.2">
      <c r="A667">
        <v>667</v>
      </c>
      <c r="B667" t="s">
        <v>1204</v>
      </c>
      <c r="C667" t="s">
        <v>1205</v>
      </c>
      <c r="D667" t="s">
        <v>1231</v>
      </c>
      <c r="E667" t="s">
        <v>30</v>
      </c>
      <c r="F667" t="s">
        <v>24</v>
      </c>
      <c r="G667" t="s">
        <v>25</v>
      </c>
      <c r="H667" t="str">
        <f t="shared" si="20"/>
        <v>RT ANA CAROLINA BERTONI + RT RICARDO GALVÃO | Recorrência: | Observações: Ana Carolina Bertoni - Pedido: 00637387
Ana Carolina Bertoni - Pedido: 00645103
Ricardo Galvão (Cris Uflacker) - Pedido: 00655400</v>
      </c>
      <c r="I667" t="s">
        <v>491</v>
      </c>
      <c r="J667" s="4">
        <v>382.23</v>
      </c>
      <c r="K667" s="4">
        <v>552844.71</v>
      </c>
      <c r="L667" t="s">
        <v>27</v>
      </c>
      <c r="M667" s="4">
        <v>382.23</v>
      </c>
      <c r="N667" s="3">
        <v>0</v>
      </c>
      <c r="O667" t="s">
        <v>1229</v>
      </c>
      <c r="P667" t="s">
        <v>1101</v>
      </c>
      <c r="Q667" t="s">
        <v>1229</v>
      </c>
      <c r="R667" t="str">
        <f t="shared" si="21"/>
        <v>Sim</v>
      </c>
      <c r="S667" t="s">
        <v>1229</v>
      </c>
      <c r="T667" t="s">
        <v>1232</v>
      </c>
      <c r="U667" t="s">
        <v>49</v>
      </c>
      <c r="V667" s="3">
        <v>382.23</v>
      </c>
      <c r="W667" t="s">
        <v>494</v>
      </c>
      <c r="X667" s="3">
        <v>382.23</v>
      </c>
    </row>
    <row r="668" spans="1:24" s="2" customFormat="1" x14ac:dyDescent="0.2">
      <c r="A668" s="2">
        <v>668</v>
      </c>
      <c r="B668"/>
      <c r="C668" t="s">
        <v>153</v>
      </c>
      <c r="D668" t="s">
        <v>1234</v>
      </c>
      <c r="E668" t="s">
        <v>778</v>
      </c>
      <c r="F668" t="s">
        <v>63</v>
      </c>
      <c r="G668" t="s">
        <v>25</v>
      </c>
      <c r="H668" t="str">
        <f t="shared" si="20"/>
        <v xml:space="preserve">FGTS &gt; Recolhimento referente a Julho | Recorrência:8/12 | Observações: </v>
      </c>
      <c r="I668" t="s">
        <v>26</v>
      </c>
      <c r="J668" s="5">
        <v>-134.57</v>
      </c>
      <c r="K668" s="4">
        <v>552710.14</v>
      </c>
      <c r="L668" t="s">
        <v>27</v>
      </c>
      <c r="M668" s="5">
        <v>-134.57</v>
      </c>
      <c r="N668" s="3">
        <v>0</v>
      </c>
      <c r="O668" t="s">
        <v>1233</v>
      </c>
      <c r="P668" t="s">
        <v>1065</v>
      </c>
      <c r="Q668" t="s">
        <v>1070</v>
      </c>
      <c r="R668" t="str">
        <f t="shared" si="21"/>
        <v>Sim</v>
      </c>
      <c r="S668" t="s">
        <v>1070</v>
      </c>
      <c r="T668" t="s">
        <v>30</v>
      </c>
      <c r="U668" t="s">
        <v>651</v>
      </c>
      <c r="V668" s="3">
        <v>-134.57</v>
      </c>
      <c r="W668" t="s">
        <v>376</v>
      </c>
      <c r="X668" s="3">
        <v>-134.57</v>
      </c>
    </row>
    <row r="669" spans="1:24" s="2" customFormat="1" x14ac:dyDescent="0.2">
      <c r="A669">
        <v>669</v>
      </c>
      <c r="B669"/>
      <c r="C669" t="s">
        <v>297</v>
      </c>
      <c r="D669" t="s">
        <v>684</v>
      </c>
      <c r="E669" t="s">
        <v>730</v>
      </c>
      <c r="F669" t="s">
        <v>63</v>
      </c>
      <c r="G669" t="s">
        <v>25</v>
      </c>
      <c r="H669" t="str">
        <f t="shared" si="20"/>
        <v xml:space="preserve">DARF_ PIS | Recorrência:7/12 | Observações: </v>
      </c>
      <c r="I669" t="s">
        <v>755</v>
      </c>
      <c r="J669" s="5">
        <v>-16.36</v>
      </c>
      <c r="K669" s="4">
        <v>552693.78</v>
      </c>
      <c r="L669" t="s">
        <v>27</v>
      </c>
      <c r="M669" s="5">
        <v>-16.36</v>
      </c>
      <c r="N669" s="3">
        <v>0</v>
      </c>
      <c r="O669" t="s">
        <v>1233</v>
      </c>
      <c r="P669" t="s">
        <v>1037</v>
      </c>
      <c r="Q669" t="s">
        <v>1154</v>
      </c>
      <c r="R669" t="str">
        <f t="shared" si="21"/>
        <v>Sim</v>
      </c>
      <c r="S669" t="s">
        <v>1154</v>
      </c>
      <c r="T669" t="s">
        <v>30</v>
      </c>
      <c r="U669" t="s">
        <v>483</v>
      </c>
      <c r="V669" s="3">
        <v>-16.36</v>
      </c>
      <c r="W669" t="s">
        <v>376</v>
      </c>
      <c r="X669" s="3">
        <v>-16.36</v>
      </c>
    </row>
    <row r="670" spans="1:24" s="2" customFormat="1" x14ac:dyDescent="0.2">
      <c r="A670" s="2">
        <v>670</v>
      </c>
      <c r="B670" t="s">
        <v>1048</v>
      </c>
      <c r="C670" t="s">
        <v>1049</v>
      </c>
      <c r="D670" t="s">
        <v>1235</v>
      </c>
      <c r="E670" t="s">
        <v>30</v>
      </c>
      <c r="F670" t="s">
        <v>24</v>
      </c>
      <c r="G670" t="s">
        <v>25</v>
      </c>
      <c r="H670" t="str">
        <f t="shared" si="20"/>
        <v xml:space="preserve">RT - 04 DE 05  DANIELA CALITO E WILLIAM GUIDINI | Recorrência: | Observações: </v>
      </c>
      <c r="I670" t="s">
        <v>491</v>
      </c>
      <c r="J670" s="4">
        <v>2500</v>
      </c>
      <c r="K670" s="4">
        <v>555193.78</v>
      </c>
      <c r="L670" t="s">
        <v>27</v>
      </c>
      <c r="M670" s="4">
        <v>2500</v>
      </c>
      <c r="N670" s="3">
        <v>0</v>
      </c>
      <c r="O670" t="s">
        <v>1233</v>
      </c>
      <c r="P670" t="s">
        <v>1236</v>
      </c>
      <c r="Q670" t="s">
        <v>1233</v>
      </c>
      <c r="R670" t="str">
        <f t="shared" si="21"/>
        <v>Sim</v>
      </c>
      <c r="S670" t="s">
        <v>1233</v>
      </c>
      <c r="T670" t="s">
        <v>30</v>
      </c>
      <c r="U670" t="s">
        <v>49</v>
      </c>
      <c r="V670" s="3">
        <v>2500</v>
      </c>
      <c r="W670" t="s">
        <v>494</v>
      </c>
      <c r="X670" s="3">
        <v>2500</v>
      </c>
    </row>
    <row r="671" spans="1:24" s="2" customFormat="1" x14ac:dyDescent="0.2">
      <c r="A671">
        <v>671</v>
      </c>
      <c r="B671" t="s">
        <v>1048</v>
      </c>
      <c r="C671" t="s">
        <v>1049</v>
      </c>
      <c r="D671" t="s">
        <v>1237</v>
      </c>
      <c r="E671" t="s">
        <v>30</v>
      </c>
      <c r="F671" t="s">
        <v>24</v>
      </c>
      <c r="G671" t="s">
        <v>25</v>
      </c>
      <c r="H671" t="str">
        <f t="shared" si="20"/>
        <v xml:space="preserve">RT - 02 DE 3  - CLAUDIA E RONEI | Recorrência: | Observações: </v>
      </c>
      <c r="I671" t="s">
        <v>491</v>
      </c>
      <c r="J671" s="4">
        <v>2500</v>
      </c>
      <c r="K671" s="4">
        <v>557693.78</v>
      </c>
      <c r="L671" t="s">
        <v>27</v>
      </c>
      <c r="M671" s="4">
        <v>2500</v>
      </c>
      <c r="N671" s="3">
        <v>0</v>
      </c>
      <c r="O671" t="s">
        <v>1233</v>
      </c>
      <c r="P671" t="s">
        <v>1042</v>
      </c>
      <c r="Q671" t="s">
        <v>1233</v>
      </c>
      <c r="R671" t="str">
        <f t="shared" si="21"/>
        <v>Sim</v>
      </c>
      <c r="S671" t="s">
        <v>1233</v>
      </c>
      <c r="T671" t="s">
        <v>30</v>
      </c>
      <c r="U671" t="s">
        <v>49</v>
      </c>
      <c r="V671" s="3">
        <v>2500</v>
      </c>
      <c r="W671" t="s">
        <v>494</v>
      </c>
      <c r="X671" s="3">
        <v>2500</v>
      </c>
    </row>
    <row r="672" spans="1:24" s="2" customFormat="1" x14ac:dyDescent="0.2">
      <c r="A672" s="2">
        <v>672</v>
      </c>
      <c r="B672"/>
      <c r="C672" t="s">
        <v>710</v>
      </c>
      <c r="D672" t="s">
        <v>711</v>
      </c>
      <c r="E672" t="s">
        <v>730</v>
      </c>
      <c r="F672" t="s">
        <v>63</v>
      </c>
      <c r="G672" t="s">
        <v>25</v>
      </c>
      <c r="H672" t="str">
        <f t="shared" si="20"/>
        <v xml:space="preserve">ELETROPAULO_ENERGIA _ITAIM | Recorrência:7/12 | Observações: </v>
      </c>
      <c r="I672" t="s">
        <v>26</v>
      </c>
      <c r="J672" s="5">
        <v>-343.17</v>
      </c>
      <c r="K672" s="4">
        <v>557350.61</v>
      </c>
      <c r="L672" t="s">
        <v>27</v>
      </c>
      <c r="M672" s="5">
        <v>-343.17</v>
      </c>
      <c r="N672" s="3">
        <v>0</v>
      </c>
      <c r="O672" t="s">
        <v>1154</v>
      </c>
      <c r="P672" t="s">
        <v>982</v>
      </c>
      <c r="Q672" t="s">
        <v>1144</v>
      </c>
      <c r="R672" t="str">
        <f t="shared" si="21"/>
        <v>Sim</v>
      </c>
      <c r="S672" t="s">
        <v>1144</v>
      </c>
      <c r="T672" t="s">
        <v>30</v>
      </c>
      <c r="U672" t="s">
        <v>125</v>
      </c>
      <c r="V672" s="3">
        <v>-343.17</v>
      </c>
      <c r="W672" t="s">
        <v>324</v>
      </c>
      <c r="X672" s="3">
        <v>-343.17</v>
      </c>
    </row>
    <row r="673" spans="1:24" s="2" customFormat="1" x14ac:dyDescent="0.2">
      <c r="A673">
        <v>673</v>
      </c>
      <c r="B673"/>
      <c r="C673" t="s">
        <v>828</v>
      </c>
      <c r="D673" t="s">
        <v>830</v>
      </c>
      <c r="E673" t="s">
        <v>1238</v>
      </c>
      <c r="F673" t="s">
        <v>63</v>
      </c>
      <c r="G673" t="s">
        <v>25</v>
      </c>
      <c r="H673" t="str">
        <f t="shared" si="20"/>
        <v xml:space="preserve">PREFEITURA DO MUNICIPIO DE BERTIOGA | Recorrência:6/41 | Observações: REF.02 PAGAMENTOS </v>
      </c>
      <c r="I673" t="s">
        <v>26</v>
      </c>
      <c r="J673" s="5">
        <v>-211.18</v>
      </c>
      <c r="K673" s="4">
        <v>557139.43000000005</v>
      </c>
      <c r="L673" t="s">
        <v>27</v>
      </c>
      <c r="M673" s="5">
        <v>-211.18</v>
      </c>
      <c r="N673" s="3">
        <v>0</v>
      </c>
      <c r="O673" t="s">
        <v>1154</v>
      </c>
      <c r="P673" t="s">
        <v>492</v>
      </c>
      <c r="Q673" t="s">
        <v>1239</v>
      </c>
      <c r="R673" t="str">
        <f t="shared" si="21"/>
        <v>Sim</v>
      </c>
      <c r="S673" t="s">
        <v>1239</v>
      </c>
      <c r="T673" t="s">
        <v>831</v>
      </c>
      <c r="U673" t="s">
        <v>832</v>
      </c>
      <c r="V673" s="3">
        <v>-211.18</v>
      </c>
    </row>
    <row r="674" spans="1:24" s="2" customFormat="1" x14ac:dyDescent="0.2">
      <c r="A674" s="2">
        <v>674</v>
      </c>
      <c r="B674" t="s">
        <v>1240</v>
      </c>
      <c r="C674" t="s">
        <v>211</v>
      </c>
      <c r="D674" t="s">
        <v>1241</v>
      </c>
      <c r="E674" t="s">
        <v>30</v>
      </c>
      <c r="F674" t="s">
        <v>24</v>
      </c>
      <c r="G674" t="s">
        <v>25</v>
      </c>
      <c r="H674" t="str">
        <f t="shared" si="20"/>
        <v>RT - GABRIELA BORGES PEDIDO -  1461 | Recorrência: | Observações: RT APÓS 2A PAGTO PARC DO CLIENTE</v>
      </c>
      <c r="I674" t="s">
        <v>26</v>
      </c>
      <c r="J674" s="4">
        <v>3293</v>
      </c>
      <c r="K674" s="4">
        <v>560432.43000000005</v>
      </c>
      <c r="L674" t="s">
        <v>27</v>
      </c>
      <c r="M674" s="4">
        <v>3293</v>
      </c>
      <c r="N674" s="3">
        <v>0</v>
      </c>
      <c r="O674" t="s">
        <v>1154</v>
      </c>
      <c r="P674" t="s">
        <v>914</v>
      </c>
      <c r="Q674" t="s">
        <v>1239</v>
      </c>
      <c r="R674" t="str">
        <f t="shared" si="21"/>
        <v>Sim</v>
      </c>
      <c r="S674" t="s">
        <v>1239</v>
      </c>
      <c r="T674" t="s">
        <v>1242</v>
      </c>
      <c r="U674" t="s">
        <v>49</v>
      </c>
      <c r="V674" s="3">
        <v>3293</v>
      </c>
      <c r="W674" t="s">
        <v>494</v>
      </c>
      <c r="X674" s="3">
        <v>3293</v>
      </c>
    </row>
    <row r="675" spans="1:24" s="2" customFormat="1" x14ac:dyDescent="0.2">
      <c r="A675">
        <v>675</v>
      </c>
      <c r="B675" t="s">
        <v>1243</v>
      </c>
      <c r="C675" t="s">
        <v>1244</v>
      </c>
      <c r="D675" t="s">
        <v>1245</v>
      </c>
      <c r="E675" t="s">
        <v>30</v>
      </c>
      <c r="F675" t="s">
        <v>24</v>
      </c>
      <c r="G675" t="s">
        <v>25</v>
      </c>
      <c r="H675" t="str">
        <f t="shared" si="20"/>
        <v xml:space="preserve">RT DANIELA CALITO E WILLIAM GUIDINI | Recorrência: | Observações: </v>
      </c>
      <c r="I675" t="s">
        <v>491</v>
      </c>
      <c r="J675" s="4">
        <v>1585.85</v>
      </c>
      <c r="K675" s="4">
        <v>562018.28</v>
      </c>
      <c r="L675" t="s">
        <v>27</v>
      </c>
      <c r="M675" s="4">
        <v>1585.85</v>
      </c>
      <c r="N675" s="3">
        <v>0</v>
      </c>
      <c r="O675" t="s">
        <v>1154</v>
      </c>
      <c r="P675" t="s">
        <v>1216</v>
      </c>
      <c r="Q675" t="s">
        <v>1239</v>
      </c>
      <c r="R675" t="str">
        <f t="shared" si="21"/>
        <v>Sim</v>
      </c>
      <c r="S675" t="s">
        <v>1239</v>
      </c>
      <c r="T675" t="s">
        <v>30</v>
      </c>
      <c r="U675" t="s">
        <v>49</v>
      </c>
      <c r="V675" s="3">
        <v>1585.85</v>
      </c>
      <c r="W675" t="s">
        <v>494</v>
      </c>
      <c r="X675" s="3">
        <v>1585.85</v>
      </c>
    </row>
    <row r="676" spans="1:24" s="2" customFormat="1" x14ac:dyDescent="0.2">
      <c r="A676" s="2">
        <v>676</v>
      </c>
      <c r="B676"/>
      <c r="C676" t="s">
        <v>992</v>
      </c>
      <c r="D676" t="s">
        <v>1246</v>
      </c>
      <c r="E676" t="s">
        <v>95</v>
      </c>
      <c r="F676" t="s">
        <v>24</v>
      </c>
      <c r="G676" t="s">
        <v>25</v>
      </c>
      <c r="H676" t="str">
        <f t="shared" si="20"/>
        <v>CONSULTORIA PROJETO MN ARQUITETURA E INTERIORES LTDA | Recorrência:2/2 | Observações: QUARTO ALBERTO</v>
      </c>
      <c r="I676" t="s">
        <v>491</v>
      </c>
      <c r="J676" s="4">
        <v>3000</v>
      </c>
      <c r="K676" s="4">
        <v>565018.28</v>
      </c>
      <c r="L676" t="s">
        <v>27</v>
      </c>
      <c r="M676" s="4">
        <v>3000</v>
      </c>
      <c r="N676" s="3">
        <v>0</v>
      </c>
      <c r="O676" t="s">
        <v>1154</v>
      </c>
      <c r="P676" t="s">
        <v>963</v>
      </c>
      <c r="Q676" t="s">
        <v>1247</v>
      </c>
      <c r="R676" t="str">
        <f t="shared" si="21"/>
        <v>Sim</v>
      </c>
      <c r="S676" t="s">
        <v>1247</v>
      </c>
      <c r="T676" t="s">
        <v>993</v>
      </c>
      <c r="U676" t="s">
        <v>233</v>
      </c>
      <c r="V676" s="3">
        <v>3000</v>
      </c>
      <c r="W676" t="s">
        <v>32</v>
      </c>
      <c r="X676" s="3">
        <v>3000</v>
      </c>
    </row>
    <row r="677" spans="1:24" s="2" customFormat="1" x14ac:dyDescent="0.2">
      <c r="A677">
        <v>677</v>
      </c>
      <c r="B677"/>
      <c r="C677" t="s">
        <v>917</v>
      </c>
      <c r="D677" t="s">
        <v>1060</v>
      </c>
      <c r="E677" t="s">
        <v>34</v>
      </c>
      <c r="F677" t="s">
        <v>24</v>
      </c>
      <c r="G677" t="s">
        <v>25</v>
      </c>
      <c r="H677" t="str">
        <f t="shared" si="20"/>
        <v>Gerenciamento de Projeto MN Arquitetura e Interiores Ltda. | Recorrência:2/4 | Observações: Pagamento referente Gerenciamento</v>
      </c>
      <c r="I677" t="s">
        <v>491</v>
      </c>
      <c r="J677" s="4">
        <v>4000</v>
      </c>
      <c r="K677" s="4">
        <v>569018.28</v>
      </c>
      <c r="L677" t="s">
        <v>27</v>
      </c>
      <c r="M677" s="4">
        <v>4000</v>
      </c>
      <c r="N677" s="3">
        <v>0</v>
      </c>
      <c r="O677" t="s">
        <v>1239</v>
      </c>
      <c r="P677" t="s">
        <v>908</v>
      </c>
      <c r="Q677" t="s">
        <v>1152</v>
      </c>
      <c r="R677" t="str">
        <f t="shared" si="21"/>
        <v>Sim</v>
      </c>
      <c r="S677" t="s">
        <v>1152</v>
      </c>
      <c r="T677" t="s">
        <v>1160</v>
      </c>
      <c r="U677" t="s">
        <v>274</v>
      </c>
      <c r="V677" s="3">
        <v>4000</v>
      </c>
      <c r="W677" t="s">
        <v>1161</v>
      </c>
      <c r="X677" s="3">
        <v>4000</v>
      </c>
    </row>
    <row r="678" spans="1:24" s="2" customFormat="1" x14ac:dyDescent="0.2">
      <c r="A678" s="2">
        <v>678</v>
      </c>
      <c r="B678" t="s">
        <v>1248</v>
      </c>
      <c r="C678" t="s">
        <v>1249</v>
      </c>
      <c r="D678" t="s">
        <v>1250</v>
      </c>
      <c r="E678" t="s">
        <v>30</v>
      </c>
      <c r="F678" t="s">
        <v>24</v>
      </c>
      <c r="G678" t="s">
        <v>25</v>
      </c>
      <c r="H678" t="str">
        <f t="shared" si="20"/>
        <v>RT - DANIELA CALITO E WILLIAM PEDIDO 108726 | Recorrência: | Observações: % a confirmar</v>
      </c>
      <c r="I678" t="s">
        <v>491</v>
      </c>
      <c r="J678" s="4">
        <v>2130</v>
      </c>
      <c r="K678" s="4">
        <v>571148.28</v>
      </c>
      <c r="L678" t="s">
        <v>27</v>
      </c>
      <c r="M678" s="4">
        <v>2130</v>
      </c>
      <c r="N678" s="3">
        <v>0</v>
      </c>
      <c r="O678" t="s">
        <v>1239</v>
      </c>
      <c r="P678" t="s">
        <v>788</v>
      </c>
      <c r="Q678" t="s">
        <v>1239</v>
      </c>
      <c r="R678" t="str">
        <f t="shared" si="21"/>
        <v>Sim</v>
      </c>
      <c r="S678" t="s">
        <v>1239</v>
      </c>
      <c r="T678" t="s">
        <v>1251</v>
      </c>
      <c r="U678" t="s">
        <v>49</v>
      </c>
      <c r="V678" s="3">
        <v>2130</v>
      </c>
      <c r="W678" t="s">
        <v>49</v>
      </c>
      <c r="X678" s="3">
        <v>2130</v>
      </c>
    </row>
    <row r="679" spans="1:24" s="2" customFormat="1" x14ac:dyDescent="0.2">
      <c r="A679">
        <v>679</v>
      </c>
      <c r="B679" t="s">
        <v>1133</v>
      </c>
      <c r="C679" t="s">
        <v>1134</v>
      </c>
      <c r="D679" t="s">
        <v>1252</v>
      </c>
      <c r="E679" t="s">
        <v>30</v>
      </c>
      <c r="F679" t="s">
        <v>24</v>
      </c>
      <c r="G679" t="s">
        <v>25</v>
      </c>
      <c r="H679" t="str">
        <f t="shared" si="20"/>
        <v xml:space="preserve">RT STEPHANIE E ENRICO -  PEDIDO 266983 | Recorrência: | Observações: </v>
      </c>
      <c r="I679" t="s">
        <v>991</v>
      </c>
      <c r="J679" s="4">
        <v>300</v>
      </c>
      <c r="K679" s="4">
        <v>571448.28</v>
      </c>
      <c r="L679" t="s">
        <v>27</v>
      </c>
      <c r="M679" s="4">
        <v>300</v>
      </c>
      <c r="N679" s="3">
        <v>0</v>
      </c>
      <c r="O679" t="s">
        <v>1239</v>
      </c>
      <c r="P679" t="s">
        <v>1233</v>
      </c>
      <c r="Q679" t="s">
        <v>1239</v>
      </c>
      <c r="R679" t="str">
        <f t="shared" si="21"/>
        <v>Sim</v>
      </c>
      <c r="S679" t="s">
        <v>1239</v>
      </c>
      <c r="T679" t="s">
        <v>30</v>
      </c>
      <c r="U679" t="s">
        <v>49</v>
      </c>
      <c r="V679" s="3">
        <v>300</v>
      </c>
      <c r="W679" t="s">
        <v>494</v>
      </c>
      <c r="X679" s="3">
        <v>300</v>
      </c>
    </row>
    <row r="680" spans="1:24" s="2" customFormat="1" x14ac:dyDescent="0.2">
      <c r="A680" s="2">
        <v>680</v>
      </c>
      <c r="B680"/>
      <c r="C680" t="s">
        <v>1253</v>
      </c>
      <c r="D680" t="s">
        <v>1254</v>
      </c>
      <c r="E680" t="s">
        <v>30</v>
      </c>
      <c r="F680" t="s">
        <v>24</v>
      </c>
      <c r="G680" t="s">
        <v>25</v>
      </c>
      <c r="H680" t="str">
        <f t="shared" si="20"/>
        <v>1/2 - PROJETO COPAN MN ARQUITETURA  E INTERIORES  1/2 | Recorrência: | Observações: 1ª TRANSFERÊNCIA REALIZADA POR : MARCELO DI GENARO</v>
      </c>
      <c r="I680" t="s">
        <v>991</v>
      </c>
      <c r="J680" s="4">
        <v>3500</v>
      </c>
      <c r="K680" s="4">
        <v>574948.28</v>
      </c>
      <c r="L680" t="s">
        <v>27</v>
      </c>
      <c r="M680" s="4">
        <v>3500</v>
      </c>
      <c r="N680" s="3">
        <v>0</v>
      </c>
      <c r="O680" t="s">
        <v>1239</v>
      </c>
      <c r="P680" t="s">
        <v>1239</v>
      </c>
      <c r="Q680" t="s">
        <v>1239</v>
      </c>
      <c r="R680" t="str">
        <f t="shared" si="21"/>
        <v>Sim</v>
      </c>
      <c r="S680" t="s">
        <v>1239</v>
      </c>
      <c r="T680" t="s">
        <v>1255</v>
      </c>
      <c r="U680" t="s">
        <v>40</v>
      </c>
      <c r="V680" s="3">
        <v>3500</v>
      </c>
      <c r="W680" t="s">
        <v>32</v>
      </c>
      <c r="X680" s="3">
        <v>3500</v>
      </c>
    </row>
    <row r="681" spans="1:24" s="2" customFormat="1" x14ac:dyDescent="0.2">
      <c r="A681">
        <v>681</v>
      </c>
      <c r="B681"/>
      <c r="C681" t="s">
        <v>1256</v>
      </c>
      <c r="D681" t="s">
        <v>1257</v>
      </c>
      <c r="E681" t="s">
        <v>30</v>
      </c>
      <c r="F681" t="s">
        <v>24</v>
      </c>
      <c r="G681" t="s">
        <v>25</v>
      </c>
      <c r="H681" t="str">
        <f t="shared" si="20"/>
        <v>1/3 - PAGAMENTO DE PROJETO  1/3 | Recorrência: | Observações: O VALOR DO GERENCIAMENTO JÁ ESTÁ INCLUSO NO VALOR DO PROJETO.</v>
      </c>
      <c r="I681" t="s">
        <v>1113</v>
      </c>
      <c r="J681" s="4">
        <v>7200</v>
      </c>
      <c r="K681" s="4">
        <v>582148.28</v>
      </c>
      <c r="L681" t="s">
        <v>27</v>
      </c>
      <c r="M681" s="4">
        <v>7200</v>
      </c>
      <c r="N681" s="3">
        <v>0</v>
      </c>
      <c r="O681" t="s">
        <v>1176</v>
      </c>
      <c r="P681" t="s">
        <v>1176</v>
      </c>
      <c r="Q681" t="s">
        <v>1176</v>
      </c>
      <c r="R681" t="str">
        <f t="shared" si="21"/>
        <v>Sim</v>
      </c>
      <c r="S681" t="s">
        <v>1176</v>
      </c>
      <c r="T681" t="s">
        <v>1258</v>
      </c>
      <c r="U681" t="s">
        <v>1259</v>
      </c>
      <c r="V681" s="3">
        <v>7200</v>
      </c>
      <c r="W681" t="s">
        <v>32</v>
      </c>
      <c r="X681" s="3">
        <v>7200</v>
      </c>
    </row>
    <row r="682" spans="1:24" s="2" customFormat="1" x14ac:dyDescent="0.2">
      <c r="A682" s="2">
        <v>682</v>
      </c>
      <c r="B682"/>
      <c r="C682" t="s">
        <v>153</v>
      </c>
      <c r="D682" t="s">
        <v>151</v>
      </c>
      <c r="E682" t="s">
        <v>853</v>
      </c>
      <c r="F682" t="s">
        <v>63</v>
      </c>
      <c r="G682" t="s">
        <v>25</v>
      </c>
      <c r="H682" t="str">
        <f t="shared" si="20"/>
        <v xml:space="preserve">SODEXO - Eliane  | Recorrência:9/12 | Observações: </v>
      </c>
      <c r="I682" t="s">
        <v>26</v>
      </c>
      <c r="J682" s="5">
        <v>-610.04999999999995</v>
      </c>
      <c r="K682" s="4">
        <v>581538.23</v>
      </c>
      <c r="L682" t="s">
        <v>27</v>
      </c>
      <c r="M682" s="5">
        <v>-610.04999999999995</v>
      </c>
      <c r="N682" s="3">
        <v>0</v>
      </c>
      <c r="O682" t="s">
        <v>1176</v>
      </c>
      <c r="P682" t="s">
        <v>1151</v>
      </c>
      <c r="Q682" t="s">
        <v>1260</v>
      </c>
      <c r="R682" t="str">
        <f t="shared" si="21"/>
        <v>Sim</v>
      </c>
      <c r="S682" t="s">
        <v>1260</v>
      </c>
      <c r="T682" t="s">
        <v>30</v>
      </c>
      <c r="U682" t="s">
        <v>93</v>
      </c>
      <c r="V682" s="3">
        <v>-610.04999999999995</v>
      </c>
      <c r="W682" t="s">
        <v>577</v>
      </c>
      <c r="X682" s="3">
        <v>-610.04999999999995</v>
      </c>
    </row>
    <row r="683" spans="1:24" s="2" customFormat="1" x14ac:dyDescent="0.2">
      <c r="A683">
        <v>683</v>
      </c>
      <c r="B683"/>
      <c r="C683" t="s">
        <v>153</v>
      </c>
      <c r="D683" t="s">
        <v>636</v>
      </c>
      <c r="E683" t="s">
        <v>853</v>
      </c>
      <c r="F683" t="s">
        <v>63</v>
      </c>
      <c r="G683" t="s">
        <v>25</v>
      </c>
      <c r="H683" t="str">
        <f t="shared" si="20"/>
        <v xml:space="preserve">SALÁRIO ELIANE | Recorrência:9/12 | Observações: </v>
      </c>
      <c r="I683" t="s">
        <v>991</v>
      </c>
      <c r="J683" s="5">
        <v>-1466.99</v>
      </c>
      <c r="K683" s="4">
        <v>580071.24</v>
      </c>
      <c r="L683" t="s">
        <v>27</v>
      </c>
      <c r="M683" s="5">
        <v>-1466.99</v>
      </c>
      <c r="N683" s="3">
        <v>0</v>
      </c>
      <c r="O683" t="s">
        <v>1176</v>
      </c>
      <c r="P683" t="s">
        <v>1144</v>
      </c>
      <c r="Q683" t="s">
        <v>1102</v>
      </c>
      <c r="R683" t="str">
        <f t="shared" si="21"/>
        <v>Sim</v>
      </c>
      <c r="S683" t="s">
        <v>1102</v>
      </c>
      <c r="T683" t="s">
        <v>30</v>
      </c>
      <c r="U683" t="s">
        <v>323</v>
      </c>
      <c r="V683" s="3">
        <v>-1466.99</v>
      </c>
      <c r="W683" t="s">
        <v>324</v>
      </c>
      <c r="X683" s="3">
        <v>-1466.99</v>
      </c>
    </row>
    <row r="684" spans="1:24" s="2" customFormat="1" x14ac:dyDescent="0.2">
      <c r="A684" s="2">
        <v>684</v>
      </c>
      <c r="B684"/>
      <c r="C684" t="s">
        <v>574</v>
      </c>
      <c r="D684" t="s">
        <v>575</v>
      </c>
      <c r="E684" t="s">
        <v>910</v>
      </c>
      <c r="F684" t="s">
        <v>63</v>
      </c>
      <c r="G684" t="s">
        <v>25</v>
      </c>
      <c r="H684" t="str">
        <f t="shared" si="20"/>
        <v>ALUGUEL+CONDOMINIO+IPTU | Recorrência:10/12 | Observações: REF: 08/21 _VENC 09/22</v>
      </c>
      <c r="I684" t="s">
        <v>26</v>
      </c>
      <c r="J684" s="5">
        <v>-5902</v>
      </c>
      <c r="K684" s="4">
        <v>574169.24</v>
      </c>
      <c r="L684" t="s">
        <v>27</v>
      </c>
      <c r="M684" s="5">
        <v>-5902</v>
      </c>
      <c r="N684" s="3">
        <v>0</v>
      </c>
      <c r="O684" t="s">
        <v>1176</v>
      </c>
      <c r="P684" t="s">
        <v>1226</v>
      </c>
      <c r="Q684" t="s">
        <v>1102</v>
      </c>
      <c r="R684" t="str">
        <f t="shared" si="21"/>
        <v>Sim</v>
      </c>
      <c r="S684" t="s">
        <v>1102</v>
      </c>
      <c r="T684" t="s">
        <v>1261</v>
      </c>
      <c r="U684" t="s">
        <v>571</v>
      </c>
      <c r="V684" s="3">
        <v>-5902</v>
      </c>
      <c r="W684" t="s">
        <v>577</v>
      </c>
      <c r="X684" s="3">
        <v>-5902</v>
      </c>
    </row>
    <row r="685" spans="1:24" s="2" customFormat="1" x14ac:dyDescent="0.2">
      <c r="A685">
        <v>685</v>
      </c>
      <c r="B685"/>
      <c r="C685" t="s">
        <v>153</v>
      </c>
      <c r="D685" t="s">
        <v>659</v>
      </c>
      <c r="E685" t="s">
        <v>1262</v>
      </c>
      <c r="F685" t="s">
        <v>63</v>
      </c>
      <c r="G685" t="s">
        <v>25</v>
      </c>
      <c r="H685" t="str">
        <f t="shared" si="20"/>
        <v xml:space="preserve">VALE TRANSPORTE _ELIANE | Recorrência:6/8 | Observações: </v>
      </c>
      <c r="I685" t="s">
        <v>491</v>
      </c>
      <c r="J685" s="5">
        <v>-369.6</v>
      </c>
      <c r="K685" s="4">
        <v>573799.64</v>
      </c>
      <c r="L685" t="s">
        <v>27</v>
      </c>
      <c r="M685" s="5">
        <v>-369.6</v>
      </c>
      <c r="N685" s="3">
        <v>0</v>
      </c>
      <c r="O685" t="s">
        <v>1176</v>
      </c>
      <c r="P685" t="s">
        <v>1176</v>
      </c>
      <c r="Q685" t="s">
        <v>1263</v>
      </c>
      <c r="R685" t="str">
        <f t="shared" si="21"/>
        <v>Sim</v>
      </c>
      <c r="S685" t="s">
        <v>1263</v>
      </c>
      <c r="T685" t="s">
        <v>30</v>
      </c>
      <c r="U685" t="s">
        <v>662</v>
      </c>
      <c r="V685" s="3">
        <v>-369.6</v>
      </c>
      <c r="W685" t="s">
        <v>577</v>
      </c>
      <c r="X685" s="3">
        <v>-369.6</v>
      </c>
    </row>
    <row r="686" spans="1:24" s="2" customFormat="1" x14ac:dyDescent="0.2">
      <c r="A686" s="2">
        <v>686</v>
      </c>
      <c r="B686"/>
      <c r="C686" t="s">
        <v>153</v>
      </c>
      <c r="D686" t="s">
        <v>1264</v>
      </c>
      <c r="E686" t="s">
        <v>853</v>
      </c>
      <c r="F686" t="s">
        <v>63</v>
      </c>
      <c r="G686" t="s">
        <v>25</v>
      </c>
      <c r="H686" t="str">
        <f t="shared" si="20"/>
        <v xml:space="preserve">LIMPEZA_JULIANA COSTA SOARES_4 DIÁRIAS | Recorrência:9/12 | Observações: </v>
      </c>
      <c r="I686" t="s">
        <v>26</v>
      </c>
      <c r="J686" s="5">
        <v>-600</v>
      </c>
      <c r="K686" s="4">
        <v>573199.64</v>
      </c>
      <c r="L686" t="s">
        <v>27</v>
      </c>
      <c r="M686" s="5">
        <v>-600</v>
      </c>
      <c r="N686" s="3">
        <v>0</v>
      </c>
      <c r="O686" t="s">
        <v>1176</v>
      </c>
      <c r="P686" t="s">
        <v>1102</v>
      </c>
      <c r="Q686" t="s">
        <v>1265</v>
      </c>
      <c r="R686" t="str">
        <f t="shared" si="21"/>
        <v>Sim</v>
      </c>
      <c r="S686" t="s">
        <v>1265</v>
      </c>
      <c r="T686" t="s">
        <v>30</v>
      </c>
      <c r="U686" t="s">
        <v>691</v>
      </c>
      <c r="V686" s="3">
        <v>-600</v>
      </c>
      <c r="W686" t="s">
        <v>324</v>
      </c>
      <c r="X686" s="3">
        <v>-600</v>
      </c>
    </row>
    <row r="687" spans="1:24" s="2" customFormat="1" x14ac:dyDescent="0.2">
      <c r="A687">
        <v>687</v>
      </c>
      <c r="B687"/>
      <c r="C687" t="s">
        <v>153</v>
      </c>
      <c r="D687" t="s">
        <v>1266</v>
      </c>
      <c r="E687" t="s">
        <v>30</v>
      </c>
      <c r="F687" t="s">
        <v>63</v>
      </c>
      <c r="G687" t="s">
        <v>25</v>
      </c>
      <c r="H687" t="str">
        <f t="shared" si="20"/>
        <v>2/5 - SALÁRIO - MARCELA S CAVALCANTE 2/5 | Recorrência: | Observações: Marcela Santana Cavalcante
CPF 469.884.048-13
Data Nasc - 25/12/99
Contato: 011 - 9-8216-5601
E-mail: ma.santana456@gmail.com
Dados Bancário:
Banco: Nubank
Ag: 0001
Cc: 47598749-6</v>
      </c>
      <c r="I687" t="s">
        <v>1113</v>
      </c>
      <c r="J687" s="5">
        <v>-2979.46</v>
      </c>
      <c r="K687" s="4">
        <v>570220.18000000005</v>
      </c>
      <c r="L687" t="s">
        <v>27</v>
      </c>
      <c r="M687" s="5">
        <v>-2979.46</v>
      </c>
      <c r="N687" s="3">
        <v>0</v>
      </c>
      <c r="O687" t="s">
        <v>1176</v>
      </c>
      <c r="P687" t="s">
        <v>1095</v>
      </c>
      <c r="Q687" t="s">
        <v>1176</v>
      </c>
      <c r="R687" t="str">
        <f t="shared" si="21"/>
        <v>Sim</v>
      </c>
      <c r="S687" t="s">
        <v>1176</v>
      </c>
      <c r="T687" t="s">
        <v>1163</v>
      </c>
      <c r="U687" t="s">
        <v>323</v>
      </c>
      <c r="V687" s="3">
        <v>-2979.46</v>
      </c>
      <c r="W687" t="s">
        <v>1164</v>
      </c>
      <c r="X687" s="3">
        <v>-2979.46</v>
      </c>
    </row>
    <row r="688" spans="1:24" s="2" customFormat="1" x14ac:dyDescent="0.2">
      <c r="A688" s="2">
        <v>688</v>
      </c>
      <c r="B688"/>
      <c r="C688" t="s">
        <v>153</v>
      </c>
      <c r="D688" t="s">
        <v>1044</v>
      </c>
      <c r="E688" t="s">
        <v>910</v>
      </c>
      <c r="F688" t="s">
        <v>63</v>
      </c>
      <c r="G688" t="s">
        <v>25</v>
      </c>
      <c r="H688" t="str">
        <f t="shared" si="20"/>
        <v xml:space="preserve">SALARIO FELIPE - ESTAGIÁRIO | Recorrência:10/12 | Observações: </v>
      </c>
      <c r="I688" t="s">
        <v>991</v>
      </c>
      <c r="J688" s="5">
        <v>-1831.95</v>
      </c>
      <c r="K688" s="4">
        <v>568388.23</v>
      </c>
      <c r="L688" t="s">
        <v>27</v>
      </c>
      <c r="M688" s="5">
        <v>-1831.95</v>
      </c>
      <c r="N688" s="3">
        <v>0</v>
      </c>
      <c r="O688" t="s">
        <v>1176</v>
      </c>
      <c r="P688" t="s">
        <v>1047</v>
      </c>
      <c r="Q688" t="s">
        <v>1176</v>
      </c>
      <c r="R688" t="str">
        <f t="shared" si="21"/>
        <v>Sim</v>
      </c>
      <c r="S688" t="s">
        <v>1176</v>
      </c>
      <c r="T688" t="s">
        <v>30</v>
      </c>
      <c r="U688" t="s">
        <v>323</v>
      </c>
      <c r="V688" s="3">
        <v>-1831.95</v>
      </c>
      <c r="W688" t="s">
        <v>324</v>
      </c>
      <c r="X688" s="3">
        <v>-1831.95</v>
      </c>
    </row>
    <row r="689" spans="1:24" s="2" customFormat="1" x14ac:dyDescent="0.2">
      <c r="A689">
        <v>689</v>
      </c>
      <c r="B689"/>
      <c r="C689" t="s">
        <v>153</v>
      </c>
      <c r="D689" t="s">
        <v>905</v>
      </c>
      <c r="E689" t="s">
        <v>1153</v>
      </c>
      <c r="F689" t="s">
        <v>63</v>
      </c>
      <c r="G689" t="s">
        <v>25</v>
      </c>
      <c r="H689" t="str">
        <f t="shared" si="20"/>
        <v xml:space="preserve">SALÁRIO JULYA | Recorrência:5/8 | Observações: </v>
      </c>
      <c r="I689" t="s">
        <v>26</v>
      </c>
      <c r="J689" s="5">
        <v>-3500</v>
      </c>
      <c r="K689" s="4">
        <v>564888.23</v>
      </c>
      <c r="L689" t="s">
        <v>27</v>
      </c>
      <c r="M689" s="5">
        <v>-3500</v>
      </c>
      <c r="N689" s="3">
        <v>0</v>
      </c>
      <c r="O689" t="s">
        <v>1176</v>
      </c>
      <c r="P689" t="s">
        <v>1176</v>
      </c>
      <c r="Q689" t="s">
        <v>1176</v>
      </c>
      <c r="R689" t="str">
        <f t="shared" si="21"/>
        <v>Sim</v>
      </c>
      <c r="S689" t="s">
        <v>1176</v>
      </c>
      <c r="T689" t="s">
        <v>30</v>
      </c>
      <c r="U689" t="s">
        <v>323</v>
      </c>
      <c r="V689" s="3">
        <v>-3500</v>
      </c>
      <c r="W689" t="s">
        <v>1043</v>
      </c>
      <c r="X689" s="3">
        <v>-3500</v>
      </c>
    </row>
    <row r="690" spans="1:24" s="2" customFormat="1" x14ac:dyDescent="0.2">
      <c r="A690" s="2">
        <v>690</v>
      </c>
      <c r="B690" t="s">
        <v>1053</v>
      </c>
      <c r="C690" t="s">
        <v>1054</v>
      </c>
      <c r="D690" t="s">
        <v>1267</v>
      </c>
      <c r="E690" t="s">
        <v>30</v>
      </c>
      <c r="F690" t="s">
        <v>24</v>
      </c>
      <c r="G690" t="s">
        <v>25</v>
      </c>
      <c r="H690" t="str">
        <f t="shared" si="20"/>
        <v xml:space="preserve">2/2 - REEMBOLSO_MN ARQUITETURA_REF VAZAMENTO DA SALA 2/2 | Recorrência: | Observações: </v>
      </c>
      <c r="I690" t="s">
        <v>491</v>
      </c>
      <c r="J690" s="4">
        <v>2590.2600000000002</v>
      </c>
      <c r="K690" s="4">
        <v>567478.49</v>
      </c>
      <c r="L690" t="s">
        <v>27</v>
      </c>
      <c r="M690" s="4">
        <v>2590.2600000000002</v>
      </c>
      <c r="N690" s="3">
        <v>0</v>
      </c>
      <c r="O690" t="s">
        <v>1176</v>
      </c>
      <c r="P690" t="s">
        <v>1086</v>
      </c>
      <c r="Q690" t="s">
        <v>1176</v>
      </c>
      <c r="R690" t="str">
        <f t="shared" si="21"/>
        <v>Sim</v>
      </c>
      <c r="S690" t="s">
        <v>1176</v>
      </c>
      <c r="T690" t="s">
        <v>30</v>
      </c>
      <c r="U690" t="s">
        <v>1057</v>
      </c>
      <c r="V690" s="3">
        <v>2590.2600000000002</v>
      </c>
      <c r="W690" t="s">
        <v>1168</v>
      </c>
      <c r="X690" s="3">
        <v>2590.2600000000002</v>
      </c>
    </row>
    <row r="691" spans="1:24" s="2" customFormat="1" x14ac:dyDescent="0.2">
      <c r="A691">
        <v>691</v>
      </c>
      <c r="B691" t="s">
        <v>1048</v>
      </c>
      <c r="C691" t="s">
        <v>1049</v>
      </c>
      <c r="D691" t="s">
        <v>1147</v>
      </c>
      <c r="E691" t="s">
        <v>266</v>
      </c>
      <c r="F691" t="s">
        <v>24</v>
      </c>
      <c r="G691" t="s">
        <v>25</v>
      </c>
      <c r="H691" t="str">
        <f t="shared" si="20"/>
        <v xml:space="preserve">RT - CRISTIANE UFLACKER E RICARDO GALVÃO | Recorrência:4/5 | Observações: </v>
      </c>
      <c r="I691" t="s">
        <v>491</v>
      </c>
      <c r="J691" s="4">
        <v>1500</v>
      </c>
      <c r="K691" s="4">
        <v>568978.49</v>
      </c>
      <c r="L691" t="s">
        <v>27</v>
      </c>
      <c r="M691" s="4">
        <v>1500</v>
      </c>
      <c r="N691" s="3">
        <v>0</v>
      </c>
      <c r="O691" t="s">
        <v>1268</v>
      </c>
      <c r="P691" t="s">
        <v>963</v>
      </c>
      <c r="Q691" t="s">
        <v>1102</v>
      </c>
      <c r="R691" t="str">
        <f t="shared" si="21"/>
        <v>Sim</v>
      </c>
      <c r="S691" t="s">
        <v>1102</v>
      </c>
      <c r="T691" t="s">
        <v>30</v>
      </c>
      <c r="U691" t="s">
        <v>49</v>
      </c>
      <c r="V691" s="3">
        <v>1500</v>
      </c>
      <c r="W691" t="s">
        <v>494</v>
      </c>
      <c r="X691" s="3">
        <v>1500</v>
      </c>
    </row>
    <row r="692" spans="1:24" s="2" customFormat="1" x14ac:dyDescent="0.2">
      <c r="A692" s="2">
        <v>692</v>
      </c>
      <c r="B692" t="s">
        <v>1088</v>
      </c>
      <c r="C692" t="s">
        <v>1089</v>
      </c>
      <c r="D692" t="s">
        <v>1125</v>
      </c>
      <c r="E692" t="s">
        <v>624</v>
      </c>
      <c r="F692" t="s">
        <v>24</v>
      </c>
      <c r="G692" t="s">
        <v>25</v>
      </c>
      <c r="H692" t="str">
        <f t="shared" si="20"/>
        <v>RT MARIELLA MATAVELLI | Recorrência:5/5 | Observações: PEDIDO PARCELADO EM 5X</v>
      </c>
      <c r="I692" t="s">
        <v>491</v>
      </c>
      <c r="J692" s="4">
        <v>1240</v>
      </c>
      <c r="K692" s="4">
        <v>570218.49</v>
      </c>
      <c r="L692" t="s">
        <v>27</v>
      </c>
      <c r="M692" s="4">
        <v>1240</v>
      </c>
      <c r="N692" s="3">
        <v>0</v>
      </c>
      <c r="O692" t="s">
        <v>1268</v>
      </c>
      <c r="P692" t="s">
        <v>1151</v>
      </c>
      <c r="Q692" t="s">
        <v>1102</v>
      </c>
      <c r="R692" t="str">
        <f t="shared" si="21"/>
        <v>Sim</v>
      </c>
      <c r="S692" t="s">
        <v>1102</v>
      </c>
      <c r="T692" t="s">
        <v>893</v>
      </c>
      <c r="U692" t="s">
        <v>49</v>
      </c>
      <c r="V692" s="3">
        <v>1240</v>
      </c>
      <c r="W692" t="s">
        <v>494</v>
      </c>
      <c r="X692" s="3">
        <v>1240</v>
      </c>
    </row>
    <row r="693" spans="1:24" s="2" customFormat="1" x14ac:dyDescent="0.2">
      <c r="A693">
        <v>693</v>
      </c>
      <c r="B693"/>
      <c r="C693" t="s">
        <v>153</v>
      </c>
      <c r="D693" t="s">
        <v>630</v>
      </c>
      <c r="E693" t="s">
        <v>853</v>
      </c>
      <c r="F693" t="s">
        <v>63</v>
      </c>
      <c r="G693" t="s">
        <v>25</v>
      </c>
      <c r="H693" t="str">
        <f t="shared" si="20"/>
        <v xml:space="preserve">PRÓ-LABORE MAYARA | Recorrência:9/12 | Observações: </v>
      </c>
      <c r="I693" t="s">
        <v>26</v>
      </c>
      <c r="J693" s="5">
        <v>-15000</v>
      </c>
      <c r="K693" s="4">
        <v>555218.49</v>
      </c>
      <c r="L693" t="s">
        <v>27</v>
      </c>
      <c r="M693" s="5">
        <v>-15000</v>
      </c>
      <c r="N693" s="3">
        <v>0</v>
      </c>
      <c r="O693" t="s">
        <v>1102</v>
      </c>
      <c r="P693" t="s">
        <v>1070</v>
      </c>
      <c r="Q693" t="s">
        <v>1102</v>
      </c>
      <c r="R693" t="str">
        <f t="shared" si="21"/>
        <v>Sim</v>
      </c>
      <c r="S693" t="s">
        <v>1102</v>
      </c>
      <c r="T693" t="s">
        <v>30</v>
      </c>
      <c r="U693" t="s">
        <v>631</v>
      </c>
      <c r="V693" s="3">
        <v>-15000</v>
      </c>
      <c r="W693" t="s">
        <v>632</v>
      </c>
      <c r="X693" s="3">
        <v>-15000</v>
      </c>
    </row>
    <row r="694" spans="1:24" s="2" customFormat="1" x14ac:dyDescent="0.2">
      <c r="A694" s="2">
        <v>694</v>
      </c>
      <c r="B694"/>
      <c r="C694" t="s">
        <v>153</v>
      </c>
      <c r="D694" t="s">
        <v>633</v>
      </c>
      <c r="E694" t="s">
        <v>853</v>
      </c>
      <c r="F694" t="s">
        <v>63</v>
      </c>
      <c r="G694" t="s">
        <v>25</v>
      </c>
      <c r="H694" t="str">
        <f t="shared" si="20"/>
        <v xml:space="preserve">PRÓ-LABORE NATASHA | Recorrência:9/12 | Observações: </v>
      </c>
      <c r="I694" t="s">
        <v>26</v>
      </c>
      <c r="J694" s="5">
        <v>-15000</v>
      </c>
      <c r="K694" s="4">
        <v>540218.49</v>
      </c>
      <c r="L694" t="s">
        <v>27</v>
      </c>
      <c r="M694" s="5">
        <v>-15000</v>
      </c>
      <c r="N694" s="3">
        <v>0</v>
      </c>
      <c r="O694" t="s">
        <v>1102</v>
      </c>
      <c r="P694" t="s">
        <v>1047</v>
      </c>
      <c r="Q694" t="s">
        <v>1102</v>
      </c>
      <c r="R694" t="str">
        <f t="shared" si="21"/>
        <v>Sim</v>
      </c>
      <c r="S694" t="s">
        <v>1102</v>
      </c>
      <c r="T694" t="s">
        <v>30</v>
      </c>
      <c r="U694" t="s">
        <v>631</v>
      </c>
      <c r="V694" s="3">
        <v>-15000</v>
      </c>
      <c r="W694" t="s">
        <v>577</v>
      </c>
      <c r="X694" s="3">
        <v>-15000</v>
      </c>
    </row>
    <row r="695" spans="1:24" s="2" customFormat="1" x14ac:dyDescent="0.2">
      <c r="A695">
        <v>695</v>
      </c>
      <c r="B695"/>
      <c r="C695" t="s">
        <v>153</v>
      </c>
      <c r="D695" t="s">
        <v>635</v>
      </c>
      <c r="E695" t="s">
        <v>853</v>
      </c>
      <c r="F695" t="s">
        <v>63</v>
      </c>
      <c r="G695" t="s">
        <v>25</v>
      </c>
      <c r="H695" t="str">
        <f t="shared" si="20"/>
        <v xml:space="preserve">SALÁRIO HELOISA | Recorrência:9/12 | Observações: </v>
      </c>
      <c r="I695" t="s">
        <v>26</v>
      </c>
      <c r="J695" s="5">
        <v>-4000</v>
      </c>
      <c r="K695" s="4">
        <v>536218.49</v>
      </c>
      <c r="L695" t="s">
        <v>27</v>
      </c>
      <c r="M695" s="5">
        <v>-4000</v>
      </c>
      <c r="N695" s="3">
        <v>0</v>
      </c>
      <c r="O695" t="s">
        <v>1102</v>
      </c>
      <c r="P695" t="s">
        <v>1152</v>
      </c>
      <c r="Q695" t="s">
        <v>1102</v>
      </c>
      <c r="R695" t="str">
        <f t="shared" si="21"/>
        <v>Sim</v>
      </c>
      <c r="S695" t="s">
        <v>1102</v>
      </c>
      <c r="T695" t="s">
        <v>30</v>
      </c>
      <c r="U695" t="s">
        <v>323</v>
      </c>
      <c r="V695" s="3">
        <v>-4000</v>
      </c>
      <c r="W695" t="s">
        <v>324</v>
      </c>
      <c r="X695" s="3">
        <v>-4000</v>
      </c>
    </row>
    <row r="696" spans="1:24" s="2" customFormat="1" x14ac:dyDescent="0.2">
      <c r="A696" s="2">
        <v>696</v>
      </c>
      <c r="B696"/>
      <c r="C696" t="s">
        <v>153</v>
      </c>
      <c r="D696" t="s">
        <v>650</v>
      </c>
      <c r="E696" t="s">
        <v>853</v>
      </c>
      <c r="F696" t="s">
        <v>63</v>
      </c>
      <c r="G696" t="s">
        <v>25</v>
      </c>
      <c r="H696" t="str">
        <f t="shared" si="20"/>
        <v xml:space="preserve">FGTS | Recorrência:9/12 | Observações: </v>
      </c>
      <c r="I696" t="s">
        <v>26</v>
      </c>
      <c r="J696" s="5">
        <v>-127.36</v>
      </c>
      <c r="K696" s="4">
        <v>536091.13</v>
      </c>
      <c r="L696" t="s">
        <v>27</v>
      </c>
      <c r="M696" s="5">
        <v>-127.36</v>
      </c>
      <c r="N696" s="3">
        <v>0</v>
      </c>
      <c r="O696" t="s">
        <v>1269</v>
      </c>
      <c r="P696" t="s">
        <v>1070</v>
      </c>
      <c r="Q696" t="s">
        <v>1269</v>
      </c>
      <c r="R696" t="str">
        <f t="shared" si="21"/>
        <v>Sim</v>
      </c>
      <c r="S696" t="s">
        <v>1269</v>
      </c>
      <c r="T696" t="s">
        <v>30</v>
      </c>
      <c r="U696" t="s">
        <v>651</v>
      </c>
      <c r="V696" s="3">
        <v>-127.36</v>
      </c>
      <c r="W696" t="s">
        <v>376</v>
      </c>
      <c r="X696" s="3">
        <v>-127.36</v>
      </c>
    </row>
    <row r="697" spans="1:24" s="2" customFormat="1" x14ac:dyDescent="0.2">
      <c r="A697">
        <v>697</v>
      </c>
      <c r="B697" t="s">
        <v>1270</v>
      </c>
      <c r="C697" t="s">
        <v>1271</v>
      </c>
      <c r="D697" t="s">
        <v>1272</v>
      </c>
      <c r="E697" t="s">
        <v>30</v>
      </c>
      <c r="F697" t="s">
        <v>24</v>
      </c>
      <c r="G697" t="s">
        <v>25</v>
      </c>
      <c r="H697" t="str">
        <f t="shared" si="20"/>
        <v xml:space="preserve">RT -STEPHANIE PICCIOTTO -ORÇ 02/08/2022 | Recorrência: | Observações: </v>
      </c>
      <c r="I697" t="s">
        <v>491</v>
      </c>
      <c r="J697" s="4">
        <v>2018.13</v>
      </c>
      <c r="K697" s="4">
        <v>538109.26</v>
      </c>
      <c r="L697" t="s">
        <v>27</v>
      </c>
      <c r="M697" s="4">
        <v>2018.13</v>
      </c>
      <c r="N697" s="3">
        <v>0</v>
      </c>
      <c r="O697" t="s">
        <v>1269</v>
      </c>
      <c r="P697" t="s">
        <v>1177</v>
      </c>
      <c r="Q697" t="s">
        <v>1192</v>
      </c>
      <c r="R697" t="str">
        <f t="shared" si="21"/>
        <v>Sim</v>
      </c>
      <c r="S697" t="s">
        <v>1192</v>
      </c>
      <c r="T697" t="s">
        <v>30</v>
      </c>
      <c r="U697" t="s">
        <v>49</v>
      </c>
      <c r="V697" s="3">
        <v>2018.13</v>
      </c>
      <c r="W697" t="s">
        <v>494</v>
      </c>
      <c r="X697" s="3">
        <v>2018.13</v>
      </c>
    </row>
    <row r="698" spans="1:24" s="2" customFormat="1" x14ac:dyDescent="0.2">
      <c r="A698" s="2">
        <v>698</v>
      </c>
      <c r="B698"/>
      <c r="C698" t="s">
        <v>666</v>
      </c>
      <c r="D698" t="s">
        <v>667</v>
      </c>
      <c r="E698" t="s">
        <v>853</v>
      </c>
      <c r="F698" t="s">
        <v>63</v>
      </c>
      <c r="G698" t="s">
        <v>25</v>
      </c>
      <c r="H698" t="str">
        <f t="shared" si="20"/>
        <v>TELEFONIA E INTERNET | Recorrência:9/12 | Observações: conta Mayara paga pelo APP&gt; Lembrar o Pagamento</v>
      </c>
      <c r="I698" t="s">
        <v>26</v>
      </c>
      <c r="J698" s="5">
        <v>-162.53</v>
      </c>
      <c r="K698" s="4">
        <v>537946.73</v>
      </c>
      <c r="L698" t="s">
        <v>27</v>
      </c>
      <c r="M698" s="5">
        <v>-162.53</v>
      </c>
      <c r="N698" s="3">
        <v>0</v>
      </c>
      <c r="O698" t="s">
        <v>1273</v>
      </c>
      <c r="P698" t="s">
        <v>1182</v>
      </c>
      <c r="Q698" t="s">
        <v>1273</v>
      </c>
      <c r="R698" t="str">
        <f t="shared" si="21"/>
        <v>Sim</v>
      </c>
      <c r="S698" t="s">
        <v>1273</v>
      </c>
      <c r="T698" t="s">
        <v>669</v>
      </c>
      <c r="U698" t="s">
        <v>670</v>
      </c>
      <c r="V698" s="3">
        <v>-162.53</v>
      </c>
      <c r="W698" t="s">
        <v>324</v>
      </c>
      <c r="X698" s="3">
        <v>-162.53</v>
      </c>
    </row>
    <row r="699" spans="1:24" s="2" customFormat="1" x14ac:dyDescent="0.2">
      <c r="A699">
        <v>699</v>
      </c>
      <c r="B699"/>
      <c r="C699" t="s">
        <v>792</v>
      </c>
      <c r="D699" t="s">
        <v>1274</v>
      </c>
      <c r="E699" t="s">
        <v>30</v>
      </c>
      <c r="F699" t="s">
        <v>24</v>
      </c>
      <c r="G699" t="s">
        <v>25</v>
      </c>
      <c r="H699" t="str">
        <f t="shared" si="20"/>
        <v>LELIS DESIGN | Recorrência: | Observações: 30 dias após pagamento do pedido</v>
      </c>
      <c r="I699" t="s">
        <v>491</v>
      </c>
      <c r="J699" s="4">
        <v>68.25</v>
      </c>
      <c r="K699" s="4">
        <v>538014.98</v>
      </c>
      <c r="L699" t="s">
        <v>27</v>
      </c>
      <c r="M699" s="4">
        <v>68.25</v>
      </c>
      <c r="N699" s="3">
        <v>0</v>
      </c>
      <c r="O699" t="s">
        <v>1273</v>
      </c>
      <c r="P699" t="s">
        <v>798</v>
      </c>
      <c r="Q699" t="s">
        <v>925</v>
      </c>
      <c r="R699" t="str">
        <f t="shared" si="21"/>
        <v>Sim</v>
      </c>
      <c r="S699" t="s">
        <v>925</v>
      </c>
      <c r="T699" t="s">
        <v>1275</v>
      </c>
      <c r="U699" t="s">
        <v>49</v>
      </c>
      <c r="V699" s="3">
        <v>68.25</v>
      </c>
      <c r="W699" t="s">
        <v>49</v>
      </c>
      <c r="X699" s="3">
        <v>68.25</v>
      </c>
    </row>
    <row r="700" spans="1:24" s="2" customFormat="1" x14ac:dyDescent="0.2">
      <c r="A700" s="2">
        <v>700</v>
      </c>
      <c r="B700" t="s">
        <v>647</v>
      </c>
      <c r="C700" t="s">
        <v>648</v>
      </c>
      <c r="D700" t="s">
        <v>649</v>
      </c>
      <c r="E700" t="s">
        <v>853</v>
      </c>
      <c r="F700" t="s">
        <v>63</v>
      </c>
      <c r="G700" t="s">
        <v>25</v>
      </c>
      <c r="H700" t="str">
        <f t="shared" si="20"/>
        <v xml:space="preserve">HONORÁRIOS CONTÁBEIS | Recorrência:9/12 | Observações: </v>
      </c>
      <c r="I700" t="s">
        <v>26</v>
      </c>
      <c r="J700" s="5">
        <v>-830</v>
      </c>
      <c r="K700" s="4">
        <v>537184.98</v>
      </c>
      <c r="L700" t="s">
        <v>27</v>
      </c>
      <c r="M700" s="5">
        <v>-830</v>
      </c>
      <c r="N700" s="3">
        <v>0</v>
      </c>
      <c r="O700" t="s">
        <v>1236</v>
      </c>
      <c r="P700" t="s">
        <v>1070</v>
      </c>
      <c r="Q700" t="s">
        <v>1269</v>
      </c>
      <c r="R700" t="str">
        <f t="shared" si="21"/>
        <v>Sim</v>
      </c>
      <c r="S700" t="s">
        <v>1269</v>
      </c>
      <c r="T700" t="s">
        <v>30</v>
      </c>
      <c r="U700" t="s">
        <v>608</v>
      </c>
      <c r="V700" s="3">
        <v>-830</v>
      </c>
      <c r="W700" t="s">
        <v>577</v>
      </c>
      <c r="X700" s="3">
        <v>-830</v>
      </c>
    </row>
    <row r="701" spans="1:24" s="2" customFormat="1" x14ac:dyDescent="0.2">
      <c r="A701">
        <v>701</v>
      </c>
      <c r="B701"/>
      <c r="C701" t="s">
        <v>153</v>
      </c>
      <c r="D701" t="s">
        <v>1276</v>
      </c>
      <c r="E701" t="s">
        <v>30</v>
      </c>
      <c r="F701" t="s">
        <v>63</v>
      </c>
      <c r="G701" t="s">
        <v>25</v>
      </c>
      <c r="H701" t="str">
        <f t="shared" si="20"/>
        <v xml:space="preserve">DESPESAS - MAERIAL DE LIMPEZA | Recorrência: | Observações: </v>
      </c>
      <c r="I701" t="s">
        <v>1072</v>
      </c>
      <c r="J701" s="5">
        <v>-128.53</v>
      </c>
      <c r="K701" s="4">
        <v>537056.44999999995</v>
      </c>
      <c r="L701" t="s">
        <v>27</v>
      </c>
      <c r="M701" s="5">
        <v>-128.53</v>
      </c>
      <c r="N701" s="3">
        <v>0</v>
      </c>
      <c r="O701" t="s">
        <v>1236</v>
      </c>
      <c r="P701" t="s">
        <v>1236</v>
      </c>
      <c r="Q701" t="s">
        <v>1236</v>
      </c>
      <c r="R701" t="str">
        <f t="shared" si="21"/>
        <v>Sim</v>
      </c>
      <c r="S701" t="s">
        <v>1236</v>
      </c>
      <c r="T701" t="s">
        <v>30</v>
      </c>
      <c r="U701" t="s">
        <v>1127</v>
      </c>
      <c r="V701" s="3">
        <v>-128.53</v>
      </c>
      <c r="W701" t="s">
        <v>190</v>
      </c>
      <c r="X701" s="3">
        <v>-128.53</v>
      </c>
    </row>
    <row r="702" spans="1:24" s="2" customFormat="1" x14ac:dyDescent="0.2">
      <c r="A702" s="2">
        <v>702</v>
      </c>
      <c r="B702"/>
      <c r="C702" t="s">
        <v>297</v>
      </c>
      <c r="D702" t="s">
        <v>806</v>
      </c>
      <c r="E702" t="s">
        <v>853</v>
      </c>
      <c r="F702" t="s">
        <v>63</v>
      </c>
      <c r="G702" t="s">
        <v>25</v>
      </c>
      <c r="H702" t="str">
        <f t="shared" si="20"/>
        <v xml:space="preserve">DARF ISS | Recorrência:9/12 | Observações: </v>
      </c>
      <c r="I702" t="s">
        <v>26</v>
      </c>
      <c r="J702" s="5">
        <v>-1416.6</v>
      </c>
      <c r="K702" s="4">
        <v>535639.85</v>
      </c>
      <c r="L702" t="s">
        <v>27</v>
      </c>
      <c r="M702" s="5">
        <v>-1416.6</v>
      </c>
      <c r="N702" s="3">
        <v>0</v>
      </c>
      <c r="O702" t="s">
        <v>1192</v>
      </c>
      <c r="P702" t="s">
        <v>1185</v>
      </c>
      <c r="Q702" t="s">
        <v>1192</v>
      </c>
      <c r="R702" t="str">
        <f t="shared" si="21"/>
        <v>Sim</v>
      </c>
      <c r="S702" t="s">
        <v>1192</v>
      </c>
      <c r="T702" t="s">
        <v>30</v>
      </c>
      <c r="U702" t="s">
        <v>656</v>
      </c>
      <c r="V702" s="3">
        <v>-1416.6</v>
      </c>
      <c r="W702" t="s">
        <v>376</v>
      </c>
      <c r="X702" s="3">
        <v>-1416.6</v>
      </c>
    </row>
    <row r="703" spans="1:24" s="2" customFormat="1" x14ac:dyDescent="0.2">
      <c r="A703">
        <v>703</v>
      </c>
      <c r="B703" t="s">
        <v>1277</v>
      </c>
      <c r="C703" t="s">
        <v>1278</v>
      </c>
      <c r="D703" t="s">
        <v>1279</v>
      </c>
      <c r="E703" t="s">
        <v>30</v>
      </c>
      <c r="F703" t="s">
        <v>24</v>
      </c>
      <c r="G703" t="s">
        <v>25</v>
      </c>
      <c r="H703" t="str">
        <f t="shared" si="20"/>
        <v>RT GABRIELA BORGES | Recorrência: | Observações: RT 10%</v>
      </c>
      <c r="I703" t="s">
        <v>491</v>
      </c>
      <c r="J703" s="4">
        <v>7880</v>
      </c>
      <c r="K703" s="4">
        <v>543519.85</v>
      </c>
      <c r="L703" t="s">
        <v>27</v>
      </c>
      <c r="M703" s="4">
        <v>7880</v>
      </c>
      <c r="N703" s="3">
        <v>0</v>
      </c>
      <c r="O703" t="s">
        <v>1192</v>
      </c>
      <c r="P703" t="s">
        <v>1102</v>
      </c>
      <c r="Q703" t="s">
        <v>1280</v>
      </c>
      <c r="R703" t="str">
        <f t="shared" si="21"/>
        <v>Sim</v>
      </c>
      <c r="S703" t="s">
        <v>1280</v>
      </c>
      <c r="T703" t="s">
        <v>1281</v>
      </c>
      <c r="U703" t="s">
        <v>49</v>
      </c>
      <c r="V703" s="3">
        <v>7880</v>
      </c>
      <c r="W703" t="s">
        <v>494</v>
      </c>
      <c r="X703" s="3">
        <v>7880</v>
      </c>
    </row>
    <row r="704" spans="1:24" s="2" customFormat="1" x14ac:dyDescent="0.2">
      <c r="A704" s="2">
        <v>704</v>
      </c>
      <c r="B704" t="s">
        <v>1195</v>
      </c>
      <c r="C704" t="s">
        <v>1196</v>
      </c>
      <c r="D704" t="s">
        <v>1282</v>
      </c>
      <c r="E704" t="s">
        <v>30</v>
      </c>
      <c r="F704" t="s">
        <v>24</v>
      </c>
      <c r="G704" t="s">
        <v>25</v>
      </c>
      <c r="H704" t="str">
        <f t="shared" si="20"/>
        <v xml:space="preserve">RT GABRIELA BORGES - PEDIDO 8040166 | Recorrência: | Observações: </v>
      </c>
      <c r="I704" t="s">
        <v>491</v>
      </c>
      <c r="J704" s="4">
        <v>17152.189999999999</v>
      </c>
      <c r="K704" s="4">
        <v>560672.04</v>
      </c>
      <c r="L704" t="s">
        <v>27</v>
      </c>
      <c r="M704" s="4">
        <v>17152.189999999999</v>
      </c>
      <c r="N704" s="3">
        <v>0</v>
      </c>
      <c r="O704" t="s">
        <v>1192</v>
      </c>
      <c r="P704" t="s">
        <v>1239</v>
      </c>
      <c r="Q704" t="s">
        <v>1283</v>
      </c>
      <c r="R704" t="str">
        <f t="shared" si="21"/>
        <v>Sim</v>
      </c>
      <c r="S704" t="s">
        <v>1283</v>
      </c>
      <c r="T704" t="s">
        <v>30</v>
      </c>
      <c r="U704" t="s">
        <v>49</v>
      </c>
      <c r="V704" s="3">
        <v>17152.189999999999</v>
      </c>
      <c r="W704" t="s">
        <v>494</v>
      </c>
      <c r="X704" s="3">
        <v>17152.189999999999</v>
      </c>
    </row>
    <row r="705" spans="1:24" s="2" customFormat="1" x14ac:dyDescent="0.2">
      <c r="A705">
        <v>705</v>
      </c>
      <c r="B705" t="s">
        <v>1195</v>
      </c>
      <c r="C705" t="s">
        <v>1196</v>
      </c>
      <c r="D705" t="s">
        <v>1284</v>
      </c>
      <c r="E705" t="s">
        <v>30</v>
      </c>
      <c r="F705" t="s">
        <v>24</v>
      </c>
      <c r="G705" t="s">
        <v>25</v>
      </c>
      <c r="H705" t="str">
        <f t="shared" si="20"/>
        <v>RT - GUSTAVO FRANCO LOPES - PEDIDO 8040388 | Recorrência: | Observações: Valor do Pedido: 40.000,00</v>
      </c>
      <c r="I705" t="s">
        <v>491</v>
      </c>
      <c r="J705" s="4">
        <v>3669.31</v>
      </c>
      <c r="K705" s="4">
        <v>564341.35</v>
      </c>
      <c r="L705" t="s">
        <v>27</v>
      </c>
      <c r="M705" s="4">
        <v>3669.31</v>
      </c>
      <c r="N705" s="3">
        <v>0</v>
      </c>
      <c r="O705" t="s">
        <v>1283</v>
      </c>
      <c r="P705" t="s">
        <v>1268</v>
      </c>
      <c r="Q705" t="s">
        <v>1283</v>
      </c>
      <c r="R705" t="str">
        <f t="shared" si="21"/>
        <v>Sim</v>
      </c>
      <c r="S705" t="s">
        <v>1283</v>
      </c>
      <c r="T705" t="s">
        <v>1285</v>
      </c>
      <c r="U705" t="s">
        <v>49</v>
      </c>
      <c r="V705" s="3">
        <v>3669.31</v>
      </c>
      <c r="W705" t="s">
        <v>494</v>
      </c>
      <c r="X705" s="3">
        <v>3669.31</v>
      </c>
    </row>
    <row r="706" spans="1:24" s="2" customFormat="1" x14ac:dyDescent="0.2">
      <c r="A706" s="2">
        <v>706</v>
      </c>
      <c r="B706" t="s">
        <v>1195</v>
      </c>
      <c r="C706" t="s">
        <v>1196</v>
      </c>
      <c r="D706" t="s">
        <v>1286</v>
      </c>
      <c r="E706" t="s">
        <v>30</v>
      </c>
      <c r="F706" t="s">
        <v>24</v>
      </c>
      <c r="G706" t="s">
        <v>25</v>
      </c>
      <c r="H706" t="str">
        <f t="shared" si="20"/>
        <v>RT RICARDO GALVÃO_CRIS UFLACKER-8040199 | Recorrência: | Observações: Extrato pagamento 4.561,04 &gt;
 Incluindo &gt; Ricardo Galvão 891,78 + Gustavo - 3.669,31</v>
      </c>
      <c r="I706" t="s">
        <v>491</v>
      </c>
      <c r="J706" s="4">
        <v>891.78</v>
      </c>
      <c r="K706" s="4">
        <v>565233.13</v>
      </c>
      <c r="L706" t="s">
        <v>27</v>
      </c>
      <c r="M706" s="4">
        <v>891.78</v>
      </c>
      <c r="N706" s="3">
        <v>0</v>
      </c>
      <c r="O706" t="s">
        <v>1283</v>
      </c>
      <c r="P706" t="s">
        <v>1268</v>
      </c>
      <c r="Q706" t="s">
        <v>1283</v>
      </c>
      <c r="R706" t="str">
        <f t="shared" si="21"/>
        <v>Sim</v>
      </c>
      <c r="S706" t="s">
        <v>1283</v>
      </c>
      <c r="T706" t="s">
        <v>1287</v>
      </c>
      <c r="U706" t="s">
        <v>49</v>
      </c>
      <c r="V706" s="3">
        <v>891.78</v>
      </c>
      <c r="W706" t="s">
        <v>494</v>
      </c>
      <c r="X706" s="3">
        <v>891.78</v>
      </c>
    </row>
    <row r="707" spans="1:24" s="2" customFormat="1" x14ac:dyDescent="0.2">
      <c r="A707">
        <v>707</v>
      </c>
      <c r="B707" t="s">
        <v>1288</v>
      </c>
      <c r="C707" t="s">
        <v>1289</v>
      </c>
      <c r="D707" t="s">
        <v>1290</v>
      </c>
      <c r="E707" t="s">
        <v>30</v>
      </c>
      <c r="F707" t="s">
        <v>24</v>
      </c>
      <c r="G707" t="s">
        <v>25</v>
      </c>
      <c r="H707" t="str">
        <f t="shared" ref="H707:H770" si="22">D707&amp;" | "&amp;$E$1&amp;E707&amp;" | Observações: "&amp;T707</f>
        <v>1/4 - RT - RIVIEIRA - COND. ED ALMIRANTE  - MARIA ISABEL NAJM E FABIO NAJM 1/4 | Recorrência: | Observações: Cliente: MARIA ISABEL CORREA NAJM STRAPETTI 
valor da Venda : 95.000,,00
RT: 5% = 4.750,00
16/09/22 - 2.125,00	
21/10/22 - 1.050,00
18/11/22 -  1.050,00
17/02/23 - 525,00( final da instalação do cliente , caso não finalize a obra no mês 02/23, o vencimento vai ser alterado.
Cliente: FABIO CORREA NAJM
valor da Venda : 95.000,,00
RT: 5% = 4.750,00
16/09/22 - 2.125,00
21/10/22- 1.050,00	
18/11/22- 1050,00	
17/02/23- 525,00( final da instalação do cliente , caso não finalize a obra no mês 02/23, o vencimento vai ser alterado.</v>
      </c>
      <c r="I707" t="s">
        <v>491</v>
      </c>
      <c r="J707" s="4">
        <v>4250</v>
      </c>
      <c r="K707" s="4">
        <v>569483.13</v>
      </c>
      <c r="L707" t="s">
        <v>27</v>
      </c>
      <c r="M707" s="4">
        <v>4250</v>
      </c>
      <c r="N707" s="3">
        <v>0</v>
      </c>
      <c r="O707" t="s">
        <v>1283</v>
      </c>
      <c r="P707" t="s">
        <v>1291</v>
      </c>
      <c r="Q707" t="s">
        <v>1292</v>
      </c>
      <c r="R707" t="str">
        <f t="shared" ref="R707:R770" si="23">IF(Q707=S707,"Sim","nao")</f>
        <v>Sim</v>
      </c>
      <c r="S707" t="s">
        <v>1292</v>
      </c>
      <c r="T707" t="s">
        <v>1293</v>
      </c>
      <c r="U707" t="s">
        <v>49</v>
      </c>
      <c r="V707" s="3">
        <v>4250</v>
      </c>
      <c r="W707" t="s">
        <v>494</v>
      </c>
      <c r="X707" s="3">
        <v>4250</v>
      </c>
    </row>
    <row r="708" spans="1:24" s="2" customFormat="1" x14ac:dyDescent="0.2">
      <c r="A708" s="2">
        <v>708</v>
      </c>
      <c r="B708" t="s">
        <v>1088</v>
      </c>
      <c r="C708" t="s">
        <v>1089</v>
      </c>
      <c r="D708" t="s">
        <v>1294</v>
      </c>
      <c r="E708" t="s">
        <v>30</v>
      </c>
      <c r="F708" t="s">
        <v>24</v>
      </c>
      <c r="G708" t="s">
        <v>25</v>
      </c>
      <c r="H708" t="str">
        <f t="shared" si="22"/>
        <v xml:space="preserve">RT - JULIANA COVINO | Recorrência: | Observações: </v>
      </c>
      <c r="I708" t="s">
        <v>491</v>
      </c>
      <c r="J708" s="4">
        <v>2980</v>
      </c>
      <c r="K708" s="4">
        <v>572463.13</v>
      </c>
      <c r="L708" t="s">
        <v>27</v>
      </c>
      <c r="M708" s="4">
        <v>2980</v>
      </c>
      <c r="N708" s="3">
        <v>0</v>
      </c>
      <c r="O708" t="s">
        <v>1292</v>
      </c>
      <c r="P708" t="s">
        <v>1283</v>
      </c>
      <c r="Q708" t="s">
        <v>1182</v>
      </c>
      <c r="R708" t="str">
        <f t="shared" si="23"/>
        <v>Sim</v>
      </c>
      <c r="S708" t="s">
        <v>1182</v>
      </c>
      <c r="T708" t="s">
        <v>30</v>
      </c>
      <c r="U708" t="s">
        <v>49</v>
      </c>
      <c r="V708" s="3">
        <v>2980</v>
      </c>
      <c r="W708" t="s">
        <v>494</v>
      </c>
      <c r="X708" s="3">
        <v>2980</v>
      </c>
    </row>
    <row r="709" spans="1:24" s="2" customFormat="1" x14ac:dyDescent="0.2">
      <c r="A709">
        <v>709</v>
      </c>
      <c r="B709" t="s">
        <v>1088</v>
      </c>
      <c r="C709" t="s">
        <v>1089</v>
      </c>
      <c r="D709" t="s">
        <v>1191</v>
      </c>
      <c r="E709" t="s">
        <v>30</v>
      </c>
      <c r="F709" t="s">
        <v>24</v>
      </c>
      <c r="G709" t="s">
        <v>25</v>
      </c>
      <c r="H709" t="str">
        <f t="shared" si="22"/>
        <v xml:space="preserve">RT - PATRICIA NAJM | Recorrência: | Observações: </v>
      </c>
      <c r="I709" t="s">
        <v>491</v>
      </c>
      <c r="J709" s="4">
        <v>545</v>
      </c>
      <c r="K709" s="4">
        <v>573008.13</v>
      </c>
      <c r="L709" t="s">
        <v>27</v>
      </c>
      <c r="M709" s="4">
        <v>545</v>
      </c>
      <c r="N709" s="3">
        <v>0</v>
      </c>
      <c r="O709" t="s">
        <v>1292</v>
      </c>
      <c r="P709" t="s">
        <v>1185</v>
      </c>
      <c r="Q709" t="s">
        <v>1292</v>
      </c>
      <c r="R709" t="str">
        <f t="shared" si="23"/>
        <v>Sim</v>
      </c>
      <c r="S709" t="s">
        <v>1292</v>
      </c>
      <c r="T709" t="s">
        <v>30</v>
      </c>
      <c r="U709" t="s">
        <v>49</v>
      </c>
      <c r="V709" s="3">
        <v>545</v>
      </c>
      <c r="W709" t="s">
        <v>494</v>
      </c>
      <c r="X709" s="3">
        <v>545</v>
      </c>
    </row>
    <row r="710" spans="1:24" s="2" customFormat="1" x14ac:dyDescent="0.2">
      <c r="A710" s="2">
        <v>710</v>
      </c>
      <c r="B710"/>
      <c r="C710" t="s">
        <v>828</v>
      </c>
      <c r="D710" t="s">
        <v>830</v>
      </c>
      <c r="E710" t="s">
        <v>1296</v>
      </c>
      <c r="F710" t="s">
        <v>63</v>
      </c>
      <c r="G710" t="s">
        <v>25</v>
      </c>
      <c r="H710" t="str">
        <f t="shared" si="22"/>
        <v xml:space="preserve">PREFEITURA DO MUNICIPIO DE BERTIOGA | Recorrência:7/41 | Observações: REF.02 PAGAMENTOS </v>
      </c>
      <c r="I710" t="s">
        <v>491</v>
      </c>
      <c r="J710" s="5">
        <v>-211.81</v>
      </c>
      <c r="K710" s="4">
        <v>572796.31999999995</v>
      </c>
      <c r="L710" t="s">
        <v>27</v>
      </c>
      <c r="M710" s="5">
        <v>-211.81</v>
      </c>
      <c r="N710" s="3">
        <v>0</v>
      </c>
      <c r="O710" t="s">
        <v>1295</v>
      </c>
      <c r="P710" t="s">
        <v>1297</v>
      </c>
      <c r="Q710" t="s">
        <v>1260</v>
      </c>
      <c r="R710" t="str">
        <f t="shared" si="23"/>
        <v>Sim</v>
      </c>
      <c r="S710" t="s">
        <v>1260</v>
      </c>
      <c r="T710" t="s">
        <v>831</v>
      </c>
      <c r="U710" t="s">
        <v>832</v>
      </c>
      <c r="V710" s="3">
        <v>-211.81</v>
      </c>
    </row>
    <row r="711" spans="1:24" s="2" customFormat="1" x14ac:dyDescent="0.2">
      <c r="A711">
        <v>711</v>
      </c>
      <c r="B711" t="s">
        <v>1016</v>
      </c>
      <c r="C711" t="s">
        <v>1017</v>
      </c>
      <c r="D711" t="s">
        <v>1298</v>
      </c>
      <c r="E711" t="s">
        <v>30</v>
      </c>
      <c r="F711" t="s">
        <v>63</v>
      </c>
      <c r="G711" t="s">
        <v>25</v>
      </c>
      <c r="H711" t="str">
        <f t="shared" si="22"/>
        <v>4/4 - HOSPEDAGEM SITE 4/4 | Recorrência: | Observações: Alteração site MN</v>
      </c>
      <c r="I711" t="s">
        <v>755</v>
      </c>
      <c r="J711" s="5">
        <v>-525</v>
      </c>
      <c r="K711" s="4">
        <v>572271.31999999995</v>
      </c>
      <c r="L711" t="s">
        <v>27</v>
      </c>
      <c r="M711" s="5">
        <v>-525</v>
      </c>
      <c r="N711" s="3">
        <v>0</v>
      </c>
      <c r="O711" t="s">
        <v>1295</v>
      </c>
      <c r="P711" t="s">
        <v>1015</v>
      </c>
      <c r="Q711" t="s">
        <v>1295</v>
      </c>
      <c r="R711" t="str">
        <f t="shared" si="23"/>
        <v>Sim</v>
      </c>
      <c r="S711" t="s">
        <v>1295</v>
      </c>
      <c r="T711" t="s">
        <v>1019</v>
      </c>
      <c r="U711" t="s">
        <v>344</v>
      </c>
      <c r="V711" s="3">
        <v>-525</v>
      </c>
      <c r="W711" t="s">
        <v>577</v>
      </c>
      <c r="X711" s="3">
        <v>-525</v>
      </c>
    </row>
    <row r="712" spans="1:24" s="2" customFormat="1" x14ac:dyDescent="0.2">
      <c r="A712" s="2">
        <v>712</v>
      </c>
      <c r="B712"/>
      <c r="C712" t="s">
        <v>710</v>
      </c>
      <c r="D712" t="s">
        <v>711</v>
      </c>
      <c r="E712" t="s">
        <v>778</v>
      </c>
      <c r="F712" t="s">
        <v>63</v>
      </c>
      <c r="G712" t="s">
        <v>25</v>
      </c>
      <c r="H712" t="str">
        <f t="shared" si="22"/>
        <v xml:space="preserve">ELETROPAULO_ENERGIA _ITAIM | Recorrência:8/12 | Observações: </v>
      </c>
      <c r="I712" t="s">
        <v>755</v>
      </c>
      <c r="J712" s="5">
        <v>-246.75</v>
      </c>
      <c r="K712" s="4">
        <v>572024.56999999995</v>
      </c>
      <c r="L712" t="s">
        <v>27</v>
      </c>
      <c r="M712" s="5">
        <v>-246.75</v>
      </c>
      <c r="N712" s="3">
        <v>0</v>
      </c>
      <c r="O712" t="s">
        <v>1295</v>
      </c>
      <c r="P712" t="s">
        <v>1065</v>
      </c>
      <c r="Q712" t="s">
        <v>1260</v>
      </c>
      <c r="R712" t="str">
        <f t="shared" si="23"/>
        <v>Sim</v>
      </c>
      <c r="S712" t="s">
        <v>1260</v>
      </c>
      <c r="T712" t="s">
        <v>30</v>
      </c>
      <c r="U712" t="s">
        <v>125</v>
      </c>
      <c r="V712" s="3">
        <v>-246.75</v>
      </c>
      <c r="W712" t="s">
        <v>324</v>
      </c>
      <c r="X712" s="3">
        <v>-246.75</v>
      </c>
    </row>
    <row r="713" spans="1:24" s="2" customFormat="1" x14ac:dyDescent="0.2">
      <c r="A713">
        <v>713</v>
      </c>
      <c r="B713"/>
      <c r="C713" t="s">
        <v>297</v>
      </c>
      <c r="D713" t="s">
        <v>715</v>
      </c>
      <c r="E713" t="s">
        <v>853</v>
      </c>
      <c r="F713" t="s">
        <v>63</v>
      </c>
      <c r="G713" t="s">
        <v>25</v>
      </c>
      <c r="H713" t="str">
        <f t="shared" si="22"/>
        <v xml:space="preserve">DARF PREVIDENCIARIO (ANTIGO GPS) | Recorrência:9/12 | Observações: valor poderá ser alterado </v>
      </c>
      <c r="I713" t="s">
        <v>755</v>
      </c>
      <c r="J713" s="5">
        <v>-1335.04</v>
      </c>
      <c r="K713" s="4">
        <v>570689.53</v>
      </c>
      <c r="L713" t="s">
        <v>27</v>
      </c>
      <c r="M713" s="5">
        <v>-1335.04</v>
      </c>
      <c r="N713" s="3">
        <v>0</v>
      </c>
      <c r="O713" t="s">
        <v>1295</v>
      </c>
      <c r="P713" t="s">
        <v>1070</v>
      </c>
      <c r="Q713" t="s">
        <v>1280</v>
      </c>
      <c r="R713" t="str">
        <f t="shared" si="23"/>
        <v>Sim</v>
      </c>
      <c r="S713" t="s">
        <v>1280</v>
      </c>
      <c r="T713" t="s">
        <v>717</v>
      </c>
      <c r="U713" t="s">
        <v>677</v>
      </c>
      <c r="V713" s="3">
        <v>-1335.04</v>
      </c>
      <c r="W713" t="s">
        <v>376</v>
      </c>
      <c r="X713" s="3">
        <v>-1335.04</v>
      </c>
    </row>
    <row r="714" spans="1:24" s="2" customFormat="1" x14ac:dyDescent="0.2">
      <c r="A714" s="2">
        <v>714</v>
      </c>
      <c r="B714"/>
      <c r="C714" t="s">
        <v>153</v>
      </c>
      <c r="D714" t="s">
        <v>1299</v>
      </c>
      <c r="E714" t="s">
        <v>30</v>
      </c>
      <c r="F714" t="s">
        <v>63</v>
      </c>
      <c r="G714" t="s">
        <v>25</v>
      </c>
      <c r="H714" t="str">
        <f t="shared" si="22"/>
        <v>DARF PASS WORLD COM EIRELLE | Recorrência: | Observações: DIFERENÇA SOBRE DEPOSITO  AO VALOR BRUTO</v>
      </c>
      <c r="I714" t="s">
        <v>491</v>
      </c>
      <c r="J714" s="5">
        <v>-49.4</v>
      </c>
      <c r="K714" s="4">
        <v>570640.13</v>
      </c>
      <c r="L714" t="s">
        <v>27</v>
      </c>
      <c r="M714" s="5">
        <v>-49.4</v>
      </c>
      <c r="N714" s="3">
        <v>0</v>
      </c>
      <c r="O714" t="s">
        <v>1295</v>
      </c>
      <c r="P714" t="s">
        <v>1295</v>
      </c>
      <c r="Q714" t="s">
        <v>1295</v>
      </c>
      <c r="R714" t="str">
        <f t="shared" si="23"/>
        <v>Sim</v>
      </c>
      <c r="S714" t="s">
        <v>1295</v>
      </c>
      <c r="T714" t="s">
        <v>1300</v>
      </c>
      <c r="U714" t="s">
        <v>1301</v>
      </c>
      <c r="V714" s="3">
        <v>-49.4</v>
      </c>
      <c r="W714" t="s">
        <v>978</v>
      </c>
      <c r="X714" s="3">
        <v>-49.4</v>
      </c>
    </row>
    <row r="715" spans="1:24" s="2" customFormat="1" x14ac:dyDescent="0.2">
      <c r="A715">
        <v>715</v>
      </c>
      <c r="B715"/>
      <c r="C715" t="s">
        <v>297</v>
      </c>
      <c r="D715" t="s">
        <v>481</v>
      </c>
      <c r="E715" t="s">
        <v>730</v>
      </c>
      <c r="F715" t="s">
        <v>63</v>
      </c>
      <c r="G715" t="s">
        <v>25</v>
      </c>
      <c r="H715" t="str">
        <f t="shared" si="22"/>
        <v>DARF_COFINS | Recorrência:7/12 | Observações: ATENÇÃO:
VENCIMENTO TODO DIA 25, EM CASO DE FERIADO/FINAL DE SEMANA O PAGAMENTO DEVERÁ SER ANTECIPADO OU SERÁ CONSIDERADO
*Data de vencimento dia 25 Domingo, deverá ser pago no dia 23*</v>
      </c>
      <c r="I715" t="s">
        <v>755</v>
      </c>
      <c r="J715" s="5">
        <v>-306.02999999999997</v>
      </c>
      <c r="K715" s="4">
        <v>570334.1</v>
      </c>
      <c r="L715" t="s">
        <v>27</v>
      </c>
      <c r="M715" s="5">
        <v>-306.02999999999997</v>
      </c>
      <c r="N715" s="3">
        <v>0</v>
      </c>
      <c r="O715" t="s">
        <v>1295</v>
      </c>
      <c r="P715" t="s">
        <v>1239</v>
      </c>
      <c r="Q715" t="s">
        <v>1302</v>
      </c>
      <c r="R715" t="str">
        <f t="shared" si="23"/>
        <v>Sim</v>
      </c>
      <c r="S715" t="s">
        <v>1302</v>
      </c>
      <c r="T715" t="s">
        <v>1303</v>
      </c>
      <c r="U715" t="s">
        <v>483</v>
      </c>
      <c r="V715" s="3">
        <v>-306.02999999999997</v>
      </c>
      <c r="W715" t="s">
        <v>190</v>
      </c>
      <c r="X715" s="3">
        <v>-306.02999999999997</v>
      </c>
    </row>
    <row r="716" spans="1:24" s="2" customFormat="1" x14ac:dyDescent="0.2">
      <c r="A716" s="2">
        <v>716</v>
      </c>
      <c r="B716"/>
      <c r="C716" t="s">
        <v>297</v>
      </c>
      <c r="D716" t="s">
        <v>684</v>
      </c>
      <c r="E716" t="s">
        <v>778</v>
      </c>
      <c r="F716" t="s">
        <v>63</v>
      </c>
      <c r="G716" t="s">
        <v>25</v>
      </c>
      <c r="H716" t="str">
        <f t="shared" si="22"/>
        <v xml:space="preserve">DARF_ PIS | Recorrência:8/12 | Observações: </v>
      </c>
      <c r="I716" t="s">
        <v>755</v>
      </c>
      <c r="J716" s="5">
        <v>-66.290000000000006</v>
      </c>
      <c r="K716" s="4">
        <v>570267.81000000006</v>
      </c>
      <c r="L716" t="s">
        <v>27</v>
      </c>
      <c r="M716" s="5">
        <v>-66.290000000000006</v>
      </c>
      <c r="N716" s="3">
        <v>0</v>
      </c>
      <c r="O716" t="s">
        <v>1295</v>
      </c>
      <c r="P716" t="s">
        <v>1144</v>
      </c>
      <c r="Q716" t="s">
        <v>1263</v>
      </c>
      <c r="R716" t="str">
        <f t="shared" si="23"/>
        <v>Sim</v>
      </c>
      <c r="S716" t="s">
        <v>1263</v>
      </c>
      <c r="T716" t="s">
        <v>30</v>
      </c>
      <c r="U716" t="s">
        <v>483</v>
      </c>
      <c r="V716" s="3">
        <v>-66.290000000000006</v>
      </c>
      <c r="W716" t="s">
        <v>376</v>
      </c>
      <c r="X716" s="3">
        <v>-66.290000000000006</v>
      </c>
    </row>
    <row r="717" spans="1:24" s="2" customFormat="1" x14ac:dyDescent="0.2">
      <c r="A717">
        <v>717</v>
      </c>
      <c r="B717" t="s">
        <v>1304</v>
      </c>
      <c r="C717" t="s">
        <v>1305</v>
      </c>
      <c r="D717" t="s">
        <v>1306</v>
      </c>
      <c r="E717" t="s">
        <v>30</v>
      </c>
      <c r="F717" t="s">
        <v>24</v>
      </c>
      <c r="G717" t="s">
        <v>25</v>
      </c>
      <c r="H717" t="str">
        <f t="shared" si="22"/>
        <v xml:space="preserve">RT - DANIELA CALITO E WILLIAM - ORÇ 0101/22+GABRIELA BORGES | Recorrência: | Observações: NÃO MENCIONAR TERMO DE RT . PROMOVEIS DÁ BONIFICAÇÃO </v>
      </c>
      <c r="I717" t="s">
        <v>491</v>
      </c>
      <c r="J717" s="4">
        <v>1060</v>
      </c>
      <c r="K717" s="4">
        <v>571327.81000000006</v>
      </c>
      <c r="L717" t="s">
        <v>27</v>
      </c>
      <c r="M717" s="4">
        <v>1060</v>
      </c>
      <c r="N717" s="3">
        <v>0</v>
      </c>
      <c r="O717" t="s">
        <v>1295</v>
      </c>
      <c r="P717" t="s">
        <v>1236</v>
      </c>
      <c r="Q717" t="s">
        <v>1260</v>
      </c>
      <c r="R717" t="str">
        <f t="shared" si="23"/>
        <v>Sim</v>
      </c>
      <c r="S717" t="s">
        <v>1260</v>
      </c>
      <c r="T717" t="s">
        <v>1307</v>
      </c>
      <c r="U717" t="s">
        <v>49</v>
      </c>
      <c r="V717" s="3">
        <v>1060</v>
      </c>
      <c r="W717" t="s">
        <v>494</v>
      </c>
      <c r="X717" s="3">
        <v>1060</v>
      </c>
    </row>
    <row r="718" spans="1:24" s="2" customFormat="1" x14ac:dyDescent="0.2">
      <c r="A718" s="2">
        <v>718</v>
      </c>
      <c r="B718"/>
      <c r="C718" t="s">
        <v>1111</v>
      </c>
      <c r="D718" t="s">
        <v>1308</v>
      </c>
      <c r="E718" t="s">
        <v>30</v>
      </c>
      <c r="F718" t="s">
        <v>24</v>
      </c>
      <c r="G718" t="s">
        <v>25</v>
      </c>
      <c r="H718" t="str">
        <f t="shared" si="22"/>
        <v xml:space="preserve">3/3 - PROJETO 3/3 | Recorrência: | Observações: </v>
      </c>
      <c r="I718" t="s">
        <v>1113</v>
      </c>
      <c r="J718" s="6">
        <v>0</v>
      </c>
      <c r="K718" s="4">
        <v>571327.81000000006</v>
      </c>
      <c r="L718" t="s">
        <v>476</v>
      </c>
      <c r="M718" s="4">
        <v>2000</v>
      </c>
      <c r="N718" s="3">
        <v>0</v>
      </c>
      <c r="O718" t="s">
        <v>1295</v>
      </c>
      <c r="P718" t="s">
        <v>1095</v>
      </c>
      <c r="Q718" t="s">
        <v>1295</v>
      </c>
      <c r="R718" t="str">
        <f t="shared" si="23"/>
        <v>Sim</v>
      </c>
      <c r="S718" t="s">
        <v>1295</v>
      </c>
      <c r="T718" t="s">
        <v>30</v>
      </c>
      <c r="U718" t="s">
        <v>31</v>
      </c>
      <c r="V718" s="3">
        <v>0</v>
      </c>
      <c r="W718" t="s">
        <v>32</v>
      </c>
      <c r="X718" s="3">
        <v>0</v>
      </c>
    </row>
    <row r="719" spans="1:24" s="2" customFormat="1" x14ac:dyDescent="0.2">
      <c r="A719">
        <v>719</v>
      </c>
      <c r="B719" t="s">
        <v>1309</v>
      </c>
      <c r="C719" t="s">
        <v>1310</v>
      </c>
      <c r="D719" t="s">
        <v>1311</v>
      </c>
      <c r="E719" t="s">
        <v>30</v>
      </c>
      <c r="F719" t="s">
        <v>24</v>
      </c>
      <c r="G719" t="s">
        <v>25</v>
      </c>
      <c r="H719" t="str">
        <f t="shared" si="22"/>
        <v xml:space="preserve">RT - MARIA ISABEL - PEDIDO 85184 | Recorrência: | Observações: RT 10% &gt; EMITIR NF
STUDIO GUSTAVO DI MENNO DE ILUMINACAO - EIRELI.
CNPJ: 22.544.181/0006-64
I.E.: 131.929.448.117
ALAMEDA GABRIEL MONTEIRO DA SILVA, 224 – JARDIM AMERICA – SÃO PAULO – SP
CEP: 01442000
</v>
      </c>
      <c r="I719" t="s">
        <v>491</v>
      </c>
      <c r="J719" s="4">
        <v>160.76</v>
      </c>
      <c r="K719" s="4">
        <v>571488.56999999995</v>
      </c>
      <c r="L719" t="s">
        <v>27</v>
      </c>
      <c r="M719" s="4">
        <v>160.76</v>
      </c>
      <c r="N719" s="3">
        <v>0</v>
      </c>
      <c r="O719" t="s">
        <v>1280</v>
      </c>
      <c r="P719" t="s">
        <v>1312</v>
      </c>
      <c r="Q719" t="s">
        <v>1260</v>
      </c>
      <c r="R719" t="str">
        <f t="shared" si="23"/>
        <v>Sim</v>
      </c>
      <c r="S719" t="s">
        <v>1260</v>
      </c>
      <c r="T719" t="s">
        <v>1313</v>
      </c>
      <c r="U719" t="s">
        <v>49</v>
      </c>
      <c r="V719" s="3">
        <v>160.76</v>
      </c>
      <c r="W719" t="s">
        <v>494</v>
      </c>
      <c r="X719" s="3">
        <v>160.76</v>
      </c>
    </row>
    <row r="720" spans="1:24" s="2" customFormat="1" x14ac:dyDescent="0.2">
      <c r="A720" s="2">
        <v>720</v>
      </c>
      <c r="B720" t="s">
        <v>1195</v>
      </c>
      <c r="C720" t="s">
        <v>1196</v>
      </c>
      <c r="D720" t="s">
        <v>1315</v>
      </c>
      <c r="E720" t="s">
        <v>30</v>
      </c>
      <c r="F720" t="s">
        <v>24</v>
      </c>
      <c r="G720" t="s">
        <v>25</v>
      </c>
      <c r="H720" t="str">
        <f t="shared" si="22"/>
        <v xml:space="preserve">RT - RONEI E CLAUDIA - PEDIDO:  8040578 | Recorrência: | Observações: </v>
      </c>
      <c r="I720" t="s">
        <v>491</v>
      </c>
      <c r="J720" s="4">
        <v>2695.03</v>
      </c>
      <c r="K720" s="4">
        <v>574183.6</v>
      </c>
      <c r="L720" t="s">
        <v>27</v>
      </c>
      <c r="M720" s="4">
        <v>2695.03</v>
      </c>
      <c r="N720" s="3">
        <v>0</v>
      </c>
      <c r="O720" t="s">
        <v>1314</v>
      </c>
      <c r="P720" t="s">
        <v>1192</v>
      </c>
      <c r="Q720" t="s">
        <v>1316</v>
      </c>
      <c r="R720" t="str">
        <f t="shared" si="23"/>
        <v>Sim</v>
      </c>
      <c r="S720" t="s">
        <v>1316</v>
      </c>
      <c r="T720" t="s">
        <v>30</v>
      </c>
      <c r="U720" t="s">
        <v>49</v>
      </c>
      <c r="V720" s="3">
        <v>2695.03</v>
      </c>
      <c r="W720" t="s">
        <v>494</v>
      </c>
      <c r="X720" s="3">
        <v>2695.03</v>
      </c>
    </row>
    <row r="721" spans="1:24" s="2" customFormat="1" x14ac:dyDescent="0.2">
      <c r="A721">
        <v>721</v>
      </c>
      <c r="B721" t="s">
        <v>1317</v>
      </c>
      <c r="C721" t="s">
        <v>873</v>
      </c>
      <c r="D721" t="s">
        <v>1318</v>
      </c>
      <c r="E721" t="s">
        <v>30</v>
      </c>
      <c r="F721" t="s">
        <v>24</v>
      </c>
      <c r="G721" t="s">
        <v>25</v>
      </c>
      <c r="H721" t="str">
        <f t="shared" si="22"/>
        <v xml:space="preserve">RT - DANIELA CALITO E WILLIAM GUIDINI | Recorrência: | Observações: PAGAMENTO DA RT É REALIZADO 30 A 40 DIAS APÓS A COMPRA </v>
      </c>
      <c r="I721" t="s">
        <v>491</v>
      </c>
      <c r="J721" s="4">
        <v>144.4</v>
      </c>
      <c r="K721" s="4">
        <v>574328</v>
      </c>
      <c r="L721" t="s">
        <v>27</v>
      </c>
      <c r="M721" s="4">
        <v>144.4</v>
      </c>
      <c r="N721" s="3">
        <v>0</v>
      </c>
      <c r="O721" t="s">
        <v>1316</v>
      </c>
      <c r="P721" t="s">
        <v>1236</v>
      </c>
      <c r="Q721" t="s">
        <v>1319</v>
      </c>
      <c r="R721" t="str">
        <f t="shared" si="23"/>
        <v>Sim</v>
      </c>
      <c r="S721" t="s">
        <v>1319</v>
      </c>
      <c r="T721" t="s">
        <v>1320</v>
      </c>
      <c r="U721" t="s">
        <v>49</v>
      </c>
      <c r="V721" s="3">
        <v>144.4</v>
      </c>
      <c r="W721" t="s">
        <v>494</v>
      </c>
      <c r="X721" s="3">
        <v>144.4</v>
      </c>
    </row>
    <row r="722" spans="1:24" s="2" customFormat="1" x14ac:dyDescent="0.2">
      <c r="A722" s="2">
        <v>722</v>
      </c>
      <c r="B722"/>
      <c r="C722" t="s">
        <v>153</v>
      </c>
      <c r="D722" t="s">
        <v>838</v>
      </c>
      <c r="E722" t="s">
        <v>1321</v>
      </c>
      <c r="F722" t="s">
        <v>63</v>
      </c>
      <c r="G722" t="s">
        <v>25</v>
      </c>
      <c r="H722" t="str">
        <f t="shared" si="22"/>
        <v xml:space="preserve">CARTÃO DE CREDITO_ FINAL 5507 | Recorrência:8/10 | Observações: </v>
      </c>
      <c r="I722" t="s">
        <v>26</v>
      </c>
      <c r="J722" s="5">
        <v>-995.29</v>
      </c>
      <c r="K722" s="4">
        <v>574328</v>
      </c>
      <c r="L722" t="s">
        <v>756</v>
      </c>
      <c r="M722" s="5">
        <v>-995.29</v>
      </c>
      <c r="N722" s="3">
        <v>0</v>
      </c>
      <c r="O722" t="s">
        <v>1316</v>
      </c>
      <c r="P722" t="s">
        <v>1316</v>
      </c>
      <c r="Q722" t="s">
        <v>1316</v>
      </c>
      <c r="R722" t="str">
        <f t="shared" si="23"/>
        <v>Sim</v>
      </c>
      <c r="S722" t="s">
        <v>1316</v>
      </c>
      <c r="T722" t="s">
        <v>30</v>
      </c>
      <c r="U722" t="s">
        <v>764</v>
      </c>
      <c r="V722" s="3">
        <v>-995.29</v>
      </c>
      <c r="W722" t="s">
        <v>577</v>
      </c>
      <c r="X722" s="3">
        <v>-995.29</v>
      </c>
    </row>
    <row r="723" spans="1:24" s="2" customFormat="1" x14ac:dyDescent="0.2">
      <c r="A723">
        <v>723</v>
      </c>
      <c r="B723"/>
      <c r="C723" t="s">
        <v>1141</v>
      </c>
      <c r="D723" t="s">
        <v>1323</v>
      </c>
      <c r="E723" t="s">
        <v>30</v>
      </c>
      <c r="F723" t="s">
        <v>24</v>
      </c>
      <c r="G723" t="s">
        <v>25</v>
      </c>
      <c r="H723" t="str">
        <f t="shared" si="22"/>
        <v xml:space="preserve">3/4 - Projeto de arquitetura de interiores 3/4 | Recorrência: | Observações: </v>
      </c>
      <c r="I723" t="s">
        <v>991</v>
      </c>
      <c r="J723" s="4">
        <v>3500</v>
      </c>
      <c r="K723" s="4">
        <v>577828</v>
      </c>
      <c r="L723" t="s">
        <v>27</v>
      </c>
      <c r="M723" s="4">
        <v>3500</v>
      </c>
      <c r="N723" s="3">
        <v>0</v>
      </c>
      <c r="O723" t="s">
        <v>1322</v>
      </c>
      <c r="P723" t="s">
        <v>1137</v>
      </c>
      <c r="Q723" t="s">
        <v>1265</v>
      </c>
      <c r="R723" t="str">
        <f t="shared" si="23"/>
        <v>Sim</v>
      </c>
      <c r="S723" t="s">
        <v>1265</v>
      </c>
      <c r="T723" t="s">
        <v>30</v>
      </c>
      <c r="U723" t="s">
        <v>40</v>
      </c>
      <c r="V723" s="3">
        <v>3500</v>
      </c>
      <c r="W723" t="s">
        <v>32</v>
      </c>
      <c r="X723" s="3">
        <v>3500</v>
      </c>
    </row>
    <row r="724" spans="1:24" s="2" customFormat="1" x14ac:dyDescent="0.2">
      <c r="A724" s="2">
        <v>724</v>
      </c>
      <c r="B724"/>
      <c r="C724" t="s">
        <v>304</v>
      </c>
      <c r="D724" t="s">
        <v>274</v>
      </c>
      <c r="E724" t="s">
        <v>30</v>
      </c>
      <c r="F724" t="s">
        <v>24</v>
      </c>
      <c r="G724" t="s">
        <v>25</v>
      </c>
      <c r="H724" t="str">
        <f t="shared" si="22"/>
        <v xml:space="preserve">GERENCIAMENTO | Recorrência: | Observações: GERENCIAMENTO PARCELA UNICA  / GERENCIAMENTO PARCELA UNICA - </v>
      </c>
      <c r="I724" t="s">
        <v>491</v>
      </c>
      <c r="J724" s="4">
        <v>5443.92</v>
      </c>
      <c r="K724" s="4">
        <v>583271.92000000004</v>
      </c>
      <c r="L724" t="s">
        <v>27</v>
      </c>
      <c r="M724" s="4">
        <v>5443.92</v>
      </c>
      <c r="N724" s="3">
        <v>0</v>
      </c>
      <c r="O724" t="s">
        <v>1322</v>
      </c>
      <c r="P724" t="s">
        <v>1324</v>
      </c>
      <c r="Q724" t="s">
        <v>1322</v>
      </c>
      <c r="R724" t="str">
        <f t="shared" si="23"/>
        <v>Sim</v>
      </c>
      <c r="S724" t="s">
        <v>1322</v>
      </c>
      <c r="T724" t="s">
        <v>1325</v>
      </c>
      <c r="U724" t="s">
        <v>274</v>
      </c>
      <c r="V724" s="3">
        <v>5443.92</v>
      </c>
      <c r="W724" t="s">
        <v>233</v>
      </c>
      <c r="X724" s="3">
        <v>5443.92</v>
      </c>
    </row>
    <row r="725" spans="1:24" s="2" customFormat="1" x14ac:dyDescent="0.2">
      <c r="A725">
        <v>725</v>
      </c>
      <c r="B725"/>
      <c r="C725" t="s">
        <v>917</v>
      </c>
      <c r="D725" t="s">
        <v>1326</v>
      </c>
      <c r="E725" t="s">
        <v>41</v>
      </c>
      <c r="F725" t="s">
        <v>24</v>
      </c>
      <c r="G725" t="s">
        <v>25</v>
      </c>
      <c r="H725" t="str">
        <f t="shared" si="22"/>
        <v>GERENCIAMENTO DE PROJETO&gt;MN ARQUITETURA E INTERIORE | Recorrência:3/4 | Observações: Pagamento referente Gerenciamento</v>
      </c>
      <c r="I725" t="s">
        <v>491</v>
      </c>
      <c r="J725" s="4">
        <v>4000</v>
      </c>
      <c r="K725" s="4">
        <v>587271.92000000004</v>
      </c>
      <c r="L725" t="s">
        <v>27</v>
      </c>
      <c r="M725" s="4">
        <v>4000</v>
      </c>
      <c r="N725" s="3">
        <v>0</v>
      </c>
      <c r="O725" t="s">
        <v>1263</v>
      </c>
      <c r="P725" t="s">
        <v>1039</v>
      </c>
      <c r="Q725" t="s">
        <v>1102</v>
      </c>
      <c r="R725" t="str">
        <f t="shared" si="23"/>
        <v>Sim</v>
      </c>
      <c r="S725" t="s">
        <v>1102</v>
      </c>
      <c r="T725" t="s">
        <v>1160</v>
      </c>
      <c r="U725" t="s">
        <v>274</v>
      </c>
      <c r="V725" s="3">
        <v>4000</v>
      </c>
      <c r="W725" t="s">
        <v>1161</v>
      </c>
      <c r="X725" s="3">
        <v>4000</v>
      </c>
    </row>
    <row r="726" spans="1:24" s="2" customFormat="1" x14ac:dyDescent="0.2">
      <c r="A726" s="2">
        <v>726</v>
      </c>
      <c r="B726" t="s">
        <v>1048</v>
      </c>
      <c r="C726" t="s">
        <v>1049</v>
      </c>
      <c r="D726" t="s">
        <v>1327</v>
      </c>
      <c r="E726" t="s">
        <v>148</v>
      </c>
      <c r="F726" t="s">
        <v>24</v>
      </c>
      <c r="G726" t="s">
        <v>25</v>
      </c>
      <c r="H726" t="str">
        <f t="shared" si="22"/>
        <v xml:space="preserve">RT - MARIELLA MATAVELLI | Recorrência:3/3 | Observações: </v>
      </c>
      <c r="I726" t="s">
        <v>26</v>
      </c>
      <c r="J726" s="4">
        <v>500</v>
      </c>
      <c r="K726" s="4">
        <v>587771.92000000004</v>
      </c>
      <c r="L726" t="s">
        <v>27</v>
      </c>
      <c r="M726" s="4">
        <v>500</v>
      </c>
      <c r="N726" s="3">
        <v>0</v>
      </c>
      <c r="O726" t="s">
        <v>1260</v>
      </c>
      <c r="P726" t="s">
        <v>973</v>
      </c>
      <c r="Q726" t="s">
        <v>1119</v>
      </c>
      <c r="R726" t="str">
        <f t="shared" si="23"/>
        <v>Sim</v>
      </c>
      <c r="S726" t="s">
        <v>1119</v>
      </c>
      <c r="T726" t="s">
        <v>30</v>
      </c>
      <c r="U726" t="s">
        <v>49</v>
      </c>
      <c r="V726" s="3">
        <v>500</v>
      </c>
      <c r="W726" t="s">
        <v>49</v>
      </c>
      <c r="X726" s="3">
        <v>500</v>
      </c>
    </row>
    <row r="727" spans="1:24" s="2" customFormat="1" x14ac:dyDescent="0.2">
      <c r="A727">
        <v>727</v>
      </c>
      <c r="B727" t="s">
        <v>1048</v>
      </c>
      <c r="C727" t="s">
        <v>1049</v>
      </c>
      <c r="D727" t="s">
        <v>1147</v>
      </c>
      <c r="E727" t="s">
        <v>624</v>
      </c>
      <c r="F727" t="s">
        <v>24</v>
      </c>
      <c r="G727" t="s">
        <v>25</v>
      </c>
      <c r="H727" t="str">
        <f t="shared" si="22"/>
        <v xml:space="preserve">RT - CRISTIANE UFLACKER E RICARDO GALVÃO | Recorrência:5/5 | Observações: </v>
      </c>
      <c r="I727" t="s">
        <v>26</v>
      </c>
      <c r="J727" s="4">
        <v>2000</v>
      </c>
      <c r="K727" s="4">
        <v>589771.92000000004</v>
      </c>
      <c r="L727" t="s">
        <v>27</v>
      </c>
      <c r="M727" s="4">
        <v>2000</v>
      </c>
      <c r="N727" s="3">
        <v>0</v>
      </c>
      <c r="O727" t="s">
        <v>1260</v>
      </c>
      <c r="P727" t="s">
        <v>1092</v>
      </c>
      <c r="Q727" t="s">
        <v>1328</v>
      </c>
      <c r="R727" t="str">
        <f t="shared" si="23"/>
        <v>Sim</v>
      </c>
      <c r="S727" t="s">
        <v>1328</v>
      </c>
      <c r="T727" t="s">
        <v>30</v>
      </c>
      <c r="U727" t="s">
        <v>49</v>
      </c>
      <c r="V727" s="3">
        <v>2000</v>
      </c>
      <c r="W727" t="s">
        <v>494</v>
      </c>
      <c r="X727" s="3">
        <v>2000</v>
      </c>
    </row>
    <row r="728" spans="1:24" s="2" customFormat="1" x14ac:dyDescent="0.2">
      <c r="A728" s="2">
        <v>728</v>
      </c>
      <c r="B728" t="s">
        <v>1048</v>
      </c>
      <c r="C728" t="s">
        <v>1049</v>
      </c>
      <c r="D728" t="s">
        <v>1329</v>
      </c>
      <c r="E728" t="s">
        <v>30</v>
      </c>
      <c r="F728" t="s">
        <v>24</v>
      </c>
      <c r="G728" t="s">
        <v>25</v>
      </c>
      <c r="H728" t="str">
        <f t="shared" si="22"/>
        <v xml:space="preserve">RT - 05 DE 05 -  WILLIAM_DANIELA CALITO | Recorrência: | Observações: </v>
      </c>
      <c r="I728" t="s">
        <v>491</v>
      </c>
      <c r="J728" s="4">
        <v>2000</v>
      </c>
      <c r="K728" s="4">
        <v>591771.92000000004</v>
      </c>
      <c r="L728" t="s">
        <v>27</v>
      </c>
      <c r="M728" s="4">
        <v>2000</v>
      </c>
      <c r="N728" s="3">
        <v>0</v>
      </c>
      <c r="O728" t="s">
        <v>1260</v>
      </c>
      <c r="P728" t="s">
        <v>1273</v>
      </c>
      <c r="Q728" t="s">
        <v>1265</v>
      </c>
      <c r="R728" t="str">
        <f t="shared" si="23"/>
        <v>Sim</v>
      </c>
      <c r="S728" t="s">
        <v>1265</v>
      </c>
      <c r="T728" t="s">
        <v>30</v>
      </c>
      <c r="U728" t="s">
        <v>49</v>
      </c>
      <c r="V728" s="3">
        <v>2000</v>
      </c>
      <c r="W728" t="s">
        <v>494</v>
      </c>
      <c r="X728" s="3">
        <v>2000</v>
      </c>
    </row>
    <row r="729" spans="1:24" s="2" customFormat="1" x14ac:dyDescent="0.2">
      <c r="A729">
        <v>729</v>
      </c>
      <c r="B729" t="s">
        <v>1048</v>
      </c>
      <c r="C729" t="s">
        <v>1049</v>
      </c>
      <c r="D729" t="s">
        <v>1330</v>
      </c>
      <c r="E729" t="s">
        <v>30</v>
      </c>
      <c r="F729" t="s">
        <v>24</v>
      </c>
      <c r="G729" t="s">
        <v>25</v>
      </c>
      <c r="H729" t="str">
        <f t="shared" si="22"/>
        <v xml:space="preserve">RT - 03 DE 03 CLAUDIA E RONEI | Recorrência: | Observações: </v>
      </c>
      <c r="I729" t="s">
        <v>491</v>
      </c>
      <c r="J729" s="4">
        <v>2000</v>
      </c>
      <c r="K729" s="4">
        <v>593771.92000000004</v>
      </c>
      <c r="L729" t="s">
        <v>27</v>
      </c>
      <c r="M729" s="4">
        <v>2000</v>
      </c>
      <c r="N729" s="3">
        <v>0</v>
      </c>
      <c r="O729" t="s">
        <v>1260</v>
      </c>
      <c r="P729" t="s">
        <v>1273</v>
      </c>
      <c r="Q729" t="s">
        <v>1331</v>
      </c>
      <c r="R729" t="str">
        <f t="shared" si="23"/>
        <v>Sim</v>
      </c>
      <c r="S729" t="s">
        <v>1331</v>
      </c>
      <c r="T729" t="s">
        <v>30</v>
      </c>
      <c r="U729" t="s">
        <v>49</v>
      </c>
      <c r="V729" s="3">
        <v>2000</v>
      </c>
      <c r="W729" t="s">
        <v>494</v>
      </c>
      <c r="X729" s="3">
        <v>2000</v>
      </c>
    </row>
    <row r="730" spans="1:24" s="2" customFormat="1" x14ac:dyDescent="0.2">
      <c r="A730" s="2">
        <v>730</v>
      </c>
      <c r="B730"/>
      <c r="C730" t="s">
        <v>153</v>
      </c>
      <c r="D730" t="s">
        <v>1332</v>
      </c>
      <c r="E730" t="s">
        <v>30</v>
      </c>
      <c r="F730" t="s">
        <v>63</v>
      </c>
      <c r="G730" t="s">
        <v>25</v>
      </c>
      <c r="H730" t="str">
        <f t="shared" si="22"/>
        <v>3/5 - SALÁRIO - MARCELA S CAVALCANTE 3/5 | Recorrência: | Observações: Marcela Santana Cavalcante
CPF 469.884.048-13
Data Nasc - 25/12/99
Contato: 011 - 9-8216-5601
E-mail: ma.santana456@gmail.com
Dados Bancário:
Banco: Nubank
Ag: 0001
Cc: 47598749-6</v>
      </c>
      <c r="I730" t="s">
        <v>1113</v>
      </c>
      <c r="J730" s="5">
        <v>-3052.46</v>
      </c>
      <c r="K730" s="4">
        <v>590719.46</v>
      </c>
      <c r="L730" t="s">
        <v>27</v>
      </c>
      <c r="M730" s="5">
        <v>-3052.46</v>
      </c>
      <c r="N730" s="3">
        <v>0</v>
      </c>
      <c r="O730" t="s">
        <v>1260</v>
      </c>
      <c r="P730" t="s">
        <v>1095</v>
      </c>
      <c r="Q730" t="s">
        <v>1333</v>
      </c>
      <c r="R730" t="str">
        <f t="shared" si="23"/>
        <v>nao</v>
      </c>
      <c r="S730" t="s">
        <v>1260</v>
      </c>
      <c r="T730" t="s">
        <v>1163</v>
      </c>
      <c r="U730" t="s">
        <v>323</v>
      </c>
      <c r="V730" s="3">
        <v>-3052.46</v>
      </c>
      <c r="W730" t="s">
        <v>1164</v>
      </c>
      <c r="X730" s="3">
        <v>-3052.46</v>
      </c>
    </row>
    <row r="731" spans="1:24" s="2" customFormat="1" x14ac:dyDescent="0.2">
      <c r="A731">
        <v>731</v>
      </c>
      <c r="B731"/>
      <c r="C731" t="s">
        <v>153</v>
      </c>
      <c r="D731" t="s">
        <v>1044</v>
      </c>
      <c r="E731" t="s">
        <v>955</v>
      </c>
      <c r="F731" t="s">
        <v>63</v>
      </c>
      <c r="G731" t="s">
        <v>25</v>
      </c>
      <c r="H731" t="str">
        <f t="shared" si="22"/>
        <v xml:space="preserve">SALARIO FELIPE - ESTAGIÁRIO | Recorrência:11/12 | Observações: </v>
      </c>
      <c r="I731" t="s">
        <v>26</v>
      </c>
      <c r="J731" s="5">
        <v>-1748.1</v>
      </c>
      <c r="K731" s="4">
        <v>588971.36</v>
      </c>
      <c r="L731" t="s">
        <v>27</v>
      </c>
      <c r="M731" s="5">
        <v>-1748.1</v>
      </c>
      <c r="N731" s="3">
        <v>0</v>
      </c>
      <c r="O731" t="s">
        <v>1334</v>
      </c>
      <c r="P731" t="s">
        <v>1176</v>
      </c>
      <c r="Q731" t="s">
        <v>1334</v>
      </c>
      <c r="R731" t="str">
        <f t="shared" si="23"/>
        <v>Sim</v>
      </c>
      <c r="S731" t="s">
        <v>1334</v>
      </c>
      <c r="T731" t="s">
        <v>30</v>
      </c>
      <c r="U731" t="s">
        <v>323</v>
      </c>
      <c r="V731" s="3">
        <v>-1748.1</v>
      </c>
      <c r="W731" t="s">
        <v>324</v>
      </c>
      <c r="X731" s="3">
        <v>-1748.1</v>
      </c>
    </row>
    <row r="732" spans="1:24" s="2" customFormat="1" x14ac:dyDescent="0.2">
      <c r="A732" s="2">
        <v>732</v>
      </c>
      <c r="B732"/>
      <c r="C732" t="s">
        <v>153</v>
      </c>
      <c r="D732" t="s">
        <v>905</v>
      </c>
      <c r="E732" t="s">
        <v>1262</v>
      </c>
      <c r="F732" t="s">
        <v>63</v>
      </c>
      <c r="G732" t="s">
        <v>25</v>
      </c>
      <c r="H732" t="str">
        <f t="shared" si="22"/>
        <v xml:space="preserve">SALÁRIO JULYA | Recorrência:6/8 | Observações: </v>
      </c>
      <c r="I732" t="s">
        <v>26</v>
      </c>
      <c r="J732" s="5">
        <v>-3763.9</v>
      </c>
      <c r="K732" s="4">
        <v>585207.46</v>
      </c>
      <c r="L732" t="s">
        <v>27</v>
      </c>
      <c r="M732" s="5">
        <v>-3763.9</v>
      </c>
      <c r="N732" s="3">
        <v>0</v>
      </c>
      <c r="O732" t="s">
        <v>1334</v>
      </c>
      <c r="P732" t="s">
        <v>1334</v>
      </c>
      <c r="Q732" t="s">
        <v>1334</v>
      </c>
      <c r="R732" t="str">
        <f t="shared" si="23"/>
        <v>Sim</v>
      </c>
      <c r="S732" t="s">
        <v>1334</v>
      </c>
      <c r="T732" t="s">
        <v>30</v>
      </c>
      <c r="U732" t="s">
        <v>323</v>
      </c>
      <c r="V732" s="3">
        <v>-3763.9</v>
      </c>
      <c r="W732" t="s">
        <v>1043</v>
      </c>
      <c r="X732" s="3">
        <v>-3763.9</v>
      </c>
    </row>
    <row r="733" spans="1:24" s="2" customFormat="1" x14ac:dyDescent="0.2">
      <c r="A733">
        <v>733</v>
      </c>
      <c r="B733"/>
      <c r="C733" t="s">
        <v>574</v>
      </c>
      <c r="D733" t="s">
        <v>575</v>
      </c>
      <c r="E733" t="s">
        <v>955</v>
      </c>
      <c r="F733" t="s">
        <v>63</v>
      </c>
      <c r="G733" t="s">
        <v>25</v>
      </c>
      <c r="H733" t="str">
        <f t="shared" si="22"/>
        <v xml:space="preserve">ALUGUEL+CONDOMINIO+IPTU | Recorrência:11/12 | Observações: </v>
      </c>
      <c r="I733" t="s">
        <v>26</v>
      </c>
      <c r="J733" s="5">
        <v>-5902</v>
      </c>
      <c r="K733" s="4">
        <v>579305.46</v>
      </c>
      <c r="L733" t="s">
        <v>27</v>
      </c>
      <c r="M733" s="5">
        <v>-5902</v>
      </c>
      <c r="N733" s="3">
        <v>0</v>
      </c>
      <c r="O733" t="s">
        <v>1333</v>
      </c>
      <c r="P733" t="s">
        <v>1335</v>
      </c>
      <c r="Q733" t="s">
        <v>1328</v>
      </c>
      <c r="R733" t="str">
        <f t="shared" si="23"/>
        <v>Sim</v>
      </c>
      <c r="S733" t="s">
        <v>1328</v>
      </c>
      <c r="T733" t="s">
        <v>30</v>
      </c>
      <c r="U733" t="s">
        <v>571</v>
      </c>
      <c r="V733" s="3">
        <v>-5902</v>
      </c>
      <c r="W733" t="s">
        <v>577</v>
      </c>
      <c r="X733" s="3">
        <v>-5902</v>
      </c>
    </row>
    <row r="734" spans="1:24" s="2" customFormat="1" x14ac:dyDescent="0.2">
      <c r="A734" s="2">
        <v>734</v>
      </c>
      <c r="B734"/>
      <c r="C734" t="s">
        <v>153</v>
      </c>
      <c r="D734" t="s">
        <v>636</v>
      </c>
      <c r="E734" t="s">
        <v>910</v>
      </c>
      <c r="F734" t="s">
        <v>63</v>
      </c>
      <c r="G734" t="s">
        <v>25</v>
      </c>
      <c r="H734" t="str">
        <f t="shared" si="22"/>
        <v>SALÁRIO ELIANE | Recorrência:10/12 | Observações: referente a folha mensal setembro-22</v>
      </c>
      <c r="I734" t="s">
        <v>991</v>
      </c>
      <c r="J734" s="5">
        <v>-1760.23</v>
      </c>
      <c r="K734" s="4">
        <v>577545.23</v>
      </c>
      <c r="L734" t="s">
        <v>27</v>
      </c>
      <c r="M734" s="5">
        <v>-1760.23</v>
      </c>
      <c r="N734" s="3">
        <v>0</v>
      </c>
      <c r="O734" t="s">
        <v>1333</v>
      </c>
      <c r="P734" t="s">
        <v>1260</v>
      </c>
      <c r="Q734" t="s">
        <v>1328</v>
      </c>
      <c r="R734" t="str">
        <f t="shared" si="23"/>
        <v>Sim</v>
      </c>
      <c r="S734" t="s">
        <v>1328</v>
      </c>
      <c r="T734" t="s">
        <v>1336</v>
      </c>
      <c r="U734" t="s">
        <v>323</v>
      </c>
      <c r="V734" s="3">
        <v>-1760.23</v>
      </c>
      <c r="W734" t="s">
        <v>324</v>
      </c>
      <c r="X734" s="3">
        <v>-1760.23</v>
      </c>
    </row>
    <row r="735" spans="1:24" s="2" customFormat="1" x14ac:dyDescent="0.2">
      <c r="A735">
        <v>735</v>
      </c>
      <c r="B735"/>
      <c r="C735" t="s">
        <v>153</v>
      </c>
      <c r="D735" t="s">
        <v>659</v>
      </c>
      <c r="E735" t="s">
        <v>1337</v>
      </c>
      <c r="F735" t="s">
        <v>63</v>
      </c>
      <c r="G735" t="s">
        <v>25</v>
      </c>
      <c r="H735" t="str">
        <f t="shared" si="22"/>
        <v>VALE TRANSPORTE _ELIANE | Recorrência:7/8 | Observações: pagamento antecipado do vale transporte devido férias  referente Janeiro/23 que serão os dias gozados.</v>
      </c>
      <c r="I735" t="s">
        <v>26</v>
      </c>
      <c r="J735" s="5">
        <v>-352</v>
      </c>
      <c r="K735" s="4">
        <v>577193.23</v>
      </c>
      <c r="L735" t="s">
        <v>27</v>
      </c>
      <c r="M735" s="5">
        <v>-352</v>
      </c>
      <c r="N735" s="3">
        <v>0</v>
      </c>
      <c r="O735" t="s">
        <v>1333</v>
      </c>
      <c r="P735" t="s">
        <v>1334</v>
      </c>
      <c r="Q735" t="s">
        <v>1338</v>
      </c>
      <c r="R735" t="str">
        <f t="shared" si="23"/>
        <v>Sim</v>
      </c>
      <c r="S735" t="s">
        <v>1338</v>
      </c>
      <c r="T735" t="s">
        <v>1339</v>
      </c>
      <c r="U735" t="s">
        <v>662</v>
      </c>
      <c r="V735" s="3">
        <v>-352</v>
      </c>
      <c r="W735" t="s">
        <v>577</v>
      </c>
      <c r="X735" s="3">
        <v>-352</v>
      </c>
    </row>
    <row r="736" spans="1:24" s="2" customFormat="1" x14ac:dyDescent="0.2">
      <c r="A736" s="2">
        <v>736</v>
      </c>
      <c r="B736"/>
      <c r="C736" t="s">
        <v>153</v>
      </c>
      <c r="D736" t="s">
        <v>1264</v>
      </c>
      <c r="E736" t="s">
        <v>910</v>
      </c>
      <c r="F736" t="s">
        <v>63</v>
      </c>
      <c r="G736" t="s">
        <v>25</v>
      </c>
      <c r="H736" t="str">
        <f t="shared" si="22"/>
        <v xml:space="preserve">LIMPEZA_JULIANA COSTA SOARES_4 DIÁRIAS | Recorrência:10/12 | Observações: </v>
      </c>
      <c r="I736" t="s">
        <v>26</v>
      </c>
      <c r="J736" s="5">
        <v>-480</v>
      </c>
      <c r="K736" s="4">
        <v>576713.23</v>
      </c>
      <c r="L736" t="s">
        <v>27</v>
      </c>
      <c r="M736" s="5">
        <v>-480</v>
      </c>
      <c r="N736" s="3">
        <v>0</v>
      </c>
      <c r="O736" t="s">
        <v>1333</v>
      </c>
      <c r="P736" t="s">
        <v>1328</v>
      </c>
      <c r="Q736" t="s">
        <v>1340</v>
      </c>
      <c r="R736" t="str">
        <f t="shared" si="23"/>
        <v>Sim</v>
      </c>
      <c r="S736" t="s">
        <v>1340</v>
      </c>
      <c r="T736" t="s">
        <v>30</v>
      </c>
      <c r="U736" t="s">
        <v>691</v>
      </c>
      <c r="V736" s="3">
        <v>-480</v>
      </c>
      <c r="W736" t="s">
        <v>324</v>
      </c>
      <c r="X736" s="3">
        <v>-480</v>
      </c>
    </row>
    <row r="737" spans="1:24" s="2" customFormat="1" x14ac:dyDescent="0.2">
      <c r="A737">
        <v>737</v>
      </c>
      <c r="B737" t="s">
        <v>1341</v>
      </c>
      <c r="C737" t="s">
        <v>1342</v>
      </c>
      <c r="D737" t="s">
        <v>1343</v>
      </c>
      <c r="E737" t="s">
        <v>30</v>
      </c>
      <c r="F737" t="s">
        <v>63</v>
      </c>
      <c r="G737" t="s">
        <v>25</v>
      </c>
      <c r="H737" t="str">
        <f t="shared" si="22"/>
        <v>CONVITE CELINA DIAS &gt; MN Arquitetura e Interiores | Recorrência: | Observações: Entregas para as clientes:
- Daniela Calito e William
- Stephanie Piciotto
- Juliana e Tiago Koch
- Simone Saccab
Gisela Saback</v>
      </c>
      <c r="I737" t="s">
        <v>1219</v>
      </c>
      <c r="J737" s="5">
        <v>-92.87</v>
      </c>
      <c r="K737" s="4">
        <v>576620.36</v>
      </c>
      <c r="L737" t="s">
        <v>27</v>
      </c>
      <c r="M737" s="5">
        <v>-92.87</v>
      </c>
      <c r="N737" s="3">
        <v>0</v>
      </c>
      <c r="O737" t="s">
        <v>1333</v>
      </c>
      <c r="P737" t="s">
        <v>1333</v>
      </c>
      <c r="Q737" t="s">
        <v>1333</v>
      </c>
      <c r="R737" t="str">
        <f t="shared" si="23"/>
        <v>Sim</v>
      </c>
      <c r="S737" t="s">
        <v>1333</v>
      </c>
      <c r="T737" t="s">
        <v>1344</v>
      </c>
      <c r="U737" t="s">
        <v>641</v>
      </c>
      <c r="V737" s="3">
        <v>-92.87</v>
      </c>
      <c r="W737" t="s">
        <v>1058</v>
      </c>
      <c r="X737" s="3">
        <v>-92.87</v>
      </c>
    </row>
    <row r="738" spans="1:24" s="2" customFormat="1" x14ac:dyDescent="0.2">
      <c r="A738" s="2">
        <v>738</v>
      </c>
      <c r="B738"/>
      <c r="C738" t="s">
        <v>153</v>
      </c>
      <c r="D738" t="s">
        <v>630</v>
      </c>
      <c r="E738" t="s">
        <v>910</v>
      </c>
      <c r="F738" t="s">
        <v>63</v>
      </c>
      <c r="G738" t="s">
        <v>25</v>
      </c>
      <c r="H738" t="str">
        <f t="shared" si="22"/>
        <v xml:space="preserve">PRÓ-LABORE MAYARA | Recorrência:10/12 | Observações: </v>
      </c>
      <c r="I738" t="s">
        <v>26</v>
      </c>
      <c r="J738" s="5">
        <v>-15000</v>
      </c>
      <c r="K738" s="4">
        <v>561620.36</v>
      </c>
      <c r="L738" t="s">
        <v>27</v>
      </c>
      <c r="M738" s="5">
        <v>-15000</v>
      </c>
      <c r="N738" s="3">
        <v>0</v>
      </c>
      <c r="O738" t="s">
        <v>1345</v>
      </c>
      <c r="P738" t="s">
        <v>1269</v>
      </c>
      <c r="Q738" t="s">
        <v>1328</v>
      </c>
      <c r="R738" t="str">
        <f t="shared" si="23"/>
        <v>Sim</v>
      </c>
      <c r="S738" t="s">
        <v>1328</v>
      </c>
      <c r="T738" t="s">
        <v>30</v>
      </c>
      <c r="U738" t="s">
        <v>631</v>
      </c>
      <c r="V738" s="3">
        <v>-15000</v>
      </c>
      <c r="W738" t="s">
        <v>632</v>
      </c>
      <c r="X738" s="3">
        <v>-15000</v>
      </c>
    </row>
    <row r="739" spans="1:24" s="2" customFormat="1" x14ac:dyDescent="0.2">
      <c r="A739">
        <v>739</v>
      </c>
      <c r="B739"/>
      <c r="C739" t="s">
        <v>153</v>
      </c>
      <c r="D739" t="s">
        <v>633</v>
      </c>
      <c r="E739" t="s">
        <v>910</v>
      </c>
      <c r="F739" t="s">
        <v>63</v>
      </c>
      <c r="G739" t="s">
        <v>25</v>
      </c>
      <c r="H739" t="str">
        <f t="shared" si="22"/>
        <v xml:space="preserve">PRÓ-LABORE NATASHA | Recorrência:10/12 | Observações: </v>
      </c>
      <c r="I739" t="s">
        <v>26</v>
      </c>
      <c r="J739" s="5">
        <v>-15000</v>
      </c>
      <c r="K739" s="4">
        <v>546620.36</v>
      </c>
      <c r="L739" t="s">
        <v>27</v>
      </c>
      <c r="M739" s="5">
        <v>-15000</v>
      </c>
      <c r="N739" s="3">
        <v>0</v>
      </c>
      <c r="O739" t="s">
        <v>1345</v>
      </c>
      <c r="P739" t="s">
        <v>1176</v>
      </c>
      <c r="Q739" t="s">
        <v>1328</v>
      </c>
      <c r="R739" t="str">
        <f t="shared" si="23"/>
        <v>Sim</v>
      </c>
      <c r="S739" t="s">
        <v>1328</v>
      </c>
      <c r="T739" t="s">
        <v>30</v>
      </c>
      <c r="U739" t="s">
        <v>631</v>
      </c>
      <c r="V739" s="3">
        <v>-15000</v>
      </c>
      <c r="W739" t="s">
        <v>577</v>
      </c>
      <c r="X739" s="3">
        <v>-15000</v>
      </c>
    </row>
    <row r="740" spans="1:24" s="2" customFormat="1" x14ac:dyDescent="0.2">
      <c r="A740" s="2">
        <v>740</v>
      </c>
      <c r="B740"/>
      <c r="C740" t="s">
        <v>153</v>
      </c>
      <c r="D740" t="s">
        <v>838</v>
      </c>
      <c r="E740" t="s">
        <v>1346</v>
      </c>
      <c r="F740" t="s">
        <v>63</v>
      </c>
      <c r="G740" t="s">
        <v>25</v>
      </c>
      <c r="H740" t="str">
        <f t="shared" si="22"/>
        <v xml:space="preserve">CARTÃO DE CREDITO_ FINAL 5507 | Recorrência:9/10 | Observações: </v>
      </c>
      <c r="I740" t="s">
        <v>26</v>
      </c>
      <c r="J740" s="5">
        <v>-995.29</v>
      </c>
      <c r="K740" s="4">
        <v>545625.06999999995</v>
      </c>
      <c r="L740" t="s">
        <v>27</v>
      </c>
      <c r="M740" s="5">
        <v>-995.29</v>
      </c>
      <c r="N740" s="3">
        <v>0</v>
      </c>
      <c r="O740" t="s">
        <v>1345</v>
      </c>
      <c r="P740" t="s">
        <v>1347</v>
      </c>
      <c r="Q740" t="s">
        <v>1347</v>
      </c>
      <c r="R740" t="str">
        <f t="shared" si="23"/>
        <v>Sim</v>
      </c>
      <c r="S740" t="s">
        <v>1347</v>
      </c>
      <c r="T740" t="s">
        <v>30</v>
      </c>
      <c r="U740" t="s">
        <v>764</v>
      </c>
      <c r="V740" s="3">
        <v>-995.29</v>
      </c>
      <c r="W740" t="s">
        <v>577</v>
      </c>
      <c r="X740" s="3">
        <v>-995.29</v>
      </c>
    </row>
    <row r="741" spans="1:24" s="2" customFormat="1" x14ac:dyDescent="0.2">
      <c r="A741">
        <v>741</v>
      </c>
      <c r="B741"/>
      <c r="C741" t="s">
        <v>153</v>
      </c>
      <c r="D741" t="s">
        <v>650</v>
      </c>
      <c r="E741" t="s">
        <v>910</v>
      </c>
      <c r="F741" t="s">
        <v>63</v>
      </c>
      <c r="G741" t="s">
        <v>25</v>
      </c>
      <c r="H741" t="str">
        <f t="shared" si="22"/>
        <v xml:space="preserve">FGTS | Recorrência:10/12 | Observações: </v>
      </c>
      <c r="I741" t="s">
        <v>26</v>
      </c>
      <c r="J741" s="5">
        <v>-153.13999999999999</v>
      </c>
      <c r="K741" s="4">
        <v>545471.93000000005</v>
      </c>
      <c r="L741" t="s">
        <v>27</v>
      </c>
      <c r="M741" s="5">
        <v>-153.13999999999999</v>
      </c>
      <c r="N741" s="3">
        <v>0</v>
      </c>
      <c r="O741" t="s">
        <v>1328</v>
      </c>
      <c r="P741" t="s">
        <v>1269</v>
      </c>
      <c r="Q741" t="s">
        <v>1319</v>
      </c>
      <c r="R741" t="str">
        <f t="shared" si="23"/>
        <v>Sim</v>
      </c>
      <c r="S741" t="s">
        <v>1319</v>
      </c>
      <c r="T741" t="s">
        <v>30</v>
      </c>
      <c r="U741" t="s">
        <v>651</v>
      </c>
      <c r="V741" s="3">
        <v>-153.13999999999999</v>
      </c>
      <c r="W741" t="s">
        <v>376</v>
      </c>
      <c r="X741" s="3">
        <v>-153.13999999999999</v>
      </c>
    </row>
    <row r="742" spans="1:24" s="2" customFormat="1" x14ac:dyDescent="0.2">
      <c r="A742" s="2">
        <v>742</v>
      </c>
      <c r="B742"/>
      <c r="C742" t="s">
        <v>153</v>
      </c>
      <c r="D742" t="s">
        <v>1348</v>
      </c>
      <c r="E742" t="s">
        <v>30</v>
      </c>
      <c r="F742" t="s">
        <v>63</v>
      </c>
      <c r="G742" t="s">
        <v>25</v>
      </c>
      <c r="H742" t="str">
        <f t="shared" si="22"/>
        <v xml:space="preserve">FÉRIAS + ABONO PECUNIÁRIO - ELIANE - PERIODO AQUISITIVO 22/01/21 A 21/01/22 | Recorrência: | Observações: </v>
      </c>
      <c r="I742" t="s">
        <v>491</v>
      </c>
      <c r="J742" s="5">
        <v>-2152.1999999999998</v>
      </c>
      <c r="K742" s="4">
        <v>543319.73</v>
      </c>
      <c r="L742" t="s">
        <v>27</v>
      </c>
      <c r="M742" s="5">
        <v>-2152.1999999999998</v>
      </c>
      <c r="N742" s="3">
        <v>0</v>
      </c>
      <c r="O742" t="s">
        <v>1328</v>
      </c>
      <c r="P742" t="s">
        <v>1349</v>
      </c>
      <c r="Q742" t="s">
        <v>1328</v>
      </c>
      <c r="R742" t="str">
        <f t="shared" si="23"/>
        <v>Sim</v>
      </c>
      <c r="S742" t="s">
        <v>1328</v>
      </c>
      <c r="T742" t="s">
        <v>30</v>
      </c>
      <c r="U742" t="s">
        <v>1350</v>
      </c>
      <c r="V742" s="3">
        <v>-2152.1999999999998</v>
      </c>
      <c r="W742" t="s">
        <v>1351</v>
      </c>
      <c r="X742" s="3">
        <v>-2152.1999999999998</v>
      </c>
    </row>
    <row r="743" spans="1:24" s="2" customFormat="1" x14ac:dyDescent="0.2">
      <c r="A743">
        <v>743</v>
      </c>
      <c r="B743"/>
      <c r="C743" t="s">
        <v>54</v>
      </c>
      <c r="D743" t="s">
        <v>1327</v>
      </c>
      <c r="E743" t="s">
        <v>30</v>
      </c>
      <c r="F743" t="s">
        <v>24</v>
      </c>
      <c r="G743" t="s">
        <v>25</v>
      </c>
      <c r="H743" t="str">
        <f t="shared" si="22"/>
        <v xml:space="preserve">RT - MARIELLA MATAVELLI | Recorrência: | Observações: </v>
      </c>
      <c r="I743" t="s">
        <v>491</v>
      </c>
      <c r="J743" s="4">
        <v>600</v>
      </c>
      <c r="K743" s="4">
        <v>543919.73</v>
      </c>
      <c r="L743" t="s">
        <v>27</v>
      </c>
      <c r="M743" s="4">
        <v>600</v>
      </c>
      <c r="N743" s="3">
        <v>0</v>
      </c>
      <c r="O743" t="s">
        <v>1328</v>
      </c>
      <c r="P743" t="s">
        <v>1352</v>
      </c>
      <c r="Q743" t="s">
        <v>1328</v>
      </c>
      <c r="R743" t="str">
        <f t="shared" si="23"/>
        <v>Sim</v>
      </c>
      <c r="S743" t="s">
        <v>1328</v>
      </c>
      <c r="T743" t="s">
        <v>30</v>
      </c>
      <c r="U743" t="s">
        <v>49</v>
      </c>
      <c r="V743" s="3">
        <v>600</v>
      </c>
      <c r="W743" t="s">
        <v>494</v>
      </c>
      <c r="X743" s="3">
        <v>600</v>
      </c>
    </row>
    <row r="744" spans="1:24" s="2" customFormat="1" x14ac:dyDescent="0.2">
      <c r="A744" s="2">
        <v>744</v>
      </c>
      <c r="B744"/>
      <c r="C744" t="s">
        <v>1256</v>
      </c>
      <c r="D744" t="s">
        <v>1353</v>
      </c>
      <c r="E744" t="s">
        <v>30</v>
      </c>
      <c r="F744" t="s">
        <v>24</v>
      </c>
      <c r="G744" t="s">
        <v>25</v>
      </c>
      <c r="H744" t="str">
        <f t="shared" si="22"/>
        <v>2/3 - PAGAMENTO DE PROJETO  2/3 | Recorrência: | Observações: O VALOR DO GERENCIAMENTO JÁ ESTÁ INCLUSO NO VALOR DO PROJETO.</v>
      </c>
      <c r="I744" t="s">
        <v>491</v>
      </c>
      <c r="J744" s="4">
        <v>7000</v>
      </c>
      <c r="K744" s="4">
        <v>550919.73</v>
      </c>
      <c r="L744" t="s">
        <v>27</v>
      </c>
      <c r="M744" s="4">
        <v>7000</v>
      </c>
      <c r="N744" s="3">
        <v>0</v>
      </c>
      <c r="O744" t="s">
        <v>1319</v>
      </c>
      <c r="P744" t="s">
        <v>1176</v>
      </c>
      <c r="Q744" t="s">
        <v>1334</v>
      </c>
      <c r="R744" t="str">
        <f t="shared" si="23"/>
        <v>Sim</v>
      </c>
      <c r="S744" t="s">
        <v>1334</v>
      </c>
      <c r="T744" t="s">
        <v>1258</v>
      </c>
      <c r="U744" t="s">
        <v>1259</v>
      </c>
      <c r="V744" s="3">
        <v>7000</v>
      </c>
      <c r="W744" t="s">
        <v>32</v>
      </c>
      <c r="X744" s="3">
        <v>7000</v>
      </c>
    </row>
    <row r="745" spans="1:24" s="2" customFormat="1" x14ac:dyDescent="0.2">
      <c r="A745">
        <v>745</v>
      </c>
      <c r="B745"/>
      <c r="C745" t="s">
        <v>47</v>
      </c>
      <c r="D745" t="s">
        <v>1355</v>
      </c>
      <c r="E745" t="s">
        <v>30</v>
      </c>
      <c r="F745" t="s">
        <v>24</v>
      </c>
      <c r="G745" t="s">
        <v>25</v>
      </c>
      <c r="H745" t="str">
        <f t="shared" si="22"/>
        <v xml:space="preserve">RT DANIELA CALITO E WILLIAM - ORÇ: 48324 | Recorrência: | Observações: </v>
      </c>
      <c r="I745" t="s">
        <v>491</v>
      </c>
      <c r="J745" s="4">
        <v>1550</v>
      </c>
      <c r="K745" s="4">
        <v>552469.73</v>
      </c>
      <c r="L745" t="s">
        <v>27</v>
      </c>
      <c r="M745" s="4">
        <v>1550</v>
      </c>
      <c r="N745" s="3">
        <v>0</v>
      </c>
      <c r="O745" t="s">
        <v>1354</v>
      </c>
      <c r="P745" t="s">
        <v>1352</v>
      </c>
      <c r="Q745" t="s">
        <v>1354</v>
      </c>
      <c r="R745" t="str">
        <f t="shared" si="23"/>
        <v>Sim</v>
      </c>
      <c r="S745" t="s">
        <v>1354</v>
      </c>
      <c r="T745" t="s">
        <v>30</v>
      </c>
      <c r="U745" t="s">
        <v>49</v>
      </c>
      <c r="V745" s="3">
        <v>1550</v>
      </c>
      <c r="W745" t="s">
        <v>494</v>
      </c>
      <c r="X745" s="3">
        <v>1550</v>
      </c>
    </row>
    <row r="746" spans="1:24" s="2" customFormat="1" x14ac:dyDescent="0.2">
      <c r="A746" s="2">
        <v>746</v>
      </c>
      <c r="B746" t="s">
        <v>647</v>
      </c>
      <c r="C746" t="s">
        <v>648</v>
      </c>
      <c r="D746" t="s">
        <v>649</v>
      </c>
      <c r="E746" t="s">
        <v>910</v>
      </c>
      <c r="F746" t="s">
        <v>63</v>
      </c>
      <c r="G746" t="s">
        <v>25</v>
      </c>
      <c r="H746" t="str">
        <f t="shared" si="22"/>
        <v xml:space="preserve">HONORÁRIOS CONTÁBEIS | Recorrência:10/12 | Observações: </v>
      </c>
      <c r="I746" t="s">
        <v>26</v>
      </c>
      <c r="J746" s="5">
        <v>-830</v>
      </c>
      <c r="K746" s="4">
        <v>551639.73</v>
      </c>
      <c r="L746" t="s">
        <v>27</v>
      </c>
      <c r="M746" s="5">
        <v>-830</v>
      </c>
      <c r="N746" s="3">
        <v>0</v>
      </c>
      <c r="O746" t="s">
        <v>1349</v>
      </c>
      <c r="P746" t="s">
        <v>1269</v>
      </c>
      <c r="Q746" t="s">
        <v>1319</v>
      </c>
      <c r="R746" t="str">
        <f t="shared" si="23"/>
        <v>Sim</v>
      </c>
      <c r="S746" t="s">
        <v>1319</v>
      </c>
      <c r="T746" t="s">
        <v>30</v>
      </c>
      <c r="U746" t="s">
        <v>608</v>
      </c>
      <c r="V746" s="3">
        <v>-830</v>
      </c>
      <c r="W746" t="s">
        <v>577</v>
      </c>
      <c r="X746" s="3">
        <v>-830</v>
      </c>
    </row>
    <row r="747" spans="1:24" s="2" customFormat="1" x14ac:dyDescent="0.2">
      <c r="A747">
        <v>747</v>
      </c>
      <c r="B747"/>
      <c r="C747" t="s">
        <v>297</v>
      </c>
      <c r="D747" t="s">
        <v>806</v>
      </c>
      <c r="E747" t="s">
        <v>910</v>
      </c>
      <c r="F747" t="s">
        <v>63</v>
      </c>
      <c r="G747" t="s">
        <v>25</v>
      </c>
      <c r="H747" t="str">
        <f t="shared" si="22"/>
        <v xml:space="preserve">DARF ISS | Recorrência:10/12 | Observações: </v>
      </c>
      <c r="I747" t="s">
        <v>26</v>
      </c>
      <c r="J747" s="5">
        <v>-2772.65</v>
      </c>
      <c r="K747" s="4">
        <v>548867.07999999996</v>
      </c>
      <c r="L747" t="s">
        <v>27</v>
      </c>
      <c r="M747" s="5">
        <v>-2772.65</v>
      </c>
      <c r="N747" s="3">
        <v>0</v>
      </c>
      <c r="O747" t="s">
        <v>1349</v>
      </c>
      <c r="P747" t="s">
        <v>1356</v>
      </c>
      <c r="Q747" t="s">
        <v>1357</v>
      </c>
      <c r="R747" t="str">
        <f t="shared" si="23"/>
        <v>Sim</v>
      </c>
      <c r="S747" t="s">
        <v>1357</v>
      </c>
      <c r="T747" t="s">
        <v>30</v>
      </c>
      <c r="U747" t="s">
        <v>656</v>
      </c>
      <c r="V747" s="3">
        <v>-2772.65</v>
      </c>
      <c r="W747" t="s">
        <v>376</v>
      </c>
      <c r="X747" s="3">
        <v>-2772.65</v>
      </c>
    </row>
    <row r="748" spans="1:24" s="2" customFormat="1" x14ac:dyDescent="0.2">
      <c r="A748" s="2">
        <v>748</v>
      </c>
      <c r="B748" t="s">
        <v>1358</v>
      </c>
      <c r="C748" t="s">
        <v>1359</v>
      </c>
      <c r="D748" t="s">
        <v>1360</v>
      </c>
      <c r="E748" t="s">
        <v>30</v>
      </c>
      <c r="F748" t="s">
        <v>24</v>
      </c>
      <c r="G748" t="s">
        <v>25</v>
      </c>
      <c r="H748" t="str">
        <f t="shared" si="22"/>
        <v>RT - PEDIDO 56705 - GABRIELA BORGES | Recorrência: | Observações: RT 10%</v>
      </c>
      <c r="I748" t="s">
        <v>491</v>
      </c>
      <c r="J748" s="4">
        <v>2770.45</v>
      </c>
      <c r="K748" s="4">
        <v>551637.53</v>
      </c>
      <c r="L748" t="s">
        <v>27</v>
      </c>
      <c r="M748" s="4">
        <v>2770.45</v>
      </c>
      <c r="N748" s="3">
        <v>0</v>
      </c>
      <c r="O748" t="s">
        <v>1349</v>
      </c>
      <c r="P748" t="s">
        <v>1354</v>
      </c>
      <c r="Q748" t="s">
        <v>1361</v>
      </c>
      <c r="R748" t="str">
        <f t="shared" si="23"/>
        <v>Sim</v>
      </c>
      <c r="S748" t="s">
        <v>1361</v>
      </c>
      <c r="T748" t="s">
        <v>1281</v>
      </c>
      <c r="U748" t="s">
        <v>49</v>
      </c>
      <c r="V748" s="3">
        <v>2770.45</v>
      </c>
      <c r="W748" t="s">
        <v>494</v>
      </c>
      <c r="X748" s="3">
        <v>2770.45</v>
      </c>
    </row>
    <row r="749" spans="1:24" s="2" customFormat="1" x14ac:dyDescent="0.2">
      <c r="A749">
        <v>749</v>
      </c>
      <c r="B749" t="s">
        <v>1363</v>
      </c>
      <c r="C749" t="s">
        <v>1364</v>
      </c>
      <c r="D749" t="s">
        <v>1365</v>
      </c>
      <c r="E749" t="s">
        <v>30</v>
      </c>
      <c r="F749" t="s">
        <v>24</v>
      </c>
      <c r="G749" t="s">
        <v>25</v>
      </c>
      <c r="H749" t="str">
        <f t="shared" si="22"/>
        <v xml:space="preserve">RT - GABRIELA BORGES | Recorrência: | Observações: RT 10%$ SOBRE O VALOR LIQUIDO DO PEDIDO - 
S/NF - PAGAMENTO REALIZADO 40 DIAS APÓS PEDIDO </v>
      </c>
      <c r="I749" t="s">
        <v>491</v>
      </c>
      <c r="J749" s="4">
        <v>3000</v>
      </c>
      <c r="K749" s="4">
        <v>554637.53</v>
      </c>
      <c r="L749" t="s">
        <v>27</v>
      </c>
      <c r="M749" s="4">
        <v>3000</v>
      </c>
      <c r="N749" s="3">
        <v>0</v>
      </c>
      <c r="O749" t="s">
        <v>1362</v>
      </c>
      <c r="P749" t="s">
        <v>1269</v>
      </c>
      <c r="Q749" t="s">
        <v>1362</v>
      </c>
      <c r="R749" t="str">
        <f t="shared" si="23"/>
        <v>Sim</v>
      </c>
      <c r="S749" t="s">
        <v>1362</v>
      </c>
      <c r="T749" t="s">
        <v>1366</v>
      </c>
      <c r="U749" t="s">
        <v>49</v>
      </c>
      <c r="V749" s="3">
        <v>3000</v>
      </c>
      <c r="W749" t="s">
        <v>494</v>
      </c>
      <c r="X749" s="3">
        <v>3000</v>
      </c>
    </row>
    <row r="750" spans="1:24" s="2" customFormat="1" x14ac:dyDescent="0.2">
      <c r="A750" s="2">
        <v>750</v>
      </c>
      <c r="B750"/>
      <c r="C750" t="s">
        <v>817</v>
      </c>
      <c r="D750" t="s">
        <v>1367</v>
      </c>
      <c r="E750" t="s">
        <v>30</v>
      </c>
      <c r="F750" t="s">
        <v>24</v>
      </c>
      <c r="G750" t="s">
        <v>25</v>
      </c>
      <c r="H750" t="str">
        <f t="shared" si="22"/>
        <v xml:space="preserve">COMPRA DE PLANTAS | Recorrência: | Observações: </v>
      </c>
      <c r="I750" t="s">
        <v>491</v>
      </c>
      <c r="J750" s="4">
        <v>694.45</v>
      </c>
      <c r="K750" s="4">
        <v>555331.98</v>
      </c>
      <c r="L750" t="s">
        <v>27</v>
      </c>
      <c r="M750" s="4">
        <v>694.45</v>
      </c>
      <c r="N750" s="3">
        <v>0</v>
      </c>
      <c r="O750" t="s">
        <v>1362</v>
      </c>
      <c r="P750" t="s">
        <v>1362</v>
      </c>
      <c r="Q750" t="s">
        <v>1362</v>
      </c>
      <c r="R750" t="str">
        <f t="shared" si="23"/>
        <v>Sim</v>
      </c>
      <c r="S750" t="s">
        <v>1362</v>
      </c>
      <c r="T750" t="s">
        <v>30</v>
      </c>
      <c r="U750" t="s">
        <v>40</v>
      </c>
      <c r="V750" s="3">
        <v>694.45</v>
      </c>
      <c r="W750" t="s">
        <v>219</v>
      </c>
      <c r="X750" s="3">
        <v>694.45</v>
      </c>
    </row>
    <row r="751" spans="1:24" s="2" customFormat="1" x14ac:dyDescent="0.2">
      <c r="A751">
        <v>751</v>
      </c>
      <c r="B751"/>
      <c r="C751" t="s">
        <v>666</v>
      </c>
      <c r="D751" t="s">
        <v>667</v>
      </c>
      <c r="E751" t="s">
        <v>910</v>
      </c>
      <c r="F751" t="s">
        <v>63</v>
      </c>
      <c r="G751" t="s">
        <v>25</v>
      </c>
      <c r="H751" t="str">
        <f t="shared" si="22"/>
        <v>TELEFONIA E INTERNET | Recorrência:10/12 | Observações: conta Mayara paga pelo APP&gt; Lembrar o Pagamento</v>
      </c>
      <c r="I751" t="s">
        <v>26</v>
      </c>
      <c r="J751" s="5">
        <v>-150.16</v>
      </c>
      <c r="K751" s="4">
        <v>555181.81999999995</v>
      </c>
      <c r="L751" t="s">
        <v>27</v>
      </c>
      <c r="M751" s="5">
        <v>-150.16</v>
      </c>
      <c r="N751" s="3">
        <v>0</v>
      </c>
      <c r="O751" t="s">
        <v>1324</v>
      </c>
      <c r="P751" t="s">
        <v>1283</v>
      </c>
      <c r="Q751" t="s">
        <v>1368</v>
      </c>
      <c r="R751" t="str">
        <f t="shared" si="23"/>
        <v>Sim</v>
      </c>
      <c r="S751" t="s">
        <v>1368</v>
      </c>
      <c r="T751" t="s">
        <v>669</v>
      </c>
      <c r="U751" t="s">
        <v>670</v>
      </c>
      <c r="V751" s="3">
        <v>-150.16</v>
      </c>
      <c r="W751" t="s">
        <v>324</v>
      </c>
      <c r="X751" s="3">
        <v>-150.16</v>
      </c>
    </row>
    <row r="752" spans="1:24" s="2" customFormat="1" x14ac:dyDescent="0.2">
      <c r="A752" s="2">
        <v>752</v>
      </c>
      <c r="B752"/>
      <c r="C752" t="s">
        <v>153</v>
      </c>
      <c r="D752" t="s">
        <v>1369</v>
      </c>
      <c r="E752" t="s">
        <v>30</v>
      </c>
      <c r="F752" t="s">
        <v>63</v>
      </c>
      <c r="G752" t="s">
        <v>25</v>
      </c>
      <c r="H752" t="str">
        <f t="shared" si="22"/>
        <v xml:space="preserve">REEMBOLSO ELIANE X HÉLIO MANTENÇÃO | Recorrência: | Observações: 66,60 - Eliane &gt; Padaria para reunião: Juliana e Tiago Koch e Farize e Leandro
30,00 - Hélio - Manutenção Interprise  - Peça da pia </v>
      </c>
      <c r="I752" t="s">
        <v>991</v>
      </c>
      <c r="J752" s="5">
        <v>-96.6</v>
      </c>
      <c r="K752" s="4">
        <v>555085.22</v>
      </c>
      <c r="L752" t="s">
        <v>27</v>
      </c>
      <c r="M752" s="5">
        <v>-96.6</v>
      </c>
      <c r="N752" s="3">
        <v>0</v>
      </c>
      <c r="O752" t="s">
        <v>1324</v>
      </c>
      <c r="P752" t="s">
        <v>1324</v>
      </c>
      <c r="Q752" t="s">
        <v>1324</v>
      </c>
      <c r="R752" t="str">
        <f t="shared" si="23"/>
        <v>Sim</v>
      </c>
      <c r="S752" t="s">
        <v>1324</v>
      </c>
      <c r="T752" t="s">
        <v>1370</v>
      </c>
      <c r="U752" t="s">
        <v>1371</v>
      </c>
      <c r="V752" s="3">
        <v>-96.6</v>
      </c>
      <c r="W752" t="s">
        <v>1058</v>
      </c>
      <c r="X752" s="3">
        <v>-96.6</v>
      </c>
    </row>
    <row r="753" spans="1:24" s="2" customFormat="1" x14ac:dyDescent="0.2">
      <c r="A753">
        <v>753</v>
      </c>
      <c r="B753" t="s">
        <v>1210</v>
      </c>
      <c r="C753" t="s">
        <v>1211</v>
      </c>
      <c r="D753" t="s">
        <v>1372</v>
      </c>
      <c r="E753" t="s">
        <v>30</v>
      </c>
      <c r="F753" t="s">
        <v>24</v>
      </c>
      <c r="G753" t="s">
        <v>25</v>
      </c>
      <c r="H753" t="str">
        <f t="shared" si="22"/>
        <v>2/2 - RT Projeto STEPHANIE PICCIOTTO 2/2 | Recorrência: | Observações: RT  10% do valor recebido e ao final + 10%</v>
      </c>
      <c r="I753" t="s">
        <v>991</v>
      </c>
      <c r="J753" s="4">
        <v>860</v>
      </c>
      <c r="K753" s="4">
        <v>555945.22</v>
      </c>
      <c r="L753" t="s">
        <v>27</v>
      </c>
      <c r="M753" s="4">
        <v>860</v>
      </c>
      <c r="N753" s="3">
        <v>0</v>
      </c>
      <c r="O753" t="s">
        <v>1361</v>
      </c>
      <c r="P753" t="s">
        <v>1177</v>
      </c>
      <c r="Q753" t="s">
        <v>1283</v>
      </c>
      <c r="R753" t="str">
        <f t="shared" si="23"/>
        <v>Sim</v>
      </c>
      <c r="S753" t="s">
        <v>1283</v>
      </c>
      <c r="T753" t="s">
        <v>1213</v>
      </c>
      <c r="U753" t="s">
        <v>49</v>
      </c>
      <c r="V753" s="3">
        <v>860</v>
      </c>
      <c r="W753" t="s">
        <v>494</v>
      </c>
      <c r="X753" s="3">
        <v>860</v>
      </c>
    </row>
    <row r="754" spans="1:24" s="2" customFormat="1" x14ac:dyDescent="0.2">
      <c r="A754" s="2">
        <v>754</v>
      </c>
      <c r="B754" t="s">
        <v>1373</v>
      </c>
      <c r="C754" t="s">
        <v>1374</v>
      </c>
      <c r="D754" t="s">
        <v>1375</v>
      </c>
      <c r="E754" t="s">
        <v>30</v>
      </c>
      <c r="F754" t="s">
        <v>24</v>
      </c>
      <c r="G754" t="s">
        <v>25</v>
      </c>
      <c r="H754" t="str">
        <f t="shared" si="22"/>
        <v>1/4 - PROJETO - O PARQUE | Recorrência: | Observações: DADOS PARA NF 
Pessoa Física
Nome Completo:  Diogo scuta Fagliari 
CPF: 333.824.408-81
Endereço: rua estuário 21 casa 4, chácara monte alegre , 04645-100
E-mail: Diogo.fagliari@terra.com.be
Telefone:+55 11 95593-1960</v>
      </c>
      <c r="I754" t="s">
        <v>491</v>
      </c>
      <c r="J754" s="4">
        <v>5175</v>
      </c>
      <c r="K754" s="4">
        <v>561120.22</v>
      </c>
      <c r="L754" t="s">
        <v>27</v>
      </c>
      <c r="M754" s="4">
        <v>5175</v>
      </c>
      <c r="N754" s="3">
        <v>0</v>
      </c>
      <c r="O754" t="s">
        <v>1361</v>
      </c>
      <c r="P754" t="s">
        <v>1376</v>
      </c>
      <c r="Q754" t="s">
        <v>1361</v>
      </c>
      <c r="R754" t="str">
        <f t="shared" si="23"/>
        <v>Sim</v>
      </c>
      <c r="S754" t="s">
        <v>1361</v>
      </c>
      <c r="T754" t="s">
        <v>1377</v>
      </c>
      <c r="U754" t="s">
        <v>31</v>
      </c>
      <c r="V754" s="3">
        <v>5175</v>
      </c>
      <c r="W754" t="s">
        <v>32</v>
      </c>
      <c r="X754" s="3">
        <v>5175</v>
      </c>
    </row>
    <row r="755" spans="1:24" s="2" customFormat="1" x14ac:dyDescent="0.2">
      <c r="A755">
        <v>755</v>
      </c>
      <c r="B755" t="s">
        <v>1048</v>
      </c>
      <c r="C755" t="s">
        <v>1049</v>
      </c>
      <c r="D755" t="s">
        <v>1378</v>
      </c>
      <c r="E755" t="s">
        <v>30</v>
      </c>
      <c r="F755" t="s">
        <v>24</v>
      </c>
      <c r="G755" t="s">
        <v>25</v>
      </c>
      <c r="H755" t="str">
        <f t="shared" si="22"/>
        <v xml:space="preserve">1/2 - RT 01 DE 02 DA FASE 02 E 03 - CLAUDIA E RONEI  1/2 | Recorrência: | Observações: </v>
      </c>
      <c r="I755" t="s">
        <v>491</v>
      </c>
      <c r="J755" s="4">
        <v>700</v>
      </c>
      <c r="K755" s="4">
        <v>561820.22</v>
      </c>
      <c r="L755" t="s">
        <v>27</v>
      </c>
      <c r="M755" s="4">
        <v>700</v>
      </c>
      <c r="N755" s="3">
        <v>0</v>
      </c>
      <c r="O755" t="s">
        <v>1361</v>
      </c>
      <c r="P755" t="s">
        <v>1352</v>
      </c>
      <c r="Q755" t="s">
        <v>1361</v>
      </c>
      <c r="R755" t="str">
        <f t="shared" si="23"/>
        <v>Sim</v>
      </c>
      <c r="S755" t="s">
        <v>1361</v>
      </c>
      <c r="T755" t="s">
        <v>30</v>
      </c>
      <c r="U755" t="s">
        <v>49</v>
      </c>
      <c r="V755" s="3">
        <v>700</v>
      </c>
      <c r="W755" t="s">
        <v>494</v>
      </c>
      <c r="X755" s="3">
        <v>700</v>
      </c>
    </row>
    <row r="756" spans="1:24" s="2" customFormat="1" x14ac:dyDescent="0.2">
      <c r="A756" s="2">
        <v>756</v>
      </c>
      <c r="B756"/>
      <c r="C756" t="s">
        <v>153</v>
      </c>
      <c r="D756" t="s">
        <v>1379</v>
      </c>
      <c r="E756" t="s">
        <v>30</v>
      </c>
      <c r="F756" t="s">
        <v>63</v>
      </c>
      <c r="G756" t="s">
        <v>25</v>
      </c>
      <c r="H756" t="str">
        <f t="shared" si="22"/>
        <v xml:space="preserve">KALUNGA(Mayara) + CIA BRAS DE DISTRIBUIÇÃO (Natasha) | Recorrência: | Observações: </v>
      </c>
      <c r="I756" t="s">
        <v>1072</v>
      </c>
      <c r="J756" s="5">
        <v>-160.12</v>
      </c>
      <c r="K756" s="4">
        <v>561660.1</v>
      </c>
      <c r="L756" t="s">
        <v>27</v>
      </c>
      <c r="M756" s="5">
        <v>-160.12</v>
      </c>
      <c r="N756" s="3">
        <v>0</v>
      </c>
      <c r="O756" t="s">
        <v>1357</v>
      </c>
      <c r="P756" t="s">
        <v>1357</v>
      </c>
      <c r="Q756" t="s">
        <v>1357</v>
      </c>
      <c r="R756" t="str">
        <f t="shared" si="23"/>
        <v>Sim</v>
      </c>
      <c r="S756" t="s">
        <v>1357</v>
      </c>
      <c r="T756" t="s">
        <v>30</v>
      </c>
      <c r="U756" t="s">
        <v>628</v>
      </c>
      <c r="V756" s="3">
        <v>-160.12</v>
      </c>
      <c r="W756" t="s">
        <v>1058</v>
      </c>
      <c r="X756" s="3">
        <v>-160.12</v>
      </c>
    </row>
    <row r="757" spans="1:24" s="2" customFormat="1" x14ac:dyDescent="0.2">
      <c r="A757">
        <v>757</v>
      </c>
      <c r="B757" t="s">
        <v>488</v>
      </c>
      <c r="C757" t="s">
        <v>489</v>
      </c>
      <c r="D757" t="s">
        <v>1381</v>
      </c>
      <c r="E757" t="s">
        <v>30</v>
      </c>
      <c r="F757" t="s">
        <v>24</v>
      </c>
      <c r="G757" t="s">
        <v>25</v>
      </c>
      <c r="H757" t="str">
        <f t="shared" si="22"/>
        <v xml:space="preserve">RT - GABRIELA BORGES - PEDIDO 06605 | Recorrência: | Observações: </v>
      </c>
      <c r="I757" t="s">
        <v>491</v>
      </c>
      <c r="J757" s="4">
        <v>309.89</v>
      </c>
      <c r="K757" s="4">
        <v>561969.99</v>
      </c>
      <c r="L757" t="s">
        <v>27</v>
      </c>
      <c r="M757" s="4">
        <v>309.89</v>
      </c>
      <c r="N757" s="3">
        <v>0</v>
      </c>
      <c r="O757" t="s">
        <v>1380</v>
      </c>
      <c r="P757" t="s">
        <v>1349</v>
      </c>
      <c r="Q757" t="s">
        <v>1382</v>
      </c>
      <c r="R757" t="str">
        <f t="shared" si="23"/>
        <v>Sim</v>
      </c>
      <c r="S757" t="s">
        <v>1382</v>
      </c>
      <c r="T757" t="s">
        <v>30</v>
      </c>
      <c r="U757" t="s">
        <v>49</v>
      </c>
      <c r="V757" s="3">
        <v>309.89</v>
      </c>
      <c r="W757" t="s">
        <v>494</v>
      </c>
      <c r="X757" s="3">
        <v>309.89</v>
      </c>
    </row>
    <row r="758" spans="1:24" s="2" customFormat="1" x14ac:dyDescent="0.2">
      <c r="A758" s="2">
        <v>758</v>
      </c>
      <c r="B758"/>
      <c r="C758" t="s">
        <v>1141</v>
      </c>
      <c r="D758" t="s">
        <v>1383</v>
      </c>
      <c r="E758" t="s">
        <v>30</v>
      </c>
      <c r="F758" t="s">
        <v>24</v>
      </c>
      <c r="G758" t="s">
        <v>25</v>
      </c>
      <c r="H758" t="str">
        <f t="shared" si="22"/>
        <v xml:space="preserve">4/4 - Projeto de arquitetura de interiores 4/4 | Recorrência: | Observações: </v>
      </c>
      <c r="I758" t="s">
        <v>991</v>
      </c>
      <c r="J758" s="4">
        <v>3500</v>
      </c>
      <c r="K758" s="4">
        <v>565469.99</v>
      </c>
      <c r="L758" t="s">
        <v>27</v>
      </c>
      <c r="M758" s="4">
        <v>3500</v>
      </c>
      <c r="N758" s="3">
        <v>0</v>
      </c>
      <c r="O758" t="s">
        <v>1380</v>
      </c>
      <c r="P758" t="s">
        <v>1137</v>
      </c>
      <c r="Q758" t="s">
        <v>1340</v>
      </c>
      <c r="R758" t="str">
        <f t="shared" si="23"/>
        <v>Sim</v>
      </c>
      <c r="S758" t="s">
        <v>1340</v>
      </c>
      <c r="T758" t="s">
        <v>30</v>
      </c>
      <c r="U758" t="s">
        <v>40</v>
      </c>
      <c r="V758" s="3">
        <v>3500</v>
      </c>
      <c r="W758" t="s">
        <v>32</v>
      </c>
      <c r="X758" s="3">
        <v>3500</v>
      </c>
    </row>
    <row r="759" spans="1:24" s="2" customFormat="1" x14ac:dyDescent="0.2">
      <c r="A759">
        <v>759</v>
      </c>
      <c r="B759"/>
      <c r="C759" t="s">
        <v>153</v>
      </c>
      <c r="D759" t="s">
        <v>715</v>
      </c>
      <c r="E759" t="s">
        <v>910</v>
      </c>
      <c r="F759" t="s">
        <v>63</v>
      </c>
      <c r="G759" t="s">
        <v>25</v>
      </c>
      <c r="H759" t="str">
        <f t="shared" si="22"/>
        <v xml:space="preserve">DARF PREVIDENCIARIO (ANTIGO GPS) | Recorrência:10/12 | Observações: valor poderá ser alterado </v>
      </c>
      <c r="I759" t="s">
        <v>755</v>
      </c>
      <c r="J759" s="5">
        <v>-1456.82</v>
      </c>
      <c r="K759" s="4">
        <v>564013.17000000004</v>
      </c>
      <c r="L759" t="s">
        <v>27</v>
      </c>
      <c r="M759" s="5">
        <v>-1456.82</v>
      </c>
      <c r="N759" s="3">
        <v>0</v>
      </c>
      <c r="O759" t="s">
        <v>1384</v>
      </c>
      <c r="P759" t="s">
        <v>1269</v>
      </c>
      <c r="Q759" t="s">
        <v>1384</v>
      </c>
      <c r="R759" t="str">
        <f t="shared" si="23"/>
        <v>Sim</v>
      </c>
      <c r="S759" t="s">
        <v>1384</v>
      </c>
      <c r="T759" t="s">
        <v>717</v>
      </c>
      <c r="U759" t="s">
        <v>677</v>
      </c>
      <c r="V759" s="3">
        <v>-1456.82</v>
      </c>
      <c r="W759" t="s">
        <v>376</v>
      </c>
      <c r="X759" s="3">
        <v>-1456.82</v>
      </c>
    </row>
    <row r="760" spans="1:24" s="2" customFormat="1" x14ac:dyDescent="0.2">
      <c r="A760" s="2">
        <v>760</v>
      </c>
      <c r="B760" t="s">
        <v>1288</v>
      </c>
      <c r="C760" t="s">
        <v>1289</v>
      </c>
      <c r="D760" t="s">
        <v>1386</v>
      </c>
      <c r="E760" t="s">
        <v>30</v>
      </c>
      <c r="F760" t="s">
        <v>24</v>
      </c>
      <c r="G760" t="s">
        <v>25</v>
      </c>
      <c r="H760" t="str">
        <f t="shared" si="22"/>
        <v>2/4 - RT - RIVIEIRA - COND. ED ALMIRANTE  - MARIA ISABEL NAJM E FABIO NAJM 2/4 | Recorrência: | Observações: Cliente: MARIA ISABEL CORREA NAJM STRAPETTI 
valor da Venda : 95.000,,00
RT: 5% = 4.750,00
16/09/22 - 2.125,00	
21/10/22 - 1.050,00
18/11/22 -  1.050,00
17/02/23 - 525,00( final da instalação do cliente , caso não finalize a obra no mês 02/23, o vencimento vai ser alterado.
Cliente: FABIO CORREA NAJM
valor da Venda : 95.000,,00
RT: 5% = 4.750,00
16/09/22 - 2.125,00
21/10/22- 1.050,00	
18/11/22- 1050,00	
17/02/23- 525,00( final da instalação do cliente , caso não finalize a obra no mês 02/23, o vencimento vai ser alterado.</v>
      </c>
      <c r="I760" t="s">
        <v>491</v>
      </c>
      <c r="J760" s="4">
        <v>2100</v>
      </c>
      <c r="K760" s="4">
        <v>566113.17000000004</v>
      </c>
      <c r="L760" t="s">
        <v>27</v>
      </c>
      <c r="M760" s="4">
        <v>2100</v>
      </c>
      <c r="N760" s="3">
        <v>0</v>
      </c>
      <c r="O760" t="s">
        <v>1385</v>
      </c>
      <c r="P760" t="s">
        <v>1291</v>
      </c>
      <c r="Q760" t="s">
        <v>1385</v>
      </c>
      <c r="R760" t="str">
        <f t="shared" si="23"/>
        <v>Sim</v>
      </c>
      <c r="S760" t="s">
        <v>1385</v>
      </c>
      <c r="T760" t="s">
        <v>1293</v>
      </c>
      <c r="U760" t="s">
        <v>49</v>
      </c>
      <c r="V760" s="3">
        <v>2100</v>
      </c>
      <c r="W760" t="s">
        <v>494</v>
      </c>
      <c r="X760" s="3">
        <v>2100</v>
      </c>
    </row>
    <row r="761" spans="1:24" s="2" customFormat="1" x14ac:dyDescent="0.2">
      <c r="A761">
        <v>761</v>
      </c>
      <c r="B761" t="s">
        <v>1288</v>
      </c>
      <c r="C761" t="s">
        <v>1289</v>
      </c>
      <c r="D761" t="s">
        <v>1387</v>
      </c>
      <c r="E761" t="s">
        <v>30</v>
      </c>
      <c r="F761" t="s">
        <v>24</v>
      </c>
      <c r="G761" t="s">
        <v>25</v>
      </c>
      <c r="H761" t="str">
        <f t="shared" si="22"/>
        <v xml:space="preserve">RT - RIVIEIRA - COND.ED ALMIRANTE  - MARIA ISABEL NAJM E FÁBIO NAJM - Pedido n° 20471 | Recorrência: | Observações: Pedido n° 20471
valor da Venda :10.000,00
RT: 5% = 500,00
programação de pagamento 
21/10/2022- 500,00
Cliente:  CONDOMÍNIO EDIFÍCIO ALMIRANTE ( MARIA ISABEL E FLÁVIO)
Pedido n° 20471
valor da Venda :10.000,00
RT: 5% = 500,00
programação de pagamento 
21/10/2022- 500,00
</v>
      </c>
      <c r="I761" t="s">
        <v>491</v>
      </c>
      <c r="J761" s="4">
        <v>1000</v>
      </c>
      <c r="K761" s="4">
        <v>567113.17000000004</v>
      </c>
      <c r="L761" t="s">
        <v>27</v>
      </c>
      <c r="M761" s="4">
        <v>1000</v>
      </c>
      <c r="N761" s="3">
        <v>0</v>
      </c>
      <c r="O761" t="s">
        <v>1385</v>
      </c>
      <c r="P761" t="s">
        <v>1291</v>
      </c>
      <c r="Q761" t="s">
        <v>1385</v>
      </c>
      <c r="R761" t="str">
        <f t="shared" si="23"/>
        <v>Sim</v>
      </c>
      <c r="S761" t="s">
        <v>1385</v>
      </c>
      <c r="T761" t="s">
        <v>1388</v>
      </c>
      <c r="U761" t="s">
        <v>49</v>
      </c>
      <c r="V761" s="3">
        <v>1000</v>
      </c>
      <c r="W761" t="s">
        <v>494</v>
      </c>
      <c r="X761" s="3">
        <v>1000</v>
      </c>
    </row>
    <row r="762" spans="1:24" s="2" customFormat="1" x14ac:dyDescent="0.2">
      <c r="A762" s="2">
        <v>762</v>
      </c>
      <c r="B762"/>
      <c r="C762" t="s">
        <v>828</v>
      </c>
      <c r="D762" t="s">
        <v>830</v>
      </c>
      <c r="E762" t="s">
        <v>1390</v>
      </c>
      <c r="F762" t="s">
        <v>63</v>
      </c>
      <c r="G762" t="s">
        <v>25</v>
      </c>
      <c r="H762" t="str">
        <f t="shared" si="22"/>
        <v xml:space="preserve">PREFEITURA DO MUNICIPIO DE BERTIOGA | Recorrência:8/41 | Observações: REF.02 PAGAMENTOS </v>
      </c>
      <c r="I762" t="s">
        <v>26</v>
      </c>
      <c r="J762" s="5">
        <v>-212.43</v>
      </c>
      <c r="K762" s="4">
        <v>566900.74</v>
      </c>
      <c r="L762" t="s">
        <v>27</v>
      </c>
      <c r="M762" s="5">
        <v>-212.43</v>
      </c>
      <c r="N762" s="3">
        <v>0</v>
      </c>
      <c r="O762" t="s">
        <v>1389</v>
      </c>
      <c r="P762" t="s">
        <v>1380</v>
      </c>
      <c r="Q762" t="s">
        <v>1391</v>
      </c>
      <c r="R762" t="str">
        <f t="shared" si="23"/>
        <v>Sim</v>
      </c>
      <c r="S762" t="s">
        <v>1391</v>
      </c>
      <c r="T762" t="s">
        <v>831</v>
      </c>
      <c r="U762" t="s">
        <v>832</v>
      </c>
      <c r="V762" s="3">
        <v>-212.43</v>
      </c>
    </row>
    <row r="763" spans="1:24" s="2" customFormat="1" x14ac:dyDescent="0.2">
      <c r="A763">
        <v>763</v>
      </c>
      <c r="B763"/>
      <c r="C763" t="s">
        <v>297</v>
      </c>
      <c r="D763" t="s">
        <v>481</v>
      </c>
      <c r="E763" t="s">
        <v>778</v>
      </c>
      <c r="F763" t="s">
        <v>63</v>
      </c>
      <c r="G763" t="s">
        <v>25</v>
      </c>
      <c r="H763" t="str">
        <f t="shared" si="22"/>
        <v>DARF_COFINS | Recorrência:8/12 | Observações: ATENÇÃO:
VENCIMENTO TODO DIA 25, EM CASO DE FERIADO/FINAL DE SEMANA O PAGAMENTO DEVERÁ SER ANTECIPADO OU SERÁ CONSIDERADO</v>
      </c>
      <c r="I763" t="s">
        <v>26</v>
      </c>
      <c r="J763" s="5">
        <v>-1072.74</v>
      </c>
      <c r="K763" s="4">
        <v>565828</v>
      </c>
      <c r="L763" t="s">
        <v>27</v>
      </c>
      <c r="M763" s="5">
        <v>-1072.74</v>
      </c>
      <c r="N763" s="3">
        <v>0</v>
      </c>
      <c r="O763" t="s">
        <v>1389</v>
      </c>
      <c r="P763" t="s">
        <v>1260</v>
      </c>
      <c r="Q763" t="s">
        <v>1392</v>
      </c>
      <c r="R763" t="str">
        <f t="shared" si="23"/>
        <v>Sim</v>
      </c>
      <c r="S763" t="s">
        <v>1392</v>
      </c>
      <c r="T763" t="s">
        <v>1110</v>
      </c>
      <c r="U763" t="s">
        <v>483</v>
      </c>
      <c r="V763" s="3">
        <v>-1072.74</v>
      </c>
      <c r="W763" t="s">
        <v>190</v>
      </c>
      <c r="X763" s="3">
        <v>-1072.74</v>
      </c>
    </row>
    <row r="764" spans="1:24" s="2" customFormat="1" x14ac:dyDescent="0.2">
      <c r="A764" s="2">
        <v>764</v>
      </c>
      <c r="B764"/>
      <c r="C764" t="s">
        <v>153</v>
      </c>
      <c r="D764" t="s">
        <v>151</v>
      </c>
      <c r="E764" t="s">
        <v>910</v>
      </c>
      <c r="F764" t="s">
        <v>63</v>
      </c>
      <c r="G764" t="s">
        <v>25</v>
      </c>
      <c r="H764" t="str">
        <f t="shared" si="22"/>
        <v xml:space="preserve">SODEXO - Eliane  | Recorrência:10/12 | Observações: </v>
      </c>
      <c r="I764" t="s">
        <v>26</v>
      </c>
      <c r="J764" s="5">
        <v>-610.04999999999995</v>
      </c>
      <c r="K764" s="4">
        <v>565217.94999999995</v>
      </c>
      <c r="L764" t="s">
        <v>27</v>
      </c>
      <c r="M764" s="5">
        <v>-610.04999999999995</v>
      </c>
      <c r="N764" s="3">
        <v>0</v>
      </c>
      <c r="O764" t="s">
        <v>1389</v>
      </c>
      <c r="P764" t="s">
        <v>1280</v>
      </c>
      <c r="Q764" t="s">
        <v>1376</v>
      </c>
      <c r="R764" t="str">
        <f t="shared" si="23"/>
        <v>Sim</v>
      </c>
      <c r="S764" t="s">
        <v>1376</v>
      </c>
      <c r="T764" t="s">
        <v>30</v>
      </c>
      <c r="U764" t="s">
        <v>93</v>
      </c>
      <c r="V764" s="3">
        <v>-610.04999999999995</v>
      </c>
      <c r="W764" t="s">
        <v>577</v>
      </c>
      <c r="X764" s="3">
        <v>-610.04999999999995</v>
      </c>
    </row>
    <row r="765" spans="1:24" s="2" customFormat="1" x14ac:dyDescent="0.2">
      <c r="A765">
        <v>765</v>
      </c>
      <c r="B765"/>
      <c r="C765" t="s">
        <v>297</v>
      </c>
      <c r="D765" t="s">
        <v>684</v>
      </c>
      <c r="E765" t="s">
        <v>853</v>
      </c>
      <c r="F765" t="s">
        <v>63</v>
      </c>
      <c r="G765" t="s">
        <v>25</v>
      </c>
      <c r="H765" t="str">
        <f t="shared" si="22"/>
        <v xml:space="preserve">DARF_ PIS | Recorrência:9/12 | Observações: </v>
      </c>
      <c r="I765" t="s">
        <v>755</v>
      </c>
      <c r="J765" s="5">
        <v>-232.42</v>
      </c>
      <c r="K765" s="4">
        <v>564985.53</v>
      </c>
      <c r="L765" t="s">
        <v>27</v>
      </c>
      <c r="M765" s="5">
        <v>-232.42</v>
      </c>
      <c r="N765" s="3">
        <v>0</v>
      </c>
      <c r="O765" t="s">
        <v>1389</v>
      </c>
      <c r="P765" t="s">
        <v>1260</v>
      </c>
      <c r="Q765" t="s">
        <v>1338</v>
      </c>
      <c r="R765" t="str">
        <f t="shared" si="23"/>
        <v>Sim</v>
      </c>
      <c r="S765" t="s">
        <v>1338</v>
      </c>
      <c r="T765" t="s">
        <v>30</v>
      </c>
      <c r="U765" t="s">
        <v>483</v>
      </c>
      <c r="V765" s="3">
        <v>-232.42</v>
      </c>
      <c r="W765" t="s">
        <v>376</v>
      </c>
      <c r="X765" s="3">
        <v>-232.42</v>
      </c>
    </row>
    <row r="766" spans="1:24" s="2" customFormat="1" x14ac:dyDescent="0.2">
      <c r="A766" s="2">
        <v>766</v>
      </c>
      <c r="B766"/>
      <c r="C766" t="s">
        <v>54</v>
      </c>
      <c r="D766" t="s">
        <v>49</v>
      </c>
      <c r="E766" t="s">
        <v>30</v>
      </c>
      <c r="F766" t="s">
        <v>24</v>
      </c>
      <c r="G766" t="s">
        <v>25</v>
      </c>
      <c r="H766" t="str">
        <f t="shared" si="22"/>
        <v xml:space="preserve">RESERVA TÉCNICA | Recorrência: | Observações: </v>
      </c>
      <c r="I766" t="s">
        <v>491</v>
      </c>
      <c r="J766" s="4">
        <v>600</v>
      </c>
      <c r="K766" s="4">
        <v>565585.53</v>
      </c>
      <c r="L766" t="s">
        <v>27</v>
      </c>
      <c r="M766" s="4">
        <v>600</v>
      </c>
      <c r="N766" s="3">
        <v>0</v>
      </c>
      <c r="O766" t="s">
        <v>1389</v>
      </c>
      <c r="P766" t="s">
        <v>1352</v>
      </c>
      <c r="Q766" t="s">
        <v>1389</v>
      </c>
      <c r="R766" t="str">
        <f t="shared" si="23"/>
        <v>Sim</v>
      </c>
      <c r="S766" t="s">
        <v>1389</v>
      </c>
      <c r="T766" t="s">
        <v>30</v>
      </c>
      <c r="U766" t="s">
        <v>49</v>
      </c>
      <c r="V766" s="3">
        <v>600</v>
      </c>
      <c r="W766" t="s">
        <v>494</v>
      </c>
      <c r="X766" s="3">
        <v>600</v>
      </c>
    </row>
    <row r="767" spans="1:24" s="2" customFormat="1" x14ac:dyDescent="0.2">
      <c r="A767">
        <v>767</v>
      </c>
      <c r="B767" t="s">
        <v>1393</v>
      </c>
      <c r="C767" t="s">
        <v>1394</v>
      </c>
      <c r="D767" t="s">
        <v>1395</v>
      </c>
      <c r="E767" t="s">
        <v>30</v>
      </c>
      <c r="F767" t="s">
        <v>24</v>
      </c>
      <c r="G767" t="s">
        <v>25</v>
      </c>
      <c r="H767" t="str">
        <f t="shared" si="22"/>
        <v>RESGATE DE PONTOS - pedido 2393662 atreladas no mês de SETEMBRO | Recorrência: | Observações: 
No. Pedido	Data da Baixa	Nome do Cliente                                 	Valor do Pedido	         Disponível em	
224954 	02/09/2022	MARCIO CALFA ANTONIO	R$                     953,03	                  14/10/2022	
204727	        04/08/2022	RONEI GOMES	                                       2.357,43	                  14/09/2022</v>
      </c>
      <c r="I767" t="s">
        <v>491</v>
      </c>
      <c r="J767" s="4">
        <v>114.42</v>
      </c>
      <c r="K767" s="4">
        <v>565699.94999999995</v>
      </c>
      <c r="L767" t="s">
        <v>27</v>
      </c>
      <c r="M767" s="4">
        <v>114.42</v>
      </c>
      <c r="N767" s="3">
        <v>0</v>
      </c>
      <c r="O767" t="s">
        <v>1389</v>
      </c>
      <c r="P767" t="s">
        <v>1357</v>
      </c>
      <c r="Q767" t="s">
        <v>1389</v>
      </c>
      <c r="R767" t="str">
        <f t="shared" si="23"/>
        <v>Sim</v>
      </c>
      <c r="S767" t="s">
        <v>1389</v>
      </c>
      <c r="T767" t="s">
        <v>1396</v>
      </c>
      <c r="U767" t="s">
        <v>49</v>
      </c>
      <c r="V767" s="3">
        <v>114.42</v>
      </c>
      <c r="W767" t="s">
        <v>128</v>
      </c>
      <c r="X767" s="3">
        <v>114.42</v>
      </c>
    </row>
    <row r="768" spans="1:24" s="2" customFormat="1" x14ac:dyDescent="0.2">
      <c r="A768" s="2">
        <v>768</v>
      </c>
      <c r="B768"/>
      <c r="C768" t="s">
        <v>153</v>
      </c>
      <c r="D768" t="s">
        <v>1398</v>
      </c>
      <c r="E768" t="s">
        <v>30</v>
      </c>
      <c r="F768" t="s">
        <v>63</v>
      </c>
      <c r="G768" t="s">
        <v>25</v>
      </c>
      <c r="H768" t="str">
        <f t="shared" si="22"/>
        <v>4/5 - SALÁRIO - MARCELA S CAVALCANTE 4/5 | Recorrência: | Observações: Marcela Santana Cavalcante
CPF 469.884.048-13
Data Nasc - 25/12/99
Contato: 011 - 9-8216-5601
E-mail: ma.santana456@gmail.com
Dados Bancário:
Banco: Nubank
Ag: 0001
Cc: 47598749-6</v>
      </c>
      <c r="I768" t="s">
        <v>1113</v>
      </c>
      <c r="J768" s="5">
        <v>-3002.06</v>
      </c>
      <c r="K768" s="4">
        <v>562697.89</v>
      </c>
      <c r="L768" t="s">
        <v>27</v>
      </c>
      <c r="M768" s="5">
        <v>-3002.06</v>
      </c>
      <c r="N768" s="3">
        <v>0</v>
      </c>
      <c r="O768" t="s">
        <v>1397</v>
      </c>
      <c r="P768" t="s">
        <v>1095</v>
      </c>
      <c r="Q768" t="s">
        <v>1399</v>
      </c>
      <c r="R768" t="str">
        <f t="shared" si="23"/>
        <v>nao</v>
      </c>
      <c r="S768" t="s">
        <v>1397</v>
      </c>
      <c r="T768" t="s">
        <v>1163</v>
      </c>
      <c r="U768" t="s">
        <v>323</v>
      </c>
      <c r="V768" s="3">
        <v>-3002.06</v>
      </c>
      <c r="W768" t="s">
        <v>1164</v>
      </c>
      <c r="X768" s="3">
        <v>-3002.06</v>
      </c>
    </row>
    <row r="769" spans="1:24" s="2" customFormat="1" x14ac:dyDescent="0.2">
      <c r="A769">
        <v>769</v>
      </c>
      <c r="B769"/>
      <c r="C769" t="s">
        <v>297</v>
      </c>
      <c r="D769" t="s">
        <v>721</v>
      </c>
      <c r="E769" t="s">
        <v>518</v>
      </c>
      <c r="F769" t="s">
        <v>63</v>
      </c>
      <c r="G769" t="s">
        <v>25</v>
      </c>
      <c r="H769" t="str">
        <f t="shared" si="22"/>
        <v>DARF_IRPJ | Recorrência:4/12 | Observações: trimestral</v>
      </c>
      <c r="I769" t="s">
        <v>26</v>
      </c>
      <c r="J769" s="5">
        <v>-3521.19</v>
      </c>
      <c r="K769" s="4">
        <v>559176.69999999995</v>
      </c>
      <c r="L769" t="s">
        <v>27</v>
      </c>
      <c r="M769" s="5">
        <v>-3521.19</v>
      </c>
      <c r="N769" s="3">
        <v>0</v>
      </c>
      <c r="O769" t="s">
        <v>1382</v>
      </c>
      <c r="P769" t="s">
        <v>911</v>
      </c>
      <c r="Q769" t="s">
        <v>1338</v>
      </c>
      <c r="R769" t="str">
        <f t="shared" si="23"/>
        <v>Sim</v>
      </c>
      <c r="S769" t="s">
        <v>1338</v>
      </c>
      <c r="T769" t="s">
        <v>903</v>
      </c>
      <c r="U769" t="s">
        <v>280</v>
      </c>
      <c r="V769" s="3">
        <v>-3521.19</v>
      </c>
    </row>
    <row r="770" spans="1:24" s="2" customFormat="1" x14ac:dyDescent="0.2">
      <c r="A770" s="2">
        <v>770</v>
      </c>
      <c r="B770"/>
      <c r="C770" t="s">
        <v>153</v>
      </c>
      <c r="D770" t="s">
        <v>1400</v>
      </c>
      <c r="E770" t="s">
        <v>30</v>
      </c>
      <c r="F770" t="s">
        <v>63</v>
      </c>
      <c r="G770" t="s">
        <v>25</v>
      </c>
      <c r="H770" t="str">
        <f t="shared" si="22"/>
        <v xml:space="preserve">DARF CLL | Recorrência: | Observações: </v>
      </c>
      <c r="I770" t="s">
        <v>26</v>
      </c>
      <c r="J770" s="5">
        <v>-2219.96</v>
      </c>
      <c r="K770" s="4">
        <v>556956.74</v>
      </c>
      <c r="L770" t="s">
        <v>27</v>
      </c>
      <c r="M770" s="5">
        <v>-2219.96</v>
      </c>
      <c r="N770" s="3">
        <v>0</v>
      </c>
      <c r="O770" t="s">
        <v>1382</v>
      </c>
      <c r="P770" t="s">
        <v>1384</v>
      </c>
      <c r="Q770" t="s">
        <v>1382</v>
      </c>
      <c r="R770" t="str">
        <f t="shared" si="23"/>
        <v>Sim</v>
      </c>
      <c r="S770" t="s">
        <v>1382</v>
      </c>
      <c r="T770" t="s">
        <v>30</v>
      </c>
      <c r="U770" t="s">
        <v>49</v>
      </c>
      <c r="V770" s="3">
        <v>-2219.96</v>
      </c>
      <c r="W770" t="s">
        <v>494</v>
      </c>
      <c r="X770" s="3">
        <v>-2219.96</v>
      </c>
    </row>
    <row r="771" spans="1:24" s="2" customFormat="1" x14ac:dyDescent="0.2">
      <c r="A771">
        <v>771</v>
      </c>
      <c r="B771"/>
      <c r="C771" t="s">
        <v>710</v>
      </c>
      <c r="D771" t="s">
        <v>711</v>
      </c>
      <c r="E771" t="s">
        <v>853</v>
      </c>
      <c r="F771" t="s">
        <v>63</v>
      </c>
      <c r="G771" t="s">
        <v>25</v>
      </c>
      <c r="H771" t="str">
        <f t="shared" ref="H771:H834" si="24">D771&amp;" | "&amp;$E$1&amp;E771&amp;" | Observações: "&amp;T771</f>
        <v xml:space="preserve">ELETROPAULO_ENERGIA _ITAIM | Recorrência:9/12 | Observações: </v>
      </c>
      <c r="I771" t="s">
        <v>26</v>
      </c>
      <c r="J771" s="5">
        <v>-263.04000000000002</v>
      </c>
      <c r="K771" s="4">
        <v>556693.69999999995</v>
      </c>
      <c r="L771" t="s">
        <v>27</v>
      </c>
      <c r="M771" s="5">
        <v>-263.04000000000002</v>
      </c>
      <c r="N771" s="3">
        <v>0</v>
      </c>
      <c r="O771" t="s">
        <v>1382</v>
      </c>
      <c r="P771" t="s">
        <v>1070</v>
      </c>
      <c r="Q771" t="s">
        <v>1397</v>
      </c>
      <c r="R771" t="str">
        <f t="shared" ref="R771:R834" si="25">IF(Q771=S771,"Sim","nao")</f>
        <v>Sim</v>
      </c>
      <c r="S771" t="s">
        <v>1397</v>
      </c>
      <c r="T771" t="s">
        <v>30</v>
      </c>
      <c r="U771" t="s">
        <v>125</v>
      </c>
      <c r="V771" s="3">
        <v>-263.04000000000002</v>
      </c>
      <c r="W771" t="s">
        <v>324</v>
      </c>
      <c r="X771" s="3">
        <v>-263.04000000000002</v>
      </c>
    </row>
    <row r="772" spans="1:24" s="2" customFormat="1" x14ac:dyDescent="0.2">
      <c r="A772" s="2">
        <v>772</v>
      </c>
      <c r="B772" t="s">
        <v>1243</v>
      </c>
      <c r="C772" t="s">
        <v>1244</v>
      </c>
      <c r="D772" t="s">
        <v>1401</v>
      </c>
      <c r="E772" t="s">
        <v>30</v>
      </c>
      <c r="F772" t="s">
        <v>24</v>
      </c>
      <c r="G772" t="s">
        <v>25</v>
      </c>
      <c r="H772" t="str">
        <f t="shared" si="24"/>
        <v>RT  - RICARDO GALVÃO - PEDIDO 20867 | Recorrência: | Observações: VALOR nf 1450,00</v>
      </c>
      <c r="I772" t="s">
        <v>491</v>
      </c>
      <c r="J772" s="4">
        <v>1428.25</v>
      </c>
      <c r="K772" s="4">
        <v>558121.94999999995</v>
      </c>
      <c r="L772" t="s">
        <v>27</v>
      </c>
      <c r="M772" s="4">
        <v>1428.25</v>
      </c>
      <c r="N772" s="3">
        <v>0</v>
      </c>
      <c r="O772" t="s">
        <v>1382</v>
      </c>
      <c r="P772" t="s">
        <v>1389</v>
      </c>
      <c r="Q772" t="s">
        <v>1389</v>
      </c>
      <c r="R772" t="str">
        <f t="shared" si="25"/>
        <v>Sim</v>
      </c>
      <c r="S772" t="s">
        <v>1389</v>
      </c>
      <c r="T772" t="s">
        <v>1402</v>
      </c>
      <c r="U772" t="s">
        <v>49</v>
      </c>
      <c r="V772" s="3">
        <v>1428.25</v>
      </c>
      <c r="W772" t="s">
        <v>494</v>
      </c>
      <c r="X772" s="3">
        <v>1428.25</v>
      </c>
    </row>
    <row r="773" spans="1:24" s="2" customFormat="1" x14ac:dyDescent="0.2">
      <c r="A773">
        <v>773</v>
      </c>
      <c r="B773"/>
      <c r="C773" t="s">
        <v>297</v>
      </c>
      <c r="D773" t="s">
        <v>904</v>
      </c>
      <c r="E773" t="s">
        <v>465</v>
      </c>
      <c r="F773" t="s">
        <v>63</v>
      </c>
      <c r="G773" t="s">
        <v>25</v>
      </c>
      <c r="H773" t="str">
        <f t="shared" si="24"/>
        <v xml:space="preserve">DARF_CSLL_trimestral | Recorrência:4/4 | Observações: </v>
      </c>
      <c r="I773" t="s">
        <v>26</v>
      </c>
      <c r="J773" s="5">
        <v>-2219.96</v>
      </c>
      <c r="K773" s="4">
        <v>555901.99</v>
      </c>
      <c r="L773" t="s">
        <v>27</v>
      </c>
      <c r="M773" s="5">
        <v>-2219.96</v>
      </c>
      <c r="N773" s="3">
        <v>0</v>
      </c>
      <c r="O773" t="s">
        <v>1382</v>
      </c>
      <c r="P773" t="s">
        <v>968</v>
      </c>
      <c r="Q773" t="s">
        <v>1382</v>
      </c>
      <c r="R773" t="str">
        <f t="shared" si="25"/>
        <v>nao</v>
      </c>
      <c r="S773" t="s">
        <v>1380</v>
      </c>
      <c r="T773" t="s">
        <v>30</v>
      </c>
      <c r="U773" t="s">
        <v>728</v>
      </c>
      <c r="V773" s="3">
        <v>-2219.96</v>
      </c>
      <c r="W773" t="s">
        <v>376</v>
      </c>
      <c r="X773" s="3">
        <v>-2219.96</v>
      </c>
    </row>
    <row r="774" spans="1:24" s="2" customFormat="1" x14ac:dyDescent="0.2">
      <c r="A774" s="2">
        <v>774</v>
      </c>
      <c r="B774"/>
      <c r="C774" t="s">
        <v>917</v>
      </c>
      <c r="D774" t="s">
        <v>1403</v>
      </c>
      <c r="E774" t="s">
        <v>465</v>
      </c>
      <c r="F774" t="s">
        <v>24</v>
      </c>
      <c r="G774" t="s">
        <v>25</v>
      </c>
      <c r="H774" t="str">
        <f t="shared" si="24"/>
        <v>GERENCIAMENTO DE PROJETO&gt;MN ARQUITETURA E INTERIORES | Recorrência:4/4 | Observações: Pagamento referente Gerenciamento</v>
      </c>
      <c r="I774" t="s">
        <v>491</v>
      </c>
      <c r="J774" s="4">
        <v>4000</v>
      </c>
      <c r="K774" s="4">
        <v>559901.99</v>
      </c>
      <c r="L774" t="s">
        <v>27</v>
      </c>
      <c r="M774" s="4">
        <v>4000</v>
      </c>
      <c r="N774" s="3">
        <v>0</v>
      </c>
      <c r="O774" t="s">
        <v>1399</v>
      </c>
      <c r="P774" t="s">
        <v>1039</v>
      </c>
      <c r="Q774" t="s">
        <v>1328</v>
      </c>
      <c r="R774" t="str">
        <f t="shared" si="25"/>
        <v>Sim</v>
      </c>
      <c r="S774" t="s">
        <v>1328</v>
      </c>
      <c r="T774" t="s">
        <v>1160</v>
      </c>
      <c r="U774" t="s">
        <v>274</v>
      </c>
      <c r="V774" s="3">
        <v>4000</v>
      </c>
      <c r="W774" t="s">
        <v>1161</v>
      </c>
      <c r="X774" s="3">
        <v>4000</v>
      </c>
    </row>
    <row r="775" spans="1:24" s="2" customFormat="1" x14ac:dyDescent="0.2">
      <c r="A775">
        <v>775</v>
      </c>
      <c r="B775"/>
      <c r="C775" t="s">
        <v>153</v>
      </c>
      <c r="D775" t="s">
        <v>1044</v>
      </c>
      <c r="E775" t="s">
        <v>1404</v>
      </c>
      <c r="F775" t="s">
        <v>63</v>
      </c>
      <c r="G775" t="s">
        <v>25</v>
      </c>
      <c r="H775" t="str">
        <f t="shared" si="24"/>
        <v xml:space="preserve">SALARIO FELIPE - ESTAGIÁRIO | Recorrência:12/12 | Observações: </v>
      </c>
      <c r="I775" t="s">
        <v>491</v>
      </c>
      <c r="J775" s="5">
        <v>-1514.65</v>
      </c>
      <c r="K775" s="4">
        <v>558387.34</v>
      </c>
      <c r="L775" t="s">
        <v>27</v>
      </c>
      <c r="M775" s="5">
        <v>-1514.65</v>
      </c>
      <c r="N775" s="3">
        <v>0</v>
      </c>
      <c r="O775" t="s">
        <v>1399</v>
      </c>
      <c r="P775" t="s">
        <v>1334</v>
      </c>
      <c r="Q775" t="s">
        <v>1399</v>
      </c>
      <c r="R775" t="str">
        <f t="shared" si="25"/>
        <v>Sim</v>
      </c>
      <c r="S775" t="s">
        <v>1399</v>
      </c>
      <c r="T775" t="s">
        <v>30</v>
      </c>
      <c r="U775" t="s">
        <v>323</v>
      </c>
      <c r="V775" s="3">
        <v>-1514.65</v>
      </c>
      <c r="W775" t="s">
        <v>324</v>
      </c>
      <c r="X775" s="3">
        <v>-1514.65</v>
      </c>
    </row>
    <row r="776" spans="1:24" s="2" customFormat="1" x14ac:dyDescent="0.2">
      <c r="A776" s="2">
        <v>776</v>
      </c>
      <c r="B776"/>
      <c r="C776" t="s">
        <v>153</v>
      </c>
      <c r="D776" t="s">
        <v>905</v>
      </c>
      <c r="E776" t="s">
        <v>1337</v>
      </c>
      <c r="F776" t="s">
        <v>63</v>
      </c>
      <c r="G776" t="s">
        <v>25</v>
      </c>
      <c r="H776" t="str">
        <f t="shared" si="24"/>
        <v xml:space="preserve">SALÁRIO JULYA | Recorrência:7/8 | Observações: </v>
      </c>
      <c r="I776" t="s">
        <v>491</v>
      </c>
      <c r="J776" s="5">
        <v>-3679.13</v>
      </c>
      <c r="K776" s="4">
        <v>554708.21</v>
      </c>
      <c r="L776" t="s">
        <v>27</v>
      </c>
      <c r="M776" s="5">
        <v>-3679.13</v>
      </c>
      <c r="N776" s="3">
        <v>0</v>
      </c>
      <c r="O776" t="s">
        <v>1399</v>
      </c>
      <c r="P776" t="s">
        <v>1399</v>
      </c>
      <c r="Q776" t="s">
        <v>1399</v>
      </c>
      <c r="R776" t="str">
        <f t="shared" si="25"/>
        <v>Sim</v>
      </c>
      <c r="S776" t="s">
        <v>1399</v>
      </c>
      <c r="T776" t="s">
        <v>30</v>
      </c>
      <c r="U776" t="s">
        <v>323</v>
      </c>
      <c r="V776" s="3">
        <v>-3679.13</v>
      </c>
      <c r="W776" t="s">
        <v>1043</v>
      </c>
      <c r="X776" s="3">
        <v>-3679.13</v>
      </c>
    </row>
    <row r="777" spans="1:24" s="2" customFormat="1" x14ac:dyDescent="0.2">
      <c r="A777">
        <v>777</v>
      </c>
      <c r="B777" t="s">
        <v>1406</v>
      </c>
      <c r="C777" t="s">
        <v>1407</v>
      </c>
      <c r="D777" t="s">
        <v>1408</v>
      </c>
      <c r="E777" t="s">
        <v>30</v>
      </c>
      <c r="F777" t="s">
        <v>24</v>
      </c>
      <c r="G777" t="s">
        <v>25</v>
      </c>
      <c r="H777" t="str">
        <f t="shared" si="24"/>
        <v xml:space="preserve">RT - CLAUDIA E RONEI - PEDIDO 193491 | Recorrência: | Observações: BRENTWOOD SHOPPING D &gt; VENDEDORA MARIA </v>
      </c>
      <c r="I777" t="s">
        <v>491</v>
      </c>
      <c r="J777" s="4">
        <v>2356.98</v>
      </c>
      <c r="K777" s="4">
        <v>557065.18999999994</v>
      </c>
      <c r="L777" t="s">
        <v>27</v>
      </c>
      <c r="M777" s="4">
        <v>2356.98</v>
      </c>
      <c r="N777" s="3">
        <v>0</v>
      </c>
      <c r="O777" t="s">
        <v>1405</v>
      </c>
      <c r="P777" t="s">
        <v>1349</v>
      </c>
      <c r="Q777" t="s">
        <v>1405</v>
      </c>
      <c r="R777" t="str">
        <f t="shared" si="25"/>
        <v>Sim</v>
      </c>
      <c r="S777" t="s">
        <v>1405</v>
      </c>
      <c r="T777" t="s">
        <v>1409</v>
      </c>
      <c r="U777" t="s">
        <v>49</v>
      </c>
      <c r="V777" s="3">
        <v>2356.98</v>
      </c>
      <c r="W777" t="s">
        <v>494</v>
      </c>
      <c r="X777" s="3">
        <v>2356.98</v>
      </c>
    </row>
    <row r="778" spans="1:24" s="2" customFormat="1" x14ac:dyDescent="0.2">
      <c r="A778" s="2">
        <v>778</v>
      </c>
      <c r="B778" t="s">
        <v>1048</v>
      </c>
      <c r="C778" t="s">
        <v>1049</v>
      </c>
      <c r="D778" t="s">
        <v>1410</v>
      </c>
      <c r="E778" t="s">
        <v>30</v>
      </c>
      <c r="F778" t="s">
        <v>24</v>
      </c>
      <c r="G778" t="s">
        <v>25</v>
      </c>
      <c r="H778" t="str">
        <f t="shared" si="24"/>
        <v xml:space="preserve">RT VANESSA E ADO - ultima de Obra de Cotia | Recorrência: | Observações: REFERENTE ULTIMO PAGAMENTO FALTANTE DA OBRA COTIA </v>
      </c>
      <c r="I778" t="s">
        <v>491</v>
      </c>
      <c r="J778" s="4">
        <v>2000</v>
      </c>
      <c r="K778" s="4">
        <v>559065.18999999994</v>
      </c>
      <c r="L778" t="s">
        <v>27</v>
      </c>
      <c r="M778" s="4">
        <v>2000</v>
      </c>
      <c r="N778" s="3">
        <v>0</v>
      </c>
      <c r="O778" t="s">
        <v>1405</v>
      </c>
      <c r="P778" t="s">
        <v>1411</v>
      </c>
      <c r="Q778" t="s">
        <v>1411</v>
      </c>
      <c r="R778" t="str">
        <f t="shared" si="25"/>
        <v>Sim</v>
      </c>
      <c r="S778" t="s">
        <v>1411</v>
      </c>
      <c r="T778" t="s">
        <v>1412</v>
      </c>
      <c r="U778" t="s">
        <v>49</v>
      </c>
      <c r="V778" s="3">
        <v>2000</v>
      </c>
      <c r="W778" t="s">
        <v>494</v>
      </c>
      <c r="X778" s="3">
        <v>2000</v>
      </c>
    </row>
    <row r="779" spans="1:24" s="2" customFormat="1" x14ac:dyDescent="0.2">
      <c r="A779">
        <v>779</v>
      </c>
      <c r="B779"/>
      <c r="C779" t="s">
        <v>1256</v>
      </c>
      <c r="D779" t="s">
        <v>1413</v>
      </c>
      <c r="E779" t="s">
        <v>30</v>
      </c>
      <c r="F779" t="s">
        <v>24</v>
      </c>
      <c r="G779" t="s">
        <v>25</v>
      </c>
      <c r="H779" t="str">
        <f t="shared" si="24"/>
        <v>3/3 - PAGAMENTO DE PROJETO  3/3 | Recorrência: | Observações: O VALOR DO GERENCIAMENTO JÁ ESTÁ INCLUSO NO VALOR DO PROJETO.</v>
      </c>
      <c r="I779" t="s">
        <v>491</v>
      </c>
      <c r="J779" s="4">
        <v>7200</v>
      </c>
      <c r="K779" s="4">
        <v>566265.18999999994</v>
      </c>
      <c r="L779" t="s">
        <v>27</v>
      </c>
      <c r="M779" s="4">
        <v>7200</v>
      </c>
      <c r="N779" s="3">
        <v>0</v>
      </c>
      <c r="O779" t="s">
        <v>1405</v>
      </c>
      <c r="P779" t="s">
        <v>1176</v>
      </c>
      <c r="Q779" t="s">
        <v>1382</v>
      </c>
      <c r="R779" t="str">
        <f t="shared" si="25"/>
        <v>Sim</v>
      </c>
      <c r="S779" t="s">
        <v>1382</v>
      </c>
      <c r="T779" t="s">
        <v>1258</v>
      </c>
      <c r="U779" t="s">
        <v>1259</v>
      </c>
      <c r="V779" s="3">
        <v>7200</v>
      </c>
      <c r="W779" t="s">
        <v>32</v>
      </c>
      <c r="X779" s="3">
        <v>7200</v>
      </c>
    </row>
    <row r="780" spans="1:24" s="2" customFormat="1" x14ac:dyDescent="0.2">
      <c r="A780" s="2">
        <v>780</v>
      </c>
      <c r="B780"/>
      <c r="C780" t="s">
        <v>153</v>
      </c>
      <c r="D780" t="s">
        <v>630</v>
      </c>
      <c r="E780" t="s">
        <v>955</v>
      </c>
      <c r="F780" t="s">
        <v>63</v>
      </c>
      <c r="G780" t="s">
        <v>25</v>
      </c>
      <c r="H780" t="str">
        <f t="shared" si="24"/>
        <v xml:space="preserve">PRÓ-LABORE MAYARA | Recorrência:11/12 | Observações: </v>
      </c>
      <c r="I780" t="s">
        <v>26</v>
      </c>
      <c r="J780" s="5">
        <v>-15000</v>
      </c>
      <c r="K780" s="4">
        <v>551265.18999999994</v>
      </c>
      <c r="L780" t="s">
        <v>27</v>
      </c>
      <c r="M780" s="5">
        <v>-15000</v>
      </c>
      <c r="N780" s="3">
        <v>0</v>
      </c>
      <c r="O780" t="s">
        <v>1414</v>
      </c>
      <c r="P780" t="s">
        <v>1319</v>
      </c>
      <c r="Q780" t="s">
        <v>1414</v>
      </c>
      <c r="R780" t="str">
        <f t="shared" si="25"/>
        <v>Sim</v>
      </c>
      <c r="S780" t="s">
        <v>1414</v>
      </c>
      <c r="T780" t="s">
        <v>30</v>
      </c>
      <c r="U780" t="s">
        <v>631</v>
      </c>
      <c r="V780" s="3">
        <v>-15000</v>
      </c>
      <c r="W780" t="s">
        <v>632</v>
      </c>
      <c r="X780" s="3">
        <v>-15000</v>
      </c>
    </row>
    <row r="781" spans="1:24" s="2" customFormat="1" x14ac:dyDescent="0.2">
      <c r="A781">
        <v>781</v>
      </c>
      <c r="B781"/>
      <c r="C781" t="s">
        <v>153</v>
      </c>
      <c r="D781" t="s">
        <v>633</v>
      </c>
      <c r="E781" t="s">
        <v>955</v>
      </c>
      <c r="F781" t="s">
        <v>63</v>
      </c>
      <c r="G781" t="s">
        <v>25</v>
      </c>
      <c r="H781" t="str">
        <f t="shared" si="24"/>
        <v xml:space="preserve">PRÓ-LABORE NATASHA | Recorrência:11/12 | Observações: </v>
      </c>
      <c r="I781" t="s">
        <v>26</v>
      </c>
      <c r="J781" s="5">
        <v>-15000</v>
      </c>
      <c r="K781" s="4">
        <v>536265.18999999994</v>
      </c>
      <c r="L781" t="s">
        <v>27</v>
      </c>
      <c r="M781" s="5">
        <v>-15000</v>
      </c>
      <c r="N781" s="3">
        <v>0</v>
      </c>
      <c r="O781" t="s">
        <v>1414</v>
      </c>
      <c r="P781" t="s">
        <v>1334</v>
      </c>
      <c r="Q781" t="s">
        <v>1414</v>
      </c>
      <c r="R781" t="str">
        <f t="shared" si="25"/>
        <v>Sim</v>
      </c>
      <c r="S781" t="s">
        <v>1414</v>
      </c>
      <c r="T781" t="s">
        <v>30</v>
      </c>
      <c r="U781" t="s">
        <v>631</v>
      </c>
      <c r="V781" s="3">
        <v>-15000</v>
      </c>
      <c r="W781" t="s">
        <v>577</v>
      </c>
      <c r="X781" s="3">
        <v>-15000</v>
      </c>
    </row>
    <row r="782" spans="1:24" s="2" customFormat="1" x14ac:dyDescent="0.2">
      <c r="A782" s="2">
        <v>782</v>
      </c>
      <c r="B782"/>
      <c r="C782"/>
      <c r="D782" t="s">
        <v>317</v>
      </c>
      <c r="E782" t="s">
        <v>30</v>
      </c>
      <c r="F782" t="s">
        <v>63</v>
      </c>
      <c r="G782" t="s">
        <v>25</v>
      </c>
      <c r="H782" t="str">
        <f t="shared" si="24"/>
        <v xml:space="preserve">WEBDAS HOSPEDAGEM DO SITE | Recorrência: | Observações: </v>
      </c>
      <c r="I782" t="s">
        <v>26</v>
      </c>
      <c r="J782" s="5">
        <v>-128.69999999999999</v>
      </c>
      <c r="K782" s="4">
        <v>536136.49</v>
      </c>
      <c r="L782" t="s">
        <v>27</v>
      </c>
      <c r="M782" s="5">
        <v>-128.69999999999999</v>
      </c>
      <c r="N782" s="3">
        <v>0</v>
      </c>
      <c r="O782" t="s">
        <v>1415</v>
      </c>
      <c r="P782" t="s">
        <v>1152</v>
      </c>
      <c r="Q782" t="s">
        <v>1405</v>
      </c>
      <c r="R782" t="str">
        <f t="shared" si="25"/>
        <v>Sim</v>
      </c>
      <c r="S782" t="s">
        <v>1405</v>
      </c>
      <c r="T782" t="s">
        <v>30</v>
      </c>
      <c r="U782" t="s">
        <v>319</v>
      </c>
      <c r="V782" s="3">
        <v>-128.69999999999999</v>
      </c>
    </row>
    <row r="783" spans="1:24" s="2" customFormat="1" x14ac:dyDescent="0.2">
      <c r="A783">
        <v>783</v>
      </c>
      <c r="B783"/>
      <c r="C783" t="s">
        <v>153</v>
      </c>
      <c r="D783" t="s">
        <v>650</v>
      </c>
      <c r="E783" t="s">
        <v>955</v>
      </c>
      <c r="F783" t="s">
        <v>63</v>
      </c>
      <c r="G783" t="s">
        <v>25</v>
      </c>
      <c r="H783" t="str">
        <f t="shared" si="24"/>
        <v xml:space="preserve">FGTS | Recorrência:11/12 | Observações: </v>
      </c>
      <c r="I783" t="s">
        <v>755</v>
      </c>
      <c r="J783" s="5">
        <v>-170.41</v>
      </c>
      <c r="K783" s="4">
        <v>535966.07999999996</v>
      </c>
      <c r="L783" t="s">
        <v>27</v>
      </c>
      <c r="M783" s="5">
        <v>-170.41</v>
      </c>
      <c r="N783" s="3">
        <v>0</v>
      </c>
      <c r="O783" t="s">
        <v>1415</v>
      </c>
      <c r="P783" t="s">
        <v>1319</v>
      </c>
      <c r="Q783" t="s">
        <v>1416</v>
      </c>
      <c r="R783" t="str">
        <f t="shared" si="25"/>
        <v>Sim</v>
      </c>
      <c r="S783" t="s">
        <v>1416</v>
      </c>
      <c r="T783" t="s">
        <v>30</v>
      </c>
      <c r="U783" t="s">
        <v>651</v>
      </c>
      <c r="V783" s="3">
        <v>-170.41</v>
      </c>
      <c r="W783" t="s">
        <v>376</v>
      </c>
      <c r="X783" s="3">
        <v>-170.41</v>
      </c>
    </row>
    <row r="784" spans="1:24" s="2" customFormat="1" x14ac:dyDescent="0.2">
      <c r="A784" s="2">
        <v>784</v>
      </c>
      <c r="B784"/>
      <c r="C784" t="s">
        <v>153</v>
      </c>
      <c r="D784" t="s">
        <v>1417</v>
      </c>
      <c r="E784" t="s">
        <v>955</v>
      </c>
      <c r="F784" t="s">
        <v>63</v>
      </c>
      <c r="G784" t="s">
        <v>25</v>
      </c>
      <c r="H784" t="str">
        <f t="shared" si="24"/>
        <v xml:space="preserve">SALÁRIO- REF 10 DIAS PECUNIÁRIO_FÉRIAS  ELIANE | Recorrência:11/12 | Observações: </v>
      </c>
      <c r="I784" t="s">
        <v>491</v>
      </c>
      <c r="J784" s="5">
        <v>-566.12</v>
      </c>
      <c r="K784" s="4">
        <v>535399.96</v>
      </c>
      <c r="L784" t="s">
        <v>27</v>
      </c>
      <c r="M784" s="5">
        <v>-566.12</v>
      </c>
      <c r="N784" s="3">
        <v>0</v>
      </c>
      <c r="O784" t="s">
        <v>1415</v>
      </c>
      <c r="P784" t="s">
        <v>1397</v>
      </c>
      <c r="Q784" t="s">
        <v>1414</v>
      </c>
      <c r="R784" t="str">
        <f t="shared" si="25"/>
        <v>Sim</v>
      </c>
      <c r="S784" t="s">
        <v>1414</v>
      </c>
      <c r="T784" t="s">
        <v>30</v>
      </c>
      <c r="U784" t="s">
        <v>323</v>
      </c>
      <c r="V784" s="3">
        <v>-566.12</v>
      </c>
      <c r="W784" t="s">
        <v>1351</v>
      </c>
      <c r="X784" s="3">
        <v>-566.12</v>
      </c>
    </row>
    <row r="785" spans="1:24" s="2" customFormat="1" x14ac:dyDescent="0.2">
      <c r="A785">
        <v>785</v>
      </c>
      <c r="B785"/>
      <c r="C785" t="s">
        <v>153</v>
      </c>
      <c r="D785" t="s">
        <v>659</v>
      </c>
      <c r="E785" t="s">
        <v>1418</v>
      </c>
      <c r="F785" t="s">
        <v>63</v>
      </c>
      <c r="G785" t="s">
        <v>25</v>
      </c>
      <c r="H785" t="str">
        <f t="shared" si="24"/>
        <v xml:space="preserve">VALE TRANSPORTE _ELIANE | Recorrência:8/8 | Observações: </v>
      </c>
      <c r="I785" t="s">
        <v>26</v>
      </c>
      <c r="J785" s="5">
        <v>-334.4</v>
      </c>
      <c r="K785" s="4">
        <v>535065.56000000006</v>
      </c>
      <c r="L785" t="s">
        <v>27</v>
      </c>
      <c r="M785" s="5">
        <v>-334.4</v>
      </c>
      <c r="N785" s="3">
        <v>0</v>
      </c>
      <c r="O785" t="s">
        <v>1415</v>
      </c>
      <c r="P785" t="s">
        <v>1399</v>
      </c>
      <c r="Q785" t="s">
        <v>1419</v>
      </c>
      <c r="R785" t="str">
        <f t="shared" si="25"/>
        <v>Sim</v>
      </c>
      <c r="S785" t="s">
        <v>1419</v>
      </c>
      <c r="T785" t="s">
        <v>30</v>
      </c>
      <c r="U785" t="s">
        <v>662</v>
      </c>
      <c r="V785" s="3">
        <v>-334.4</v>
      </c>
      <c r="W785" t="s">
        <v>577</v>
      </c>
      <c r="X785" s="3">
        <v>-334.4</v>
      </c>
    </row>
    <row r="786" spans="1:24" s="2" customFormat="1" x14ac:dyDescent="0.2">
      <c r="A786" s="2">
        <v>786</v>
      </c>
      <c r="B786"/>
      <c r="C786" t="s">
        <v>153</v>
      </c>
      <c r="D786" t="s">
        <v>1420</v>
      </c>
      <c r="E786" t="s">
        <v>30</v>
      </c>
      <c r="F786" t="s">
        <v>63</v>
      </c>
      <c r="G786" t="s">
        <v>25</v>
      </c>
      <c r="H786" t="str">
        <f t="shared" si="24"/>
        <v xml:space="preserve">CONTAAZUL SOFTWARE LTDA | Recorrência: | Observações: </v>
      </c>
      <c r="I786" t="s">
        <v>491</v>
      </c>
      <c r="J786" s="5">
        <v>-2157.77</v>
      </c>
      <c r="K786" s="4">
        <v>532907.79</v>
      </c>
      <c r="L786" t="s">
        <v>27</v>
      </c>
      <c r="M786" s="5">
        <v>-2157.77</v>
      </c>
      <c r="N786" s="3">
        <v>0</v>
      </c>
      <c r="O786" t="s">
        <v>1415</v>
      </c>
      <c r="P786" t="s">
        <v>1415</v>
      </c>
      <c r="Q786" t="s">
        <v>1415</v>
      </c>
      <c r="R786" t="str">
        <f t="shared" si="25"/>
        <v>Sim</v>
      </c>
      <c r="S786" t="s">
        <v>1415</v>
      </c>
      <c r="T786" t="s">
        <v>30</v>
      </c>
      <c r="U786" t="s">
        <v>1421</v>
      </c>
      <c r="V786" s="3">
        <v>-2157.77</v>
      </c>
      <c r="W786" t="s">
        <v>1058</v>
      </c>
      <c r="X786" s="3">
        <v>-2157.77</v>
      </c>
    </row>
    <row r="787" spans="1:24" s="2" customFormat="1" x14ac:dyDescent="0.2">
      <c r="A787">
        <v>787</v>
      </c>
      <c r="B787"/>
      <c r="C787" t="s">
        <v>153</v>
      </c>
      <c r="D787" t="s">
        <v>1422</v>
      </c>
      <c r="E787" t="s">
        <v>30</v>
      </c>
      <c r="F787" t="s">
        <v>63</v>
      </c>
      <c r="G787" t="s">
        <v>25</v>
      </c>
      <c r="H787" t="str">
        <f t="shared" si="24"/>
        <v xml:space="preserve">MATERIAIS DE LIMPEZA/HIGIENE | Recorrência: | Observações: </v>
      </c>
      <c r="I787" t="s">
        <v>1072</v>
      </c>
      <c r="J787" s="5">
        <v>-122.83</v>
      </c>
      <c r="K787" s="4">
        <v>532784.96</v>
      </c>
      <c r="L787" t="s">
        <v>27</v>
      </c>
      <c r="M787" s="5">
        <v>-122.83</v>
      </c>
      <c r="N787" s="3">
        <v>0</v>
      </c>
      <c r="O787" t="s">
        <v>1415</v>
      </c>
      <c r="P787" t="s">
        <v>1415</v>
      </c>
      <c r="Q787" t="s">
        <v>1415</v>
      </c>
      <c r="R787" t="str">
        <f t="shared" si="25"/>
        <v>Sim</v>
      </c>
      <c r="S787" t="s">
        <v>1415</v>
      </c>
      <c r="T787" t="s">
        <v>30</v>
      </c>
      <c r="U787" t="s">
        <v>1127</v>
      </c>
      <c r="V787" s="3">
        <v>-122.83</v>
      </c>
      <c r="W787" t="s">
        <v>158</v>
      </c>
      <c r="X787" s="3">
        <v>-122.83</v>
      </c>
    </row>
    <row r="788" spans="1:24" s="2" customFormat="1" x14ac:dyDescent="0.2">
      <c r="A788" s="2">
        <v>788</v>
      </c>
      <c r="B788"/>
      <c r="C788" t="s">
        <v>574</v>
      </c>
      <c r="D788" t="s">
        <v>575</v>
      </c>
      <c r="E788" t="s">
        <v>1404</v>
      </c>
      <c r="F788" t="s">
        <v>63</v>
      </c>
      <c r="G788" t="s">
        <v>25</v>
      </c>
      <c r="H788" t="str">
        <f t="shared" si="24"/>
        <v xml:space="preserve">ALUGUEL+CONDOMINIO+IPTU | Recorrência:12/12 | Observações: </v>
      </c>
      <c r="I788" t="s">
        <v>26</v>
      </c>
      <c r="J788" s="5">
        <v>-5902</v>
      </c>
      <c r="K788" s="4">
        <v>526882.96</v>
      </c>
      <c r="L788" t="s">
        <v>27</v>
      </c>
      <c r="M788" s="5">
        <v>-5902</v>
      </c>
      <c r="N788" s="3">
        <v>0</v>
      </c>
      <c r="O788" t="s">
        <v>1415</v>
      </c>
      <c r="P788" t="s">
        <v>1389</v>
      </c>
      <c r="Q788" t="s">
        <v>1414</v>
      </c>
      <c r="R788" t="str">
        <f t="shared" si="25"/>
        <v>Sim</v>
      </c>
      <c r="S788" t="s">
        <v>1414</v>
      </c>
      <c r="T788" t="s">
        <v>30</v>
      </c>
      <c r="U788" t="s">
        <v>571</v>
      </c>
      <c r="V788" s="3">
        <v>-5902</v>
      </c>
      <c r="W788" t="s">
        <v>577</v>
      </c>
      <c r="X788" s="3">
        <v>-5902</v>
      </c>
    </row>
    <row r="789" spans="1:24" s="2" customFormat="1" x14ac:dyDescent="0.2">
      <c r="A789">
        <v>789</v>
      </c>
      <c r="B789" t="s">
        <v>1423</v>
      </c>
      <c r="C789" t="s">
        <v>1424</v>
      </c>
      <c r="D789" t="s">
        <v>1425</v>
      </c>
      <c r="E789" t="s">
        <v>30</v>
      </c>
      <c r="F789" t="s">
        <v>24</v>
      </c>
      <c r="G789" t="s">
        <v>25</v>
      </c>
      <c r="H789" t="str">
        <f t="shared" si="24"/>
        <v>RT - JULIANA COVINO - PEDIDO 28778 | Recorrência: | Observações: RT 10%</v>
      </c>
      <c r="I789" t="s">
        <v>491</v>
      </c>
      <c r="J789" s="4">
        <v>786.03</v>
      </c>
      <c r="K789" s="4">
        <v>527668.99</v>
      </c>
      <c r="L789" t="s">
        <v>27</v>
      </c>
      <c r="M789" s="4">
        <v>786.03</v>
      </c>
      <c r="N789" s="3">
        <v>0</v>
      </c>
      <c r="O789" t="s">
        <v>1415</v>
      </c>
      <c r="P789" t="s">
        <v>1362</v>
      </c>
      <c r="Q789" t="s">
        <v>1415</v>
      </c>
      <c r="R789" t="str">
        <f t="shared" si="25"/>
        <v>Sim</v>
      </c>
      <c r="S789" t="s">
        <v>1415</v>
      </c>
      <c r="T789" t="s">
        <v>1281</v>
      </c>
      <c r="U789" t="s">
        <v>49</v>
      </c>
      <c r="V789" s="3">
        <v>786.03</v>
      </c>
      <c r="W789" t="s">
        <v>494</v>
      </c>
      <c r="X789" s="3">
        <v>786.03</v>
      </c>
    </row>
    <row r="790" spans="1:24" s="2" customFormat="1" x14ac:dyDescent="0.2">
      <c r="A790" s="2">
        <v>790</v>
      </c>
      <c r="B790"/>
      <c r="C790" t="s">
        <v>297</v>
      </c>
      <c r="D790" t="s">
        <v>806</v>
      </c>
      <c r="E790" t="s">
        <v>955</v>
      </c>
      <c r="F790" t="s">
        <v>63</v>
      </c>
      <c r="G790" t="s">
        <v>25</v>
      </c>
      <c r="H790" t="str">
        <f t="shared" si="24"/>
        <v xml:space="preserve">DARF ISS | Recorrência:11/12 | Observações: </v>
      </c>
      <c r="I790" t="s">
        <v>26</v>
      </c>
      <c r="J790" s="5">
        <v>-1520.35</v>
      </c>
      <c r="K790" s="4">
        <v>526148.64</v>
      </c>
      <c r="L790" t="s">
        <v>27</v>
      </c>
      <c r="M790" s="5">
        <v>-1520.35</v>
      </c>
      <c r="N790" s="3">
        <v>0</v>
      </c>
      <c r="O790" t="s">
        <v>1426</v>
      </c>
      <c r="P790" t="s">
        <v>1357</v>
      </c>
      <c r="Q790" t="s">
        <v>1426</v>
      </c>
      <c r="R790" t="str">
        <f t="shared" si="25"/>
        <v>Sim</v>
      </c>
      <c r="S790" t="s">
        <v>1426</v>
      </c>
      <c r="T790" t="s">
        <v>30</v>
      </c>
      <c r="U790" t="s">
        <v>656</v>
      </c>
      <c r="V790" s="3">
        <v>-1520.35</v>
      </c>
      <c r="W790" t="s">
        <v>376</v>
      </c>
      <c r="X790" s="3">
        <v>-1520.35</v>
      </c>
    </row>
    <row r="791" spans="1:24" s="2" customFormat="1" x14ac:dyDescent="0.2">
      <c r="A791">
        <v>791</v>
      </c>
      <c r="B791" t="s">
        <v>647</v>
      </c>
      <c r="C791" t="s">
        <v>648</v>
      </c>
      <c r="D791" t="s">
        <v>649</v>
      </c>
      <c r="E791" t="s">
        <v>955</v>
      </c>
      <c r="F791" t="s">
        <v>63</v>
      </c>
      <c r="G791" t="s">
        <v>25</v>
      </c>
      <c r="H791" t="str">
        <f t="shared" si="24"/>
        <v xml:space="preserve">HONORÁRIOS CONTÁBEIS | Recorrência:11/12 | Observações: </v>
      </c>
      <c r="I791" t="s">
        <v>755</v>
      </c>
      <c r="J791" s="5">
        <v>-830</v>
      </c>
      <c r="K791" s="4">
        <v>525318.64</v>
      </c>
      <c r="L791" t="s">
        <v>27</v>
      </c>
      <c r="M791" s="5">
        <v>-830</v>
      </c>
      <c r="N791" s="3">
        <v>0</v>
      </c>
      <c r="O791" t="s">
        <v>1426</v>
      </c>
      <c r="P791" t="s">
        <v>1319</v>
      </c>
      <c r="Q791" t="s">
        <v>1416</v>
      </c>
      <c r="R791" t="str">
        <f t="shared" si="25"/>
        <v>Sim</v>
      </c>
      <c r="S791" t="s">
        <v>1416</v>
      </c>
      <c r="T791" t="s">
        <v>30</v>
      </c>
      <c r="U791" t="s">
        <v>608</v>
      </c>
      <c r="V791" s="3">
        <v>-830</v>
      </c>
      <c r="W791" t="s">
        <v>577</v>
      </c>
      <c r="X791" s="3">
        <v>-830</v>
      </c>
    </row>
    <row r="792" spans="1:24" s="2" customFormat="1" x14ac:dyDescent="0.2">
      <c r="A792" s="2">
        <v>792</v>
      </c>
      <c r="B792" t="s">
        <v>1428</v>
      </c>
      <c r="C792" t="s">
        <v>1429</v>
      </c>
      <c r="D792" t="s">
        <v>1430</v>
      </c>
      <c r="E792" t="s">
        <v>30</v>
      </c>
      <c r="F792" t="s">
        <v>24</v>
      </c>
      <c r="G792" t="s">
        <v>25</v>
      </c>
      <c r="H792" t="str">
        <f t="shared" si="24"/>
        <v xml:space="preserve">RT ANA CAROLINA BERTONI - PEDIDO 12777 | Recorrência: | Observações: </v>
      </c>
      <c r="I792" t="s">
        <v>491</v>
      </c>
      <c r="J792" s="4">
        <v>709.53</v>
      </c>
      <c r="K792" s="4">
        <v>526028.17000000004</v>
      </c>
      <c r="L792" t="s">
        <v>27</v>
      </c>
      <c r="M792" s="4">
        <v>709.53</v>
      </c>
      <c r="N792" s="3">
        <v>0</v>
      </c>
      <c r="O792" t="s">
        <v>1427</v>
      </c>
      <c r="P792" t="s">
        <v>1176</v>
      </c>
      <c r="Q792" t="s">
        <v>1389</v>
      </c>
      <c r="R792" t="str">
        <f t="shared" si="25"/>
        <v>Sim</v>
      </c>
      <c r="S792" t="s">
        <v>1389</v>
      </c>
      <c r="T792" t="s">
        <v>30</v>
      </c>
      <c r="U792" t="s">
        <v>49</v>
      </c>
      <c r="V792" s="3">
        <v>709.53</v>
      </c>
      <c r="W792" t="s">
        <v>494</v>
      </c>
      <c r="X792" s="3">
        <v>709.53</v>
      </c>
    </row>
    <row r="793" spans="1:24" s="2" customFormat="1" x14ac:dyDescent="0.2">
      <c r="A793">
        <v>793</v>
      </c>
      <c r="B793"/>
      <c r="C793" t="s">
        <v>666</v>
      </c>
      <c r="D793" t="s">
        <v>667</v>
      </c>
      <c r="E793" t="s">
        <v>955</v>
      </c>
      <c r="F793" t="s">
        <v>63</v>
      </c>
      <c r="G793" t="s">
        <v>25</v>
      </c>
      <c r="H793" t="str">
        <f t="shared" si="24"/>
        <v>TELEFONIA E INTERNET | Recorrência:11/12 | Observações: conta Mayara paga pelo APP&gt; Lembrar o Pagamento</v>
      </c>
      <c r="I793" t="s">
        <v>26</v>
      </c>
      <c r="J793" s="5">
        <v>-150.36000000000001</v>
      </c>
      <c r="K793" s="4">
        <v>525877.81000000006</v>
      </c>
      <c r="L793" t="s">
        <v>27</v>
      </c>
      <c r="M793" s="5">
        <v>-150.36000000000001</v>
      </c>
      <c r="N793" s="3">
        <v>0</v>
      </c>
      <c r="O793" t="s">
        <v>1431</v>
      </c>
      <c r="P793" t="s">
        <v>1432</v>
      </c>
      <c r="Q793" t="s">
        <v>1411</v>
      </c>
      <c r="R793" t="str">
        <f t="shared" si="25"/>
        <v>Sim</v>
      </c>
      <c r="S793" t="s">
        <v>1411</v>
      </c>
      <c r="T793" t="s">
        <v>669</v>
      </c>
      <c r="U793" t="s">
        <v>670</v>
      </c>
      <c r="V793" s="3">
        <v>-150.36000000000001</v>
      </c>
      <c r="W793" t="s">
        <v>324</v>
      </c>
      <c r="X793" s="3">
        <v>-150.36000000000001</v>
      </c>
    </row>
    <row r="794" spans="1:24" s="2" customFormat="1" x14ac:dyDescent="0.2">
      <c r="A794" s="2">
        <v>794</v>
      </c>
      <c r="B794" t="s">
        <v>1373</v>
      </c>
      <c r="C794" t="s">
        <v>1374</v>
      </c>
      <c r="D794" t="s">
        <v>1434</v>
      </c>
      <c r="E794" t="s">
        <v>30</v>
      </c>
      <c r="F794" t="s">
        <v>24</v>
      </c>
      <c r="G794" t="s">
        <v>25</v>
      </c>
      <c r="H794" t="str">
        <f t="shared" si="24"/>
        <v>2/4 - PROJETO - O PARQUE | Recorrência: | Observações: DADOS PARA NF 
Pessoa Física
Nome Completo:  Diogo scuta Fagliari 
CPF: 333.824.408-81
Endereço: rua estuário 21 casa 4, chácara monte alegre , 04645-100
E-mail: Diogo.fagliari@terra.com.be
Telefone:+55 11 95593-1960</v>
      </c>
      <c r="I794" t="s">
        <v>491</v>
      </c>
      <c r="J794" s="4">
        <v>5175</v>
      </c>
      <c r="K794" s="4">
        <v>531052.81000000006</v>
      </c>
      <c r="L794" t="s">
        <v>27</v>
      </c>
      <c r="M794" s="4">
        <v>5175</v>
      </c>
      <c r="N794" s="3">
        <v>0</v>
      </c>
      <c r="O794" t="s">
        <v>1433</v>
      </c>
      <c r="P794" t="s">
        <v>1376</v>
      </c>
      <c r="Q794" t="s">
        <v>1435</v>
      </c>
      <c r="R794" t="str">
        <f t="shared" si="25"/>
        <v>Sim</v>
      </c>
      <c r="S794" t="s">
        <v>1435</v>
      </c>
      <c r="T794" t="s">
        <v>1377</v>
      </c>
      <c r="U794" t="s">
        <v>31</v>
      </c>
      <c r="V794" s="3">
        <v>5175</v>
      </c>
      <c r="W794" t="s">
        <v>32</v>
      </c>
      <c r="X794" s="3">
        <v>5175</v>
      </c>
    </row>
    <row r="795" spans="1:24" s="2" customFormat="1" x14ac:dyDescent="0.2">
      <c r="A795">
        <v>795</v>
      </c>
      <c r="B795"/>
      <c r="C795" t="s">
        <v>297</v>
      </c>
      <c r="D795" t="s">
        <v>715</v>
      </c>
      <c r="E795" t="s">
        <v>955</v>
      </c>
      <c r="F795" t="s">
        <v>63</v>
      </c>
      <c r="G795" t="s">
        <v>25</v>
      </c>
      <c r="H795" t="str">
        <f t="shared" si="24"/>
        <v xml:space="preserve">DARF PREVIDENCIARIO (ANTIGO GPS) | Recorrência:11/12 | Observações: valor poderá ser alterado </v>
      </c>
      <c r="I795" t="s">
        <v>755</v>
      </c>
      <c r="J795" s="5">
        <v>-1538.46</v>
      </c>
      <c r="K795" s="4">
        <v>529514.35</v>
      </c>
      <c r="L795" t="s">
        <v>27</v>
      </c>
      <c r="M795" s="5">
        <v>-1538.46</v>
      </c>
      <c r="N795" s="3">
        <v>0</v>
      </c>
      <c r="O795" t="s">
        <v>1352</v>
      </c>
      <c r="P795" t="s">
        <v>1319</v>
      </c>
      <c r="Q795" t="s">
        <v>1436</v>
      </c>
      <c r="R795" t="str">
        <f t="shared" si="25"/>
        <v>Sim</v>
      </c>
      <c r="S795" t="s">
        <v>1436</v>
      </c>
      <c r="T795" t="s">
        <v>717</v>
      </c>
      <c r="U795" t="s">
        <v>677</v>
      </c>
      <c r="V795" s="3">
        <v>-1538.46</v>
      </c>
      <c r="W795" t="s">
        <v>376</v>
      </c>
      <c r="X795" s="3">
        <v>-1538.46</v>
      </c>
    </row>
    <row r="796" spans="1:24" s="2" customFormat="1" x14ac:dyDescent="0.2">
      <c r="A796" s="2">
        <v>796</v>
      </c>
      <c r="B796" t="s">
        <v>1363</v>
      </c>
      <c r="C796" t="s">
        <v>1364</v>
      </c>
      <c r="D796" t="s">
        <v>1437</v>
      </c>
      <c r="E796" t="s">
        <v>30</v>
      </c>
      <c r="F796" t="s">
        <v>24</v>
      </c>
      <c r="G796" t="s">
        <v>25</v>
      </c>
      <c r="H796" t="str">
        <f t="shared" si="24"/>
        <v xml:space="preserve">RT PEDIDO 7001928 - GABRIELA BORGES | Recorrência: | Observações: </v>
      </c>
      <c r="I796" t="s">
        <v>491</v>
      </c>
      <c r="J796" s="4">
        <v>16948</v>
      </c>
      <c r="K796" s="4">
        <v>546462.35</v>
      </c>
      <c r="L796" t="s">
        <v>27</v>
      </c>
      <c r="M796" s="4">
        <v>16948</v>
      </c>
      <c r="N796" s="3">
        <v>0</v>
      </c>
      <c r="O796" t="s">
        <v>1352</v>
      </c>
      <c r="P796" t="s">
        <v>1352</v>
      </c>
      <c r="Q796" t="s">
        <v>1352</v>
      </c>
      <c r="R796" t="str">
        <f t="shared" si="25"/>
        <v>Sim</v>
      </c>
      <c r="S796" t="s">
        <v>1352</v>
      </c>
      <c r="T796" t="s">
        <v>30</v>
      </c>
      <c r="U796" t="s">
        <v>49</v>
      </c>
      <c r="V796" s="3">
        <v>16948</v>
      </c>
      <c r="W796" t="s">
        <v>494</v>
      </c>
      <c r="X796" s="3">
        <v>16948</v>
      </c>
    </row>
    <row r="797" spans="1:24" s="2" customFormat="1" x14ac:dyDescent="0.2">
      <c r="A797">
        <v>797</v>
      </c>
      <c r="B797" t="s">
        <v>1317</v>
      </c>
      <c r="C797" t="s">
        <v>873</v>
      </c>
      <c r="D797" t="s">
        <v>1438</v>
      </c>
      <c r="E797" t="s">
        <v>30</v>
      </c>
      <c r="F797" t="s">
        <v>24</v>
      </c>
      <c r="G797" t="s">
        <v>25</v>
      </c>
      <c r="H797" t="str">
        <f t="shared" si="24"/>
        <v xml:space="preserve">RT Dani e William | Recorrência: | Observações: </v>
      </c>
      <c r="I797" t="s">
        <v>991</v>
      </c>
      <c r="J797" s="4">
        <v>775.6</v>
      </c>
      <c r="K797" s="4">
        <v>547237.94999999995</v>
      </c>
      <c r="L797" t="s">
        <v>27</v>
      </c>
      <c r="M797" s="4">
        <v>775.6</v>
      </c>
      <c r="N797" s="3">
        <v>0</v>
      </c>
      <c r="O797" t="s">
        <v>1352</v>
      </c>
      <c r="P797" t="s">
        <v>1439</v>
      </c>
      <c r="Q797" t="s">
        <v>1352</v>
      </c>
      <c r="R797" t="str">
        <f t="shared" si="25"/>
        <v>Sim</v>
      </c>
      <c r="S797" t="s">
        <v>1352</v>
      </c>
      <c r="T797" t="s">
        <v>30</v>
      </c>
      <c r="U797" t="s">
        <v>49</v>
      </c>
      <c r="V797" s="3">
        <v>775.6</v>
      </c>
      <c r="W797" t="s">
        <v>494</v>
      </c>
      <c r="X797" s="3">
        <v>775.6</v>
      </c>
    </row>
    <row r="798" spans="1:24" s="2" customFormat="1" x14ac:dyDescent="0.2">
      <c r="A798" s="2">
        <v>798</v>
      </c>
      <c r="B798" t="s">
        <v>1288</v>
      </c>
      <c r="C798" t="s">
        <v>1289</v>
      </c>
      <c r="D798" t="s">
        <v>1440</v>
      </c>
      <c r="E798" t="s">
        <v>30</v>
      </c>
      <c r="F798" t="s">
        <v>24</v>
      </c>
      <c r="G798" t="s">
        <v>25</v>
      </c>
      <c r="H798" t="str">
        <f t="shared" si="24"/>
        <v>3/4 - RT - RIVIEIRA - COND. ED ALMIRANTE  - MARIA ISABEL NAJM E FABIO NAJM 3/4 | Recorrência: | Observações: Cliente: MARIA ISABEL CORREA NAJM STRAPETTI 
valor da Venda : 95.000,,00
RT: 5% = 4.750,00
16/09/22 - 2.125,00	
21/10/22 - 1.050,00
18/11/22 -  1.050,00
17/02/23 - 525,00( final da instalação do cliente , caso não finalize a obra no mês 02/23, o vencimento vai ser alterado.
Cliente: FABIO CORREA NAJM
valor da Venda : 95.000,,00
RT: 5% = 4.750,00
16/09/22 - 2.125,00
21/10/22- 1.050,00	
18/11/22- 1050,00	
17/02/23- 525,00( final da instalação do cliente , caso não finalize a obra no mês 02/23, o vencimento vai ser alterado.</v>
      </c>
      <c r="I798" t="s">
        <v>491</v>
      </c>
      <c r="J798" s="4">
        <v>2100</v>
      </c>
      <c r="K798" s="4">
        <v>549337.94999999995</v>
      </c>
      <c r="L798" t="s">
        <v>27</v>
      </c>
      <c r="M798" s="4">
        <v>2100</v>
      </c>
      <c r="N798" s="3">
        <v>0</v>
      </c>
      <c r="O798" t="s">
        <v>1352</v>
      </c>
      <c r="P798" t="s">
        <v>1291</v>
      </c>
      <c r="Q798" t="s">
        <v>1441</v>
      </c>
      <c r="R798" t="str">
        <f t="shared" si="25"/>
        <v>Sim</v>
      </c>
      <c r="S798" t="s">
        <v>1441</v>
      </c>
      <c r="T798" t="s">
        <v>1293</v>
      </c>
      <c r="U798" t="s">
        <v>49</v>
      </c>
      <c r="V798" s="3">
        <v>2100</v>
      </c>
      <c r="W798" t="s">
        <v>494</v>
      </c>
      <c r="X798" s="3">
        <v>2100</v>
      </c>
    </row>
    <row r="799" spans="1:24" s="2" customFormat="1" x14ac:dyDescent="0.2">
      <c r="A799">
        <v>799</v>
      </c>
      <c r="B799"/>
      <c r="C799" t="s">
        <v>153</v>
      </c>
      <c r="D799" t="s">
        <v>1443</v>
      </c>
      <c r="E799" t="s">
        <v>30</v>
      </c>
      <c r="F799" t="s">
        <v>63</v>
      </c>
      <c r="G799" t="s">
        <v>25</v>
      </c>
      <c r="H799" t="str">
        <f t="shared" si="24"/>
        <v xml:space="preserve">1ª Parcela - 13º salário&gt; Eliane | Recorrência: | Observações: </v>
      </c>
      <c r="I799" t="s">
        <v>991</v>
      </c>
      <c r="J799" s="5">
        <v>-876.61</v>
      </c>
      <c r="K799" s="4">
        <v>548461.34</v>
      </c>
      <c r="L799" t="s">
        <v>27</v>
      </c>
      <c r="M799" s="5">
        <v>-876.61</v>
      </c>
      <c r="N799" s="3">
        <v>0</v>
      </c>
      <c r="O799" t="s">
        <v>1442</v>
      </c>
      <c r="P799" t="s">
        <v>1352</v>
      </c>
      <c r="Q799" t="s">
        <v>1442</v>
      </c>
      <c r="R799" t="str">
        <f t="shared" si="25"/>
        <v>Sim</v>
      </c>
      <c r="S799" t="s">
        <v>1442</v>
      </c>
      <c r="T799" t="s">
        <v>30</v>
      </c>
      <c r="U799" t="s">
        <v>550</v>
      </c>
      <c r="V799" s="3">
        <v>-876.61</v>
      </c>
      <c r="W799" t="s">
        <v>1043</v>
      </c>
      <c r="X799" s="3">
        <v>-876.61</v>
      </c>
    </row>
    <row r="800" spans="1:24" s="2" customFormat="1" x14ac:dyDescent="0.2">
      <c r="A800" s="2">
        <v>800</v>
      </c>
      <c r="B800"/>
      <c r="C800" t="s">
        <v>153</v>
      </c>
      <c r="D800" t="s">
        <v>1040</v>
      </c>
      <c r="E800" t="s">
        <v>955</v>
      </c>
      <c r="F800" t="s">
        <v>63</v>
      </c>
      <c r="G800" t="s">
        <v>25</v>
      </c>
      <c r="H800" t="str">
        <f t="shared" si="24"/>
        <v xml:space="preserve">SODEXO - Eliane | Recorrência:11/12 | Observações: </v>
      </c>
      <c r="I800" t="s">
        <v>26</v>
      </c>
      <c r="J800" s="5">
        <v>-581</v>
      </c>
      <c r="K800" s="4">
        <v>547880.34</v>
      </c>
      <c r="L800" t="s">
        <v>27</v>
      </c>
      <c r="M800" s="5">
        <v>-581</v>
      </c>
      <c r="N800" s="3">
        <v>0</v>
      </c>
      <c r="O800" t="s">
        <v>1444</v>
      </c>
      <c r="P800" t="s">
        <v>1384</v>
      </c>
      <c r="Q800" t="s">
        <v>1436</v>
      </c>
      <c r="R800" t="str">
        <f t="shared" si="25"/>
        <v>Sim</v>
      </c>
      <c r="S800" t="s">
        <v>1436</v>
      </c>
      <c r="T800" t="s">
        <v>30</v>
      </c>
      <c r="U800" t="s">
        <v>93</v>
      </c>
      <c r="V800" s="3">
        <v>-581</v>
      </c>
      <c r="W800" t="s">
        <v>577</v>
      </c>
      <c r="X800" s="3">
        <v>-581</v>
      </c>
    </row>
    <row r="801" spans="1:24" s="2" customFormat="1" x14ac:dyDescent="0.2">
      <c r="A801">
        <v>801</v>
      </c>
      <c r="B801"/>
      <c r="C801" t="s">
        <v>297</v>
      </c>
      <c r="D801" t="s">
        <v>481</v>
      </c>
      <c r="E801" t="s">
        <v>853</v>
      </c>
      <c r="F801" t="s">
        <v>63</v>
      </c>
      <c r="G801" t="s">
        <v>25</v>
      </c>
      <c r="H801" t="str">
        <f t="shared" si="24"/>
        <v>DARF_COFINS | Recorrência:9/12 | Observações: ATENÇÃO:
VENCIMENTO TODO DIA 25, EM CASO DE FERIADO/FINAL DE SEMANA O PAGAMENTO DEVERÁ SER ANTECIPADO OU SERÁ CONSIDERADO</v>
      </c>
      <c r="I801" t="s">
        <v>26</v>
      </c>
      <c r="J801" s="5">
        <v>-574.5</v>
      </c>
      <c r="K801" s="4">
        <v>547305.84</v>
      </c>
      <c r="L801" t="s">
        <v>27</v>
      </c>
      <c r="M801" s="5">
        <v>-574.5</v>
      </c>
      <c r="N801" s="3">
        <v>0</v>
      </c>
      <c r="O801" t="s">
        <v>1444</v>
      </c>
      <c r="P801" t="s">
        <v>1382</v>
      </c>
      <c r="Q801" t="s">
        <v>1445</v>
      </c>
      <c r="R801" t="str">
        <f t="shared" si="25"/>
        <v>Sim</v>
      </c>
      <c r="S801" t="s">
        <v>1445</v>
      </c>
      <c r="T801" t="s">
        <v>1110</v>
      </c>
      <c r="U801" t="s">
        <v>483</v>
      </c>
      <c r="V801" s="3">
        <v>-574.5</v>
      </c>
      <c r="W801" t="s">
        <v>190</v>
      </c>
      <c r="X801" s="3">
        <v>-574.5</v>
      </c>
    </row>
    <row r="802" spans="1:24" s="2" customFormat="1" x14ac:dyDescent="0.2">
      <c r="A802" s="2">
        <v>802</v>
      </c>
      <c r="B802"/>
      <c r="C802" t="s">
        <v>297</v>
      </c>
      <c r="D802" t="s">
        <v>684</v>
      </c>
      <c r="E802" t="s">
        <v>910</v>
      </c>
      <c r="F802" t="s">
        <v>63</v>
      </c>
      <c r="G802" t="s">
        <v>25</v>
      </c>
      <c r="H802" t="str">
        <f t="shared" si="24"/>
        <v xml:space="preserve">DARF_ PIS | Recorrência:10/12 | Observações: </v>
      </c>
      <c r="I802" t="s">
        <v>26</v>
      </c>
      <c r="J802" s="5">
        <v>-124.48</v>
      </c>
      <c r="K802" s="4">
        <v>547181.36</v>
      </c>
      <c r="L802" t="s">
        <v>27</v>
      </c>
      <c r="M802" s="5">
        <v>-124.48</v>
      </c>
      <c r="N802" s="3">
        <v>0</v>
      </c>
      <c r="O802" t="s">
        <v>1444</v>
      </c>
      <c r="P802" t="s">
        <v>1397</v>
      </c>
      <c r="Q802" t="s">
        <v>1419</v>
      </c>
      <c r="R802" t="str">
        <f t="shared" si="25"/>
        <v>nao</v>
      </c>
      <c r="S802" t="s">
        <v>1444</v>
      </c>
      <c r="T802" t="s">
        <v>30</v>
      </c>
      <c r="U802" t="s">
        <v>483</v>
      </c>
      <c r="V802" s="3">
        <v>-124.48</v>
      </c>
      <c r="W802" t="s">
        <v>376</v>
      </c>
      <c r="X802" s="3">
        <v>-124.48</v>
      </c>
    </row>
    <row r="803" spans="1:24" s="2" customFormat="1" x14ac:dyDescent="0.2">
      <c r="A803">
        <v>803</v>
      </c>
      <c r="B803"/>
      <c r="C803" t="s">
        <v>153</v>
      </c>
      <c r="D803" t="s">
        <v>1446</v>
      </c>
      <c r="E803" t="s">
        <v>30</v>
      </c>
      <c r="F803" t="s">
        <v>63</v>
      </c>
      <c r="G803" t="s">
        <v>25</v>
      </c>
      <c r="H803" t="str">
        <f t="shared" si="24"/>
        <v xml:space="preserve">RENOVAÇÃO TOTALCAD COM S E I LTDA | Recorrência: | Observações: </v>
      </c>
      <c r="I803" t="s">
        <v>491</v>
      </c>
      <c r="J803" s="5">
        <v>-1597</v>
      </c>
      <c r="K803" s="4">
        <v>545584.36</v>
      </c>
      <c r="L803" t="s">
        <v>27</v>
      </c>
      <c r="M803" s="5">
        <v>-1597</v>
      </c>
      <c r="N803" s="3">
        <v>0</v>
      </c>
      <c r="O803" t="s">
        <v>1445</v>
      </c>
      <c r="P803" t="s">
        <v>1445</v>
      </c>
      <c r="Q803" t="s">
        <v>1445</v>
      </c>
      <c r="R803" t="str">
        <f t="shared" si="25"/>
        <v>Sim</v>
      </c>
      <c r="S803" t="s">
        <v>1445</v>
      </c>
      <c r="T803" t="s">
        <v>30</v>
      </c>
      <c r="U803" t="s">
        <v>641</v>
      </c>
      <c r="V803" s="3">
        <v>-1597</v>
      </c>
      <c r="W803" t="s">
        <v>1058</v>
      </c>
      <c r="X803" s="3">
        <v>-1597</v>
      </c>
    </row>
    <row r="804" spans="1:24" s="2" customFormat="1" x14ac:dyDescent="0.2">
      <c r="A804" s="2">
        <v>804</v>
      </c>
      <c r="B804"/>
      <c r="C804" t="s">
        <v>835</v>
      </c>
      <c r="D804" t="s">
        <v>1447</v>
      </c>
      <c r="E804" t="s">
        <v>30</v>
      </c>
      <c r="F804" t="s">
        <v>24</v>
      </c>
      <c r="G804" t="s">
        <v>25</v>
      </c>
      <c r="H804" t="str">
        <f t="shared" si="24"/>
        <v xml:space="preserve">1/2 - PROJETO THERA  1/2 | Recorrência: | Observações: </v>
      </c>
      <c r="I804" t="s">
        <v>491</v>
      </c>
      <c r="J804" s="4">
        <v>2000</v>
      </c>
      <c r="K804" s="4">
        <v>547584.36</v>
      </c>
      <c r="L804" t="s">
        <v>27</v>
      </c>
      <c r="M804" s="4">
        <v>2000</v>
      </c>
      <c r="N804" s="3">
        <v>0</v>
      </c>
      <c r="O804" t="s">
        <v>1445</v>
      </c>
      <c r="P804" t="s">
        <v>1349</v>
      </c>
      <c r="Q804" t="s">
        <v>1448</v>
      </c>
      <c r="R804" t="str">
        <f t="shared" si="25"/>
        <v>Sim</v>
      </c>
      <c r="S804" t="s">
        <v>1448</v>
      </c>
      <c r="T804" t="s">
        <v>30</v>
      </c>
      <c r="U804" t="s">
        <v>31</v>
      </c>
      <c r="V804" s="3">
        <v>2000</v>
      </c>
      <c r="W804" t="s">
        <v>32</v>
      </c>
      <c r="X804" s="3">
        <v>2000</v>
      </c>
    </row>
    <row r="805" spans="1:24" s="2" customFormat="1" x14ac:dyDescent="0.2">
      <c r="A805">
        <v>805</v>
      </c>
      <c r="B805"/>
      <c r="C805" t="s">
        <v>835</v>
      </c>
      <c r="D805" t="s">
        <v>1449</v>
      </c>
      <c r="E805" t="s">
        <v>30</v>
      </c>
      <c r="F805" t="s">
        <v>24</v>
      </c>
      <c r="G805" t="s">
        <v>25</v>
      </c>
      <c r="H805" t="str">
        <f t="shared" si="24"/>
        <v xml:space="preserve">1/2 - PROJETO - SUITE MARINA 1/2 | Recorrência: | Observações: </v>
      </c>
      <c r="I805" t="s">
        <v>1113</v>
      </c>
      <c r="J805" s="4">
        <v>1750</v>
      </c>
      <c r="K805" s="4">
        <v>549334.36</v>
      </c>
      <c r="L805" t="s">
        <v>27</v>
      </c>
      <c r="M805" s="4">
        <v>1750</v>
      </c>
      <c r="N805" s="3">
        <v>0</v>
      </c>
      <c r="O805" t="s">
        <v>1445</v>
      </c>
      <c r="P805" t="s">
        <v>1349</v>
      </c>
      <c r="Q805" t="s">
        <v>1411</v>
      </c>
      <c r="R805" t="str">
        <f t="shared" si="25"/>
        <v>Sim</v>
      </c>
      <c r="S805" t="s">
        <v>1411</v>
      </c>
      <c r="T805" t="s">
        <v>30</v>
      </c>
      <c r="U805" t="s">
        <v>31</v>
      </c>
      <c r="V805" s="3">
        <v>1750</v>
      </c>
      <c r="W805" t="s">
        <v>825</v>
      </c>
      <c r="X805" s="3">
        <v>1750</v>
      </c>
    </row>
    <row r="806" spans="1:24" s="2" customFormat="1" x14ac:dyDescent="0.2">
      <c r="A806" s="2">
        <v>806</v>
      </c>
      <c r="B806" t="s">
        <v>1450</v>
      </c>
      <c r="C806" t="s">
        <v>1451</v>
      </c>
      <c r="D806" t="s">
        <v>1452</v>
      </c>
      <c r="E806" t="s">
        <v>30</v>
      </c>
      <c r="F806" t="s">
        <v>24</v>
      </c>
      <c r="G806" t="s">
        <v>25</v>
      </c>
      <c r="H806" t="str">
        <f t="shared" si="24"/>
        <v xml:space="preserve">RT OBRA STEPHANIE E ENRICO - NF 240 | Recorrência: | Observações: </v>
      </c>
      <c r="I806" t="s">
        <v>491</v>
      </c>
      <c r="J806" s="4">
        <v>1545.17</v>
      </c>
      <c r="K806" s="4">
        <v>550879.53</v>
      </c>
      <c r="L806" t="s">
        <v>27</v>
      </c>
      <c r="M806" s="4">
        <v>1545.17</v>
      </c>
      <c r="N806" s="3">
        <v>0</v>
      </c>
      <c r="O806" t="s">
        <v>1419</v>
      </c>
      <c r="P806" t="s">
        <v>1392</v>
      </c>
      <c r="Q806" t="s">
        <v>1453</v>
      </c>
      <c r="R806" t="str">
        <f t="shared" si="25"/>
        <v>Sim</v>
      </c>
      <c r="S806" t="s">
        <v>1453</v>
      </c>
      <c r="T806" t="s">
        <v>30</v>
      </c>
      <c r="U806" t="s">
        <v>49</v>
      </c>
      <c r="V806" s="3">
        <v>1545.17</v>
      </c>
      <c r="W806" t="s">
        <v>494</v>
      </c>
      <c r="X806" s="3">
        <v>1545.17</v>
      </c>
    </row>
    <row r="807" spans="1:24" s="2" customFormat="1" x14ac:dyDescent="0.2">
      <c r="A807">
        <v>807</v>
      </c>
      <c r="B807"/>
      <c r="C807" t="s">
        <v>828</v>
      </c>
      <c r="D807" t="s">
        <v>830</v>
      </c>
      <c r="E807" t="s">
        <v>1455</v>
      </c>
      <c r="F807" t="s">
        <v>63</v>
      </c>
      <c r="G807" t="s">
        <v>25</v>
      </c>
      <c r="H807" t="str">
        <f t="shared" si="24"/>
        <v xml:space="preserve">PREFEITURA DO MUNICIPIO DE BERTIOGA | Recorrência:9/41 | Observações: REF.02 PAGAMENTOS </v>
      </c>
      <c r="I807" t="s">
        <v>26</v>
      </c>
      <c r="J807" s="5">
        <v>-213.05</v>
      </c>
      <c r="K807" s="4">
        <v>550666.48</v>
      </c>
      <c r="L807" t="s">
        <v>27</v>
      </c>
      <c r="M807" s="5">
        <v>-213.05</v>
      </c>
      <c r="N807" s="3">
        <v>0</v>
      </c>
      <c r="O807" t="s">
        <v>1454</v>
      </c>
      <c r="P807" t="s">
        <v>1441</v>
      </c>
      <c r="Q807" t="s">
        <v>1454</v>
      </c>
      <c r="R807" t="str">
        <f t="shared" si="25"/>
        <v>Sim</v>
      </c>
      <c r="S807" t="s">
        <v>1454</v>
      </c>
      <c r="T807" t="s">
        <v>831</v>
      </c>
      <c r="U807" t="s">
        <v>832</v>
      </c>
      <c r="V807" s="3">
        <v>-213.05</v>
      </c>
    </row>
    <row r="808" spans="1:24" s="2" customFormat="1" x14ac:dyDescent="0.2">
      <c r="A808" s="2">
        <v>808</v>
      </c>
      <c r="B808"/>
      <c r="C808" t="s">
        <v>153</v>
      </c>
      <c r="D808" t="s">
        <v>838</v>
      </c>
      <c r="E808" t="s">
        <v>1456</v>
      </c>
      <c r="F808" t="s">
        <v>63</v>
      </c>
      <c r="G808" t="s">
        <v>25</v>
      </c>
      <c r="H808" t="str">
        <f t="shared" si="24"/>
        <v xml:space="preserve">CARTÃO DE CREDITO_ FINAL 5507 | Recorrência:10/10 | Observações: </v>
      </c>
      <c r="I808" t="s">
        <v>26</v>
      </c>
      <c r="J808" s="5">
        <v>-995.29</v>
      </c>
      <c r="K808" s="4">
        <v>549671.18999999994</v>
      </c>
      <c r="L808" t="s">
        <v>27</v>
      </c>
      <c r="M808" s="5">
        <v>-995.29</v>
      </c>
      <c r="N808" s="3">
        <v>0</v>
      </c>
      <c r="O808" t="s">
        <v>1454</v>
      </c>
      <c r="P808" t="s">
        <v>1442</v>
      </c>
      <c r="Q808" t="s">
        <v>1442</v>
      </c>
      <c r="R808" t="str">
        <f t="shared" si="25"/>
        <v>Sim</v>
      </c>
      <c r="S808" t="s">
        <v>1442</v>
      </c>
      <c r="T808" t="s">
        <v>30</v>
      </c>
      <c r="U808" t="s">
        <v>764</v>
      </c>
      <c r="V808" s="3">
        <v>-995.29</v>
      </c>
      <c r="W808" t="s">
        <v>577</v>
      </c>
      <c r="X808" s="3">
        <v>-995.29</v>
      </c>
    </row>
    <row r="809" spans="1:24" s="2" customFormat="1" x14ac:dyDescent="0.2">
      <c r="A809">
        <v>809</v>
      </c>
      <c r="B809"/>
      <c r="C809" t="s">
        <v>153</v>
      </c>
      <c r="D809" t="s">
        <v>905</v>
      </c>
      <c r="E809" t="s">
        <v>1418</v>
      </c>
      <c r="F809" t="s">
        <v>63</v>
      </c>
      <c r="G809" t="s">
        <v>25</v>
      </c>
      <c r="H809" t="str">
        <f t="shared" si="24"/>
        <v xml:space="preserve">SALÁRIO JULYA | Recorrência:8/8 | Observações: </v>
      </c>
      <c r="I809" t="s">
        <v>991</v>
      </c>
      <c r="J809" s="5">
        <v>-3700</v>
      </c>
      <c r="K809" s="4">
        <v>545971.18999999994</v>
      </c>
      <c r="L809" t="s">
        <v>27</v>
      </c>
      <c r="M809" s="5">
        <v>-3700</v>
      </c>
      <c r="N809" s="3">
        <v>0</v>
      </c>
      <c r="O809" t="s">
        <v>1457</v>
      </c>
      <c r="P809" t="s">
        <v>1457</v>
      </c>
      <c r="Q809" t="s">
        <v>1457</v>
      </c>
      <c r="R809" t="str">
        <f t="shared" si="25"/>
        <v>Sim</v>
      </c>
      <c r="S809" t="s">
        <v>1457</v>
      </c>
      <c r="T809" t="s">
        <v>30</v>
      </c>
      <c r="U809" t="s">
        <v>323</v>
      </c>
      <c r="V809" s="3">
        <v>-3700</v>
      </c>
      <c r="W809" t="s">
        <v>1043</v>
      </c>
      <c r="X809" s="3">
        <v>-3700</v>
      </c>
    </row>
    <row r="810" spans="1:24" s="2" customFormat="1" x14ac:dyDescent="0.2">
      <c r="A810" s="2">
        <v>810</v>
      </c>
      <c r="B810"/>
      <c r="C810" t="s">
        <v>153</v>
      </c>
      <c r="D810" t="s">
        <v>1458</v>
      </c>
      <c r="E810" t="s">
        <v>955</v>
      </c>
      <c r="F810" t="s">
        <v>63</v>
      </c>
      <c r="G810" t="s">
        <v>25</v>
      </c>
      <c r="H810" t="str">
        <f t="shared" si="24"/>
        <v>LIMPEZA_JULIANA COSTA SOARES_5 DIÁRIAS | Recorrência:11/12 | Observações: DIÁRIAS - 02-09-16-23-30</v>
      </c>
      <c r="I810" t="s">
        <v>26</v>
      </c>
      <c r="J810" s="5">
        <v>-600</v>
      </c>
      <c r="K810" s="4">
        <v>545371.18999999994</v>
      </c>
      <c r="L810" t="s">
        <v>27</v>
      </c>
      <c r="M810" s="5">
        <v>-600</v>
      </c>
      <c r="N810" s="3">
        <v>0</v>
      </c>
      <c r="O810" t="s">
        <v>1457</v>
      </c>
      <c r="P810" t="s">
        <v>1414</v>
      </c>
      <c r="Q810" t="s">
        <v>1459</v>
      </c>
      <c r="R810" t="str">
        <f t="shared" si="25"/>
        <v>Sim</v>
      </c>
      <c r="S810" t="s">
        <v>1459</v>
      </c>
      <c r="T810" t="s">
        <v>1460</v>
      </c>
      <c r="U810" t="s">
        <v>691</v>
      </c>
      <c r="V810" s="3">
        <v>-600</v>
      </c>
      <c r="W810" t="s">
        <v>324</v>
      </c>
      <c r="X810" s="3">
        <v>-600</v>
      </c>
    </row>
    <row r="811" spans="1:24" s="2" customFormat="1" x14ac:dyDescent="0.2">
      <c r="A811">
        <v>811</v>
      </c>
      <c r="B811"/>
      <c r="C811" t="s">
        <v>153</v>
      </c>
      <c r="D811" t="s">
        <v>1461</v>
      </c>
      <c r="E811" t="s">
        <v>30</v>
      </c>
      <c r="F811" t="s">
        <v>63</v>
      </c>
      <c r="G811" t="s">
        <v>25</v>
      </c>
      <c r="H811" t="str">
        <f t="shared" si="24"/>
        <v>5/5 - SALÁRIO - MARCELA S CAVALCANTE 5/5 | Recorrência: | Observações: Marcela Santana Cavalcante
CPF 469.884.048-13
Data Nasc - 25/12/99
Contato: 011 - 9-8216-5601
E-mail: ma.santana456@gmail.com
Dados Bancário:
Banco: Nubank
Ag: 0001
Cc: 47598749-6</v>
      </c>
      <c r="I811" t="s">
        <v>1113</v>
      </c>
      <c r="J811" s="5">
        <v>-3000.24</v>
      </c>
      <c r="K811" s="4">
        <v>542370.94999999995</v>
      </c>
      <c r="L811" t="s">
        <v>27</v>
      </c>
      <c r="M811" s="5">
        <v>-3000.24</v>
      </c>
      <c r="N811" s="3">
        <v>0</v>
      </c>
      <c r="O811" t="s">
        <v>1457</v>
      </c>
      <c r="P811" t="s">
        <v>1095</v>
      </c>
      <c r="Q811" t="s">
        <v>1457</v>
      </c>
      <c r="R811" t="str">
        <f t="shared" si="25"/>
        <v>nao</v>
      </c>
      <c r="S811" t="s">
        <v>1419</v>
      </c>
      <c r="T811" t="s">
        <v>1163</v>
      </c>
      <c r="U811" t="s">
        <v>323</v>
      </c>
      <c r="V811" s="3">
        <v>-3000.24</v>
      </c>
      <c r="W811" t="s">
        <v>1164</v>
      </c>
      <c r="X811" s="3">
        <v>-3000.24</v>
      </c>
    </row>
    <row r="812" spans="1:24" s="2" customFormat="1" x14ac:dyDescent="0.2">
      <c r="A812" s="2">
        <v>812</v>
      </c>
      <c r="B812"/>
      <c r="C812" t="s">
        <v>153</v>
      </c>
      <c r="D812" t="s">
        <v>1462</v>
      </c>
      <c r="E812" t="s">
        <v>30</v>
      </c>
      <c r="F812" t="s">
        <v>63</v>
      </c>
      <c r="G812" t="s">
        <v>25</v>
      </c>
      <c r="H812" t="str">
        <f t="shared" si="24"/>
        <v xml:space="preserve">SALÁRIO ESTAGIÁRIO FELIPE | Recorrência: | Observações: </v>
      </c>
      <c r="I812" t="s">
        <v>991</v>
      </c>
      <c r="J812" s="5">
        <v>-1557.6</v>
      </c>
      <c r="K812" s="4">
        <v>540813.35</v>
      </c>
      <c r="L812" t="s">
        <v>27</v>
      </c>
      <c r="M812" s="5">
        <v>-1557.6</v>
      </c>
      <c r="N812" s="3">
        <v>0</v>
      </c>
      <c r="O812" t="s">
        <v>1457</v>
      </c>
      <c r="P812" t="s">
        <v>1457</v>
      </c>
      <c r="Q812" t="s">
        <v>1457</v>
      </c>
      <c r="R812" t="str">
        <f t="shared" si="25"/>
        <v>Sim</v>
      </c>
      <c r="S812" t="s">
        <v>1457</v>
      </c>
      <c r="T812" t="s">
        <v>30</v>
      </c>
      <c r="U812" t="s">
        <v>323</v>
      </c>
      <c r="V812" s="3">
        <v>-1557.6</v>
      </c>
      <c r="W812" t="s">
        <v>1043</v>
      </c>
      <c r="X812" s="3">
        <v>-1557.6</v>
      </c>
    </row>
    <row r="813" spans="1:24" s="2" customFormat="1" x14ac:dyDescent="0.2">
      <c r="A813">
        <v>813</v>
      </c>
      <c r="B813"/>
      <c r="C813" t="s">
        <v>153</v>
      </c>
      <c r="D813" t="s">
        <v>1463</v>
      </c>
      <c r="E813" t="s">
        <v>30</v>
      </c>
      <c r="F813" t="s">
        <v>63</v>
      </c>
      <c r="G813" t="s">
        <v>25</v>
      </c>
      <c r="H813" t="str">
        <f t="shared" si="24"/>
        <v>ELIANE - VALE TRANSPORTE | Recorrência: | Observações: REFERENTE AO PAGAMENTO DE VALE TRANSPORTE PARA  14 DIAS UTEIS</v>
      </c>
      <c r="I813" t="s">
        <v>991</v>
      </c>
      <c r="J813" s="5">
        <v>-246.4</v>
      </c>
      <c r="K813" s="4">
        <v>540566.94999999995</v>
      </c>
      <c r="L813" t="s">
        <v>27</v>
      </c>
      <c r="M813" s="5">
        <v>-246.4</v>
      </c>
      <c r="N813" s="3">
        <v>0</v>
      </c>
      <c r="O813" t="s">
        <v>1457</v>
      </c>
      <c r="P813" t="s">
        <v>1457</v>
      </c>
      <c r="Q813" t="s">
        <v>1457</v>
      </c>
      <c r="R813" t="str">
        <f t="shared" si="25"/>
        <v>Sim</v>
      </c>
      <c r="S813" t="s">
        <v>1457</v>
      </c>
      <c r="T813" t="s">
        <v>1464</v>
      </c>
      <c r="U813" t="s">
        <v>1465</v>
      </c>
      <c r="V813" s="3">
        <v>-246.4</v>
      </c>
      <c r="W813" t="s">
        <v>698</v>
      </c>
      <c r="X813" s="3">
        <v>-246.4</v>
      </c>
    </row>
    <row r="814" spans="1:24" s="2" customFormat="1" x14ac:dyDescent="0.2">
      <c r="A814" s="2">
        <v>814</v>
      </c>
      <c r="B814"/>
      <c r="C814" t="s">
        <v>153</v>
      </c>
      <c r="D814" t="s">
        <v>1466</v>
      </c>
      <c r="E814" t="s">
        <v>30</v>
      </c>
      <c r="F814" t="s">
        <v>63</v>
      </c>
      <c r="G814" t="s">
        <v>25</v>
      </c>
      <c r="H814" t="str">
        <f t="shared" si="24"/>
        <v>GERENCIANET - NUCLEO DE INFORMACAO E COORDENACAO DO PONTO BR - NIC .BR | Recorrência: | Observações: PAGAMENTO REALIZADO PARA 3 ANOS &gt; prox. 2025</v>
      </c>
      <c r="I814" t="s">
        <v>491</v>
      </c>
      <c r="J814" s="5">
        <v>-112</v>
      </c>
      <c r="K814" s="4">
        <v>540454.94999999995</v>
      </c>
      <c r="L814" t="s">
        <v>27</v>
      </c>
      <c r="M814" s="5">
        <v>-112</v>
      </c>
      <c r="N814" s="3">
        <v>0</v>
      </c>
      <c r="O814" t="s">
        <v>1457</v>
      </c>
      <c r="P814" t="s">
        <v>1457</v>
      </c>
      <c r="Q814" t="s">
        <v>1457</v>
      </c>
      <c r="R814" t="str">
        <f t="shared" si="25"/>
        <v>Sim</v>
      </c>
      <c r="S814" t="s">
        <v>1457</v>
      </c>
      <c r="T814" t="s">
        <v>1467</v>
      </c>
      <c r="U814" t="s">
        <v>1468</v>
      </c>
      <c r="V814" s="3">
        <v>-112</v>
      </c>
      <c r="W814" t="s">
        <v>577</v>
      </c>
      <c r="X814" s="3">
        <v>-112</v>
      </c>
    </row>
    <row r="815" spans="1:24" s="2" customFormat="1" x14ac:dyDescent="0.2">
      <c r="A815">
        <v>815</v>
      </c>
      <c r="B815"/>
      <c r="C815" t="s">
        <v>153</v>
      </c>
      <c r="D815" t="s">
        <v>630</v>
      </c>
      <c r="E815" t="s">
        <v>1404</v>
      </c>
      <c r="F815" t="s">
        <v>63</v>
      </c>
      <c r="G815" t="s">
        <v>25</v>
      </c>
      <c r="H815" t="str">
        <f t="shared" si="24"/>
        <v xml:space="preserve">PRÓ-LABORE MAYARA | Recorrência:12/12 | Observações: </v>
      </c>
      <c r="I815" t="s">
        <v>26</v>
      </c>
      <c r="J815" s="5">
        <v>-15000</v>
      </c>
      <c r="K815" s="4">
        <v>525454.94999999995</v>
      </c>
      <c r="L815" t="s">
        <v>27</v>
      </c>
      <c r="M815" s="5">
        <v>-15000</v>
      </c>
      <c r="N815" s="3">
        <v>0</v>
      </c>
      <c r="O815" t="s">
        <v>1457</v>
      </c>
      <c r="P815" t="s">
        <v>1416</v>
      </c>
      <c r="Q815" t="s">
        <v>1469</v>
      </c>
      <c r="R815" t="str">
        <f t="shared" si="25"/>
        <v>Sim</v>
      </c>
      <c r="S815" t="s">
        <v>1469</v>
      </c>
      <c r="T815" t="s">
        <v>30</v>
      </c>
      <c r="U815" t="s">
        <v>631</v>
      </c>
      <c r="V815" s="3">
        <v>-15000</v>
      </c>
      <c r="W815" t="s">
        <v>632</v>
      </c>
      <c r="X815" s="3">
        <v>-15000</v>
      </c>
    </row>
    <row r="816" spans="1:24" s="2" customFormat="1" x14ac:dyDescent="0.2">
      <c r="A816" s="2">
        <v>816</v>
      </c>
      <c r="B816"/>
      <c r="C816" t="s">
        <v>153</v>
      </c>
      <c r="D816" t="s">
        <v>633</v>
      </c>
      <c r="E816" t="s">
        <v>1404</v>
      </c>
      <c r="F816" t="s">
        <v>63</v>
      </c>
      <c r="G816" t="s">
        <v>25</v>
      </c>
      <c r="H816" t="str">
        <f t="shared" si="24"/>
        <v xml:space="preserve">PRÓ-LABORE NATASHA | Recorrência:12/12 | Observações: </v>
      </c>
      <c r="I816" t="s">
        <v>26</v>
      </c>
      <c r="J816" s="5">
        <v>-7500</v>
      </c>
      <c r="K816" s="4">
        <v>517954.95</v>
      </c>
      <c r="L816" t="s">
        <v>27</v>
      </c>
      <c r="M816" s="5">
        <v>-7500</v>
      </c>
      <c r="N816" s="3">
        <v>0</v>
      </c>
      <c r="O816" t="s">
        <v>1457</v>
      </c>
      <c r="P816" t="s">
        <v>1399</v>
      </c>
      <c r="Q816" t="s">
        <v>1469</v>
      </c>
      <c r="R816" t="str">
        <f t="shared" si="25"/>
        <v>Sim</v>
      </c>
      <c r="S816" t="s">
        <v>1469</v>
      </c>
      <c r="T816" t="s">
        <v>30</v>
      </c>
      <c r="U816" t="s">
        <v>631</v>
      </c>
      <c r="V816" s="3">
        <v>-7500</v>
      </c>
      <c r="W816" t="s">
        <v>577</v>
      </c>
      <c r="X816" s="3">
        <v>-7500</v>
      </c>
    </row>
    <row r="817" spans="1:24" s="2" customFormat="1" x14ac:dyDescent="0.2">
      <c r="A817">
        <v>817</v>
      </c>
      <c r="B817"/>
      <c r="C817" t="s">
        <v>1470</v>
      </c>
      <c r="D817" t="s">
        <v>274</v>
      </c>
      <c r="E817" t="s">
        <v>30</v>
      </c>
      <c r="F817" t="s">
        <v>24</v>
      </c>
      <c r="G817" t="s">
        <v>25</v>
      </c>
      <c r="H817" t="str">
        <f t="shared" si="24"/>
        <v xml:space="preserve">GERENCIAMENTO | Recorrência: | Observações: </v>
      </c>
      <c r="I817" t="s">
        <v>491</v>
      </c>
      <c r="J817" s="4">
        <v>4000</v>
      </c>
      <c r="K817" s="4">
        <v>521954.95</v>
      </c>
      <c r="L817" t="s">
        <v>27</v>
      </c>
      <c r="M817" s="4">
        <v>4000</v>
      </c>
      <c r="N817" s="3">
        <v>0</v>
      </c>
      <c r="O817" t="s">
        <v>1457</v>
      </c>
      <c r="P817" t="s">
        <v>1471</v>
      </c>
      <c r="Q817" t="s">
        <v>1457</v>
      </c>
      <c r="R817" t="str">
        <f t="shared" si="25"/>
        <v>Sim</v>
      </c>
      <c r="S817" t="s">
        <v>1457</v>
      </c>
      <c r="T817" t="s">
        <v>30</v>
      </c>
      <c r="U817" t="s">
        <v>274</v>
      </c>
      <c r="V817" s="3">
        <v>4000</v>
      </c>
      <c r="W817" t="s">
        <v>166</v>
      </c>
      <c r="X817" s="3">
        <v>4000</v>
      </c>
    </row>
    <row r="818" spans="1:24" s="2" customFormat="1" x14ac:dyDescent="0.2">
      <c r="A818" s="2">
        <v>818</v>
      </c>
      <c r="B818"/>
      <c r="C818" t="s">
        <v>574</v>
      </c>
      <c r="D818" t="s">
        <v>1472</v>
      </c>
      <c r="E818" t="s">
        <v>30</v>
      </c>
      <c r="F818" t="s">
        <v>63</v>
      </c>
      <c r="G818" t="s">
        <v>25</v>
      </c>
      <c r="H818" t="str">
        <f t="shared" si="24"/>
        <v xml:space="preserve">ALUGUÉL + CONDOMINIO+IPTU | Recorrência: | Observações: </v>
      </c>
      <c r="I818" t="s">
        <v>26</v>
      </c>
      <c r="J818" s="5">
        <v>-6148</v>
      </c>
      <c r="K818" s="4">
        <v>515806.95</v>
      </c>
      <c r="L818" t="s">
        <v>27</v>
      </c>
      <c r="M818" s="5">
        <v>-6148</v>
      </c>
      <c r="N818" s="3">
        <v>0</v>
      </c>
      <c r="O818" t="s">
        <v>1469</v>
      </c>
      <c r="P818" t="s">
        <v>1405</v>
      </c>
      <c r="Q818" t="s">
        <v>1469</v>
      </c>
      <c r="R818" t="str">
        <f t="shared" si="25"/>
        <v>Sim</v>
      </c>
      <c r="S818" t="s">
        <v>1469</v>
      </c>
      <c r="T818" t="s">
        <v>30</v>
      </c>
      <c r="U818" t="s">
        <v>1473</v>
      </c>
      <c r="V818" s="3">
        <v>-6148</v>
      </c>
      <c r="W818" t="s">
        <v>570</v>
      </c>
      <c r="X818" s="3">
        <v>-6148</v>
      </c>
    </row>
    <row r="819" spans="1:24" s="2" customFormat="1" x14ac:dyDescent="0.2">
      <c r="A819">
        <v>819</v>
      </c>
      <c r="B819"/>
      <c r="C819" t="s">
        <v>153</v>
      </c>
      <c r="D819" t="s">
        <v>636</v>
      </c>
      <c r="E819" t="s">
        <v>1404</v>
      </c>
      <c r="F819" t="s">
        <v>63</v>
      </c>
      <c r="G819" t="s">
        <v>25</v>
      </c>
      <c r="H819" t="str">
        <f t="shared" si="24"/>
        <v xml:space="preserve">SALÁRIO ELIANE | Recorrência:12/12 | Observações: </v>
      </c>
      <c r="I819" t="s">
        <v>26</v>
      </c>
      <c r="J819" s="5">
        <v>-1613.61</v>
      </c>
      <c r="K819" s="4">
        <v>514193.34</v>
      </c>
      <c r="L819" t="s">
        <v>27</v>
      </c>
      <c r="M819" s="5">
        <v>-1613.61</v>
      </c>
      <c r="N819" s="3">
        <v>0</v>
      </c>
      <c r="O819" t="s">
        <v>1469</v>
      </c>
      <c r="P819" t="s">
        <v>1454</v>
      </c>
      <c r="Q819" t="s">
        <v>1469</v>
      </c>
      <c r="R819" t="str">
        <f t="shared" si="25"/>
        <v>Sim</v>
      </c>
      <c r="S819" t="s">
        <v>1469</v>
      </c>
      <c r="T819" t="s">
        <v>30</v>
      </c>
      <c r="U819" t="s">
        <v>323</v>
      </c>
      <c r="V819" s="3">
        <v>-1613.61</v>
      </c>
      <c r="W819" t="s">
        <v>324</v>
      </c>
      <c r="X819" s="3">
        <v>-1613.61</v>
      </c>
    </row>
    <row r="820" spans="1:24" s="2" customFormat="1" x14ac:dyDescent="0.2">
      <c r="A820" s="2">
        <v>820</v>
      </c>
      <c r="B820"/>
      <c r="C820" t="s">
        <v>153</v>
      </c>
      <c r="D820" t="s">
        <v>650</v>
      </c>
      <c r="E820" t="s">
        <v>1404</v>
      </c>
      <c r="F820" t="s">
        <v>63</v>
      </c>
      <c r="G820" t="s">
        <v>25</v>
      </c>
      <c r="H820" t="str">
        <f t="shared" si="24"/>
        <v xml:space="preserve">FGTS | Recorrência:12/12 | Observações: </v>
      </c>
      <c r="I820" t="s">
        <v>26</v>
      </c>
      <c r="J820" s="5">
        <v>-210.38</v>
      </c>
      <c r="K820" s="4">
        <v>513982.96</v>
      </c>
      <c r="L820" t="s">
        <v>27</v>
      </c>
      <c r="M820" s="5">
        <v>-210.38</v>
      </c>
      <c r="N820" s="3">
        <v>0</v>
      </c>
      <c r="O820" t="s">
        <v>1474</v>
      </c>
      <c r="P820" t="s">
        <v>1416</v>
      </c>
      <c r="Q820" t="s">
        <v>1474</v>
      </c>
      <c r="R820" t="str">
        <f t="shared" si="25"/>
        <v>Sim</v>
      </c>
      <c r="S820" t="s">
        <v>1474</v>
      </c>
      <c r="T820" t="s">
        <v>30</v>
      </c>
      <c r="U820" t="s">
        <v>651</v>
      </c>
      <c r="V820" s="3">
        <v>-210.38</v>
      </c>
      <c r="W820" t="s">
        <v>376</v>
      </c>
      <c r="X820" s="3">
        <v>-210.38</v>
      </c>
    </row>
    <row r="821" spans="1:24" s="2" customFormat="1" x14ac:dyDescent="0.2">
      <c r="A821">
        <v>821</v>
      </c>
      <c r="B821"/>
      <c r="C821" t="s">
        <v>153</v>
      </c>
      <c r="D821" t="s">
        <v>1476</v>
      </c>
      <c r="E821" t="s">
        <v>30</v>
      </c>
      <c r="F821" t="s">
        <v>24</v>
      </c>
      <c r="G821" t="s">
        <v>25</v>
      </c>
      <c r="H821" t="str">
        <f t="shared" si="24"/>
        <v xml:space="preserve">ANGIOVASC  - Serv de Medicina Interna e do Trabalho | Recorrência: | Observações: </v>
      </c>
      <c r="I821" t="s">
        <v>991</v>
      </c>
      <c r="J821" s="4">
        <v>70</v>
      </c>
      <c r="K821" s="4">
        <v>514052.96</v>
      </c>
      <c r="L821" t="s">
        <v>27</v>
      </c>
      <c r="M821" s="4">
        <v>70</v>
      </c>
      <c r="N821" s="3">
        <v>0</v>
      </c>
      <c r="O821" t="s">
        <v>1475</v>
      </c>
      <c r="P821" t="s">
        <v>1475</v>
      </c>
      <c r="Q821" t="s">
        <v>1475</v>
      </c>
      <c r="R821" t="str">
        <f t="shared" si="25"/>
        <v>Sim</v>
      </c>
      <c r="S821" t="s">
        <v>1475</v>
      </c>
      <c r="T821" t="s">
        <v>30</v>
      </c>
      <c r="U821" t="s">
        <v>1057</v>
      </c>
      <c r="V821" s="3">
        <v>70</v>
      </c>
      <c r="W821" t="s">
        <v>1477</v>
      </c>
      <c r="X821" s="3">
        <v>70</v>
      </c>
    </row>
    <row r="822" spans="1:24" s="2" customFormat="1" x14ac:dyDescent="0.2">
      <c r="A822" s="2">
        <v>822</v>
      </c>
      <c r="B822"/>
      <c r="C822" t="s">
        <v>835</v>
      </c>
      <c r="D822" t="s">
        <v>1479</v>
      </c>
      <c r="E822" t="s">
        <v>30</v>
      </c>
      <c r="F822" t="s">
        <v>24</v>
      </c>
      <c r="G822" t="s">
        <v>25</v>
      </c>
      <c r="H822" t="str">
        <f t="shared" si="24"/>
        <v xml:space="preserve">2/2 - PROJETO - SUITE MARINA 2/2 | Recorrência: | Observações: </v>
      </c>
      <c r="I822" t="s">
        <v>1113</v>
      </c>
      <c r="J822" s="4">
        <v>1750</v>
      </c>
      <c r="K822" s="4">
        <v>515802.96</v>
      </c>
      <c r="L822" t="s">
        <v>27</v>
      </c>
      <c r="M822" s="4">
        <v>1750</v>
      </c>
      <c r="N822" s="3">
        <v>0</v>
      </c>
      <c r="O822" t="s">
        <v>1478</v>
      </c>
      <c r="P822" t="s">
        <v>1349</v>
      </c>
      <c r="Q822" t="s">
        <v>1478</v>
      </c>
      <c r="R822" t="str">
        <f t="shared" si="25"/>
        <v>Sim</v>
      </c>
      <c r="S822" t="s">
        <v>1478</v>
      </c>
      <c r="T822" t="s">
        <v>30</v>
      </c>
      <c r="U822" t="s">
        <v>31</v>
      </c>
      <c r="V822" s="3">
        <v>1750</v>
      </c>
      <c r="W822" t="s">
        <v>825</v>
      </c>
      <c r="X822" s="3">
        <v>1750</v>
      </c>
    </row>
    <row r="823" spans="1:24" s="2" customFormat="1" x14ac:dyDescent="0.2">
      <c r="A823">
        <v>823</v>
      </c>
      <c r="B823"/>
      <c r="C823" t="s">
        <v>666</v>
      </c>
      <c r="D823" t="s">
        <v>667</v>
      </c>
      <c r="E823" t="s">
        <v>1404</v>
      </c>
      <c r="F823" t="s">
        <v>63</v>
      </c>
      <c r="G823" t="s">
        <v>25</v>
      </c>
      <c r="H823" t="str">
        <f t="shared" si="24"/>
        <v>TELEFONIA E INTERNET | Recorrência:12/12 | Observações: conta Mayara paga pelo APP&gt; Lembrar o Pagamento</v>
      </c>
      <c r="I823" t="s">
        <v>26</v>
      </c>
      <c r="J823" s="5">
        <v>-150.36000000000001</v>
      </c>
      <c r="K823" s="4">
        <v>515652.6</v>
      </c>
      <c r="L823" t="s">
        <v>27</v>
      </c>
      <c r="M823" s="5">
        <v>-150.36000000000001</v>
      </c>
      <c r="N823" s="3">
        <v>0</v>
      </c>
      <c r="O823" t="s">
        <v>1480</v>
      </c>
      <c r="P823" t="s">
        <v>1453</v>
      </c>
      <c r="Q823" t="s">
        <v>1478</v>
      </c>
      <c r="R823" t="str">
        <f t="shared" si="25"/>
        <v>Sim</v>
      </c>
      <c r="S823" t="s">
        <v>1478</v>
      </c>
      <c r="T823" t="s">
        <v>669</v>
      </c>
      <c r="U823" t="s">
        <v>670</v>
      </c>
      <c r="V823" s="3">
        <v>-150.36000000000001</v>
      </c>
      <c r="W823" t="s">
        <v>324</v>
      </c>
      <c r="X823" s="3">
        <v>-150.36000000000001</v>
      </c>
    </row>
    <row r="824" spans="1:24" s="2" customFormat="1" x14ac:dyDescent="0.2">
      <c r="A824" s="2">
        <v>824</v>
      </c>
      <c r="B824" t="s">
        <v>647</v>
      </c>
      <c r="C824" t="s">
        <v>648</v>
      </c>
      <c r="D824" t="s">
        <v>649</v>
      </c>
      <c r="E824" t="s">
        <v>1404</v>
      </c>
      <c r="F824" t="s">
        <v>63</v>
      </c>
      <c r="G824" t="s">
        <v>25</v>
      </c>
      <c r="H824" t="str">
        <f t="shared" si="24"/>
        <v xml:space="preserve">HONORÁRIOS CONTÁBEIS | Recorrência:12/12 | Observações: </v>
      </c>
      <c r="I824" t="s">
        <v>26</v>
      </c>
      <c r="J824" s="5">
        <v>-830</v>
      </c>
      <c r="K824" s="4">
        <v>514822.6</v>
      </c>
      <c r="L824" t="s">
        <v>27</v>
      </c>
      <c r="M824" s="5">
        <v>-830</v>
      </c>
      <c r="N824" s="3">
        <v>0</v>
      </c>
      <c r="O824" t="s">
        <v>1480</v>
      </c>
      <c r="P824" t="s">
        <v>1416</v>
      </c>
      <c r="Q824" t="s">
        <v>1474</v>
      </c>
      <c r="R824" t="str">
        <f t="shared" si="25"/>
        <v>Sim</v>
      </c>
      <c r="S824" t="s">
        <v>1474</v>
      </c>
      <c r="T824" t="s">
        <v>30</v>
      </c>
      <c r="U824" t="s">
        <v>608</v>
      </c>
      <c r="V824" s="3">
        <v>-830</v>
      </c>
      <c r="W824" t="s">
        <v>577</v>
      </c>
      <c r="X824" s="3">
        <v>-830</v>
      </c>
    </row>
    <row r="825" spans="1:24" s="2" customFormat="1" x14ac:dyDescent="0.2">
      <c r="A825">
        <v>825</v>
      </c>
      <c r="B825"/>
      <c r="C825" t="s">
        <v>297</v>
      </c>
      <c r="D825" t="s">
        <v>806</v>
      </c>
      <c r="E825" t="s">
        <v>1404</v>
      </c>
      <c r="F825" t="s">
        <v>63</v>
      </c>
      <c r="G825" t="s">
        <v>25</v>
      </c>
      <c r="H825" t="str">
        <f t="shared" si="24"/>
        <v xml:space="preserve">DARF ISS | Recorrência:12/12 | Observações: </v>
      </c>
      <c r="I825" t="s">
        <v>26</v>
      </c>
      <c r="J825" s="5">
        <v>-1074</v>
      </c>
      <c r="K825" s="4">
        <v>513748.6</v>
      </c>
      <c r="L825" t="s">
        <v>27</v>
      </c>
      <c r="M825" s="5">
        <v>-1074</v>
      </c>
      <c r="N825" s="3">
        <v>0</v>
      </c>
      <c r="O825" t="s">
        <v>1480</v>
      </c>
      <c r="P825" t="s">
        <v>1352</v>
      </c>
      <c r="Q825" t="s">
        <v>1480</v>
      </c>
      <c r="R825" t="str">
        <f t="shared" si="25"/>
        <v>nao</v>
      </c>
      <c r="S825" t="s">
        <v>1481</v>
      </c>
      <c r="T825" t="s">
        <v>30</v>
      </c>
      <c r="U825" t="s">
        <v>656</v>
      </c>
      <c r="V825" s="3">
        <v>-1074</v>
      </c>
      <c r="W825" t="s">
        <v>376</v>
      </c>
      <c r="X825" s="3">
        <v>-1074</v>
      </c>
    </row>
    <row r="826" spans="1:24" s="2" customFormat="1" x14ac:dyDescent="0.2">
      <c r="A826" s="2">
        <v>826</v>
      </c>
      <c r="B826" t="s">
        <v>1204</v>
      </c>
      <c r="C826" t="s">
        <v>1205</v>
      </c>
      <c r="D826" t="s">
        <v>1482</v>
      </c>
      <c r="E826" t="s">
        <v>30</v>
      </c>
      <c r="F826" t="s">
        <v>63</v>
      </c>
      <c r="G826" t="s">
        <v>25</v>
      </c>
      <c r="H826" t="str">
        <f t="shared" si="24"/>
        <v xml:space="preserve">RESERVA TECNICA DE PEDIDOS REWFERENTE A NOVEMBRO | Recorrência: | Observações: </v>
      </c>
      <c r="I826" t="s">
        <v>491</v>
      </c>
      <c r="J826" s="5">
        <v>-210.36</v>
      </c>
      <c r="K826" s="4">
        <v>513538.24</v>
      </c>
      <c r="L826" t="s">
        <v>27</v>
      </c>
      <c r="M826" s="5">
        <v>-210.36</v>
      </c>
      <c r="N826" s="3">
        <v>0</v>
      </c>
      <c r="O826" t="s">
        <v>1480</v>
      </c>
      <c r="P826" t="s">
        <v>1480</v>
      </c>
      <c r="Q826" t="s">
        <v>1483</v>
      </c>
      <c r="R826" t="str">
        <f t="shared" si="25"/>
        <v>Sim</v>
      </c>
      <c r="S826" t="s">
        <v>1483</v>
      </c>
      <c r="T826" t="s">
        <v>30</v>
      </c>
      <c r="U826" t="s">
        <v>49</v>
      </c>
      <c r="V826" s="3">
        <v>-210.36</v>
      </c>
      <c r="W826" t="s">
        <v>494</v>
      </c>
      <c r="X826" s="3">
        <v>-210.36</v>
      </c>
    </row>
    <row r="827" spans="1:24" s="2" customFormat="1" x14ac:dyDescent="0.2">
      <c r="A827">
        <v>827</v>
      </c>
      <c r="B827" t="s">
        <v>1484</v>
      </c>
      <c r="C827" t="s">
        <v>1485</v>
      </c>
      <c r="D827" t="s">
        <v>1486</v>
      </c>
      <c r="E827" t="s">
        <v>30</v>
      </c>
      <c r="F827" t="s">
        <v>24</v>
      </c>
      <c r="G827" t="s">
        <v>25</v>
      </c>
      <c r="H827" t="str">
        <f t="shared" si="24"/>
        <v xml:space="preserve">RT DANIELA CALITO - PEDIDO 189702 | Recorrência: | Observações: </v>
      </c>
      <c r="I827" t="s">
        <v>491</v>
      </c>
      <c r="J827" s="4">
        <v>184</v>
      </c>
      <c r="K827" s="4">
        <v>513722.24</v>
      </c>
      <c r="L827" t="s">
        <v>27</v>
      </c>
      <c r="M827" s="4">
        <v>184</v>
      </c>
      <c r="N827" s="3">
        <v>0</v>
      </c>
      <c r="O827" t="s">
        <v>1480</v>
      </c>
      <c r="P827" t="s">
        <v>1361</v>
      </c>
      <c r="Q827" t="s">
        <v>1487</v>
      </c>
      <c r="R827" t="str">
        <f t="shared" si="25"/>
        <v>Sim</v>
      </c>
      <c r="S827" t="s">
        <v>1487</v>
      </c>
      <c r="T827" t="s">
        <v>30</v>
      </c>
      <c r="U827" t="s">
        <v>49</v>
      </c>
      <c r="V827" s="3">
        <v>184</v>
      </c>
      <c r="W827" t="s">
        <v>494</v>
      </c>
      <c r="X827" s="3">
        <v>184</v>
      </c>
    </row>
    <row r="828" spans="1:24" s="2" customFormat="1" x14ac:dyDescent="0.2">
      <c r="A828" s="2">
        <v>828</v>
      </c>
      <c r="B828" t="s">
        <v>1373</v>
      </c>
      <c r="C828" t="s">
        <v>1374</v>
      </c>
      <c r="D828" t="s">
        <v>1489</v>
      </c>
      <c r="E828" t="s">
        <v>30</v>
      </c>
      <c r="F828" t="s">
        <v>24</v>
      </c>
      <c r="G828" t="s">
        <v>25</v>
      </c>
      <c r="H828" t="str">
        <f t="shared" si="24"/>
        <v>3/4 - PROJETO - O PARQUE | Recorrência: | Observações: DADOS PARA NF 
Pessoa Física
Nome Completo:  Diogo scuta Fagliari 
CPF: 333.824.408-81
Endereço: rua estuário 21 casa 4, chácara monte alegre , 04645-100
E-mail: Diogo.fagliari@terra.com.be
Telefone:+55 11 95593-1960</v>
      </c>
      <c r="I828" t="s">
        <v>491</v>
      </c>
      <c r="J828" s="4">
        <v>5175</v>
      </c>
      <c r="K828" s="4">
        <v>518897.24</v>
      </c>
      <c r="L828" t="s">
        <v>27</v>
      </c>
      <c r="M828" s="4">
        <v>5175</v>
      </c>
      <c r="N828" s="3">
        <v>0</v>
      </c>
      <c r="O828" t="s">
        <v>1488</v>
      </c>
      <c r="P828" t="s">
        <v>1376</v>
      </c>
      <c r="Q828" t="s">
        <v>1490</v>
      </c>
      <c r="R828" t="str">
        <f t="shared" si="25"/>
        <v>Sim</v>
      </c>
      <c r="S828" t="s">
        <v>1490</v>
      </c>
      <c r="T828" t="s">
        <v>1377</v>
      </c>
      <c r="U828" t="s">
        <v>31</v>
      </c>
      <c r="V828" s="3">
        <v>5175</v>
      </c>
      <c r="W828" t="s">
        <v>32</v>
      </c>
      <c r="X828" s="3">
        <v>5175</v>
      </c>
    </row>
    <row r="829" spans="1:24" s="2" customFormat="1" x14ac:dyDescent="0.2">
      <c r="A829">
        <v>829</v>
      </c>
      <c r="B829" t="s">
        <v>1373</v>
      </c>
      <c r="C829" t="s">
        <v>1374</v>
      </c>
      <c r="D829" t="s">
        <v>1491</v>
      </c>
      <c r="E829" t="s">
        <v>38</v>
      </c>
      <c r="F829" t="s">
        <v>24</v>
      </c>
      <c r="G829" t="s">
        <v>25</v>
      </c>
      <c r="H829" t="str">
        <f t="shared" si="24"/>
        <v xml:space="preserve">PROJETO -  MANDARIM | Recorrência:1/3 | Observações: </v>
      </c>
      <c r="I829" t="s">
        <v>491</v>
      </c>
      <c r="J829" s="4">
        <v>3240</v>
      </c>
      <c r="K829" s="4">
        <v>522137.24</v>
      </c>
      <c r="L829" t="s">
        <v>27</v>
      </c>
      <c r="M829" s="4">
        <v>3240</v>
      </c>
      <c r="N829" s="3">
        <v>0</v>
      </c>
      <c r="O829" t="s">
        <v>1488</v>
      </c>
      <c r="P829" t="s">
        <v>1492</v>
      </c>
      <c r="Q829" t="s">
        <v>1488</v>
      </c>
      <c r="R829" t="str">
        <f t="shared" si="25"/>
        <v>nao</v>
      </c>
      <c r="S829" t="s">
        <v>1493</v>
      </c>
      <c r="T829" t="s">
        <v>30</v>
      </c>
      <c r="U829" t="s">
        <v>31</v>
      </c>
      <c r="V829" s="3">
        <v>3240</v>
      </c>
      <c r="W829" t="s">
        <v>32</v>
      </c>
      <c r="X829" s="3">
        <v>3240</v>
      </c>
    </row>
    <row r="830" spans="1:24" s="2" customFormat="1" x14ac:dyDescent="0.2">
      <c r="A830" s="2">
        <v>830</v>
      </c>
      <c r="B830"/>
      <c r="C830" t="s">
        <v>1494</v>
      </c>
      <c r="D830" t="s">
        <v>1495</v>
      </c>
      <c r="E830" t="s">
        <v>30</v>
      </c>
      <c r="F830" t="s">
        <v>24</v>
      </c>
      <c r="G830" t="s">
        <v>25</v>
      </c>
      <c r="H830" t="str">
        <f t="shared" si="24"/>
        <v xml:space="preserve">RT PEDIDO -  LUCIENE GILMARCH | Recorrência: | Observações: </v>
      </c>
      <c r="I830" t="s">
        <v>491</v>
      </c>
      <c r="J830" s="4">
        <v>6352.55</v>
      </c>
      <c r="K830" s="4">
        <v>528489.79</v>
      </c>
      <c r="L830" t="s">
        <v>27</v>
      </c>
      <c r="M830" s="4">
        <v>6352.55</v>
      </c>
      <c r="N830" s="3">
        <v>0</v>
      </c>
      <c r="O830" t="s">
        <v>1439</v>
      </c>
      <c r="P830" t="s">
        <v>1439</v>
      </c>
      <c r="Q830" t="s">
        <v>1439</v>
      </c>
      <c r="R830" t="str">
        <f t="shared" si="25"/>
        <v>Sim</v>
      </c>
      <c r="S830" t="s">
        <v>1439</v>
      </c>
      <c r="T830" t="s">
        <v>30</v>
      </c>
      <c r="U830" t="s">
        <v>49</v>
      </c>
      <c r="V830" s="3">
        <v>6352.55</v>
      </c>
      <c r="W830" t="s">
        <v>494</v>
      </c>
      <c r="X830" s="3">
        <v>6352.55</v>
      </c>
    </row>
    <row r="831" spans="1:24" s="2" customFormat="1" x14ac:dyDescent="0.2">
      <c r="A831">
        <v>831</v>
      </c>
      <c r="B831" t="s">
        <v>1195</v>
      </c>
      <c r="C831" t="s">
        <v>1196</v>
      </c>
      <c r="D831" t="s">
        <v>1496</v>
      </c>
      <c r="E831" t="s">
        <v>30</v>
      </c>
      <c r="F831" t="s">
        <v>24</v>
      </c>
      <c r="G831" t="s">
        <v>25</v>
      </c>
      <c r="H831" t="str">
        <f t="shared" si="24"/>
        <v xml:space="preserve">RT PEDIDO 8042053 - LUCIENE GILMACH | Recorrência: | Observações: </v>
      </c>
      <c r="I831" t="s">
        <v>991</v>
      </c>
      <c r="J831" s="4">
        <v>1496.9</v>
      </c>
      <c r="K831" s="4">
        <v>529986.68999999994</v>
      </c>
      <c r="L831" t="s">
        <v>27</v>
      </c>
      <c r="M831" s="4">
        <v>1496.9</v>
      </c>
      <c r="N831" s="3">
        <v>0</v>
      </c>
      <c r="O831" t="s">
        <v>1439</v>
      </c>
      <c r="P831" t="s">
        <v>1469</v>
      </c>
      <c r="Q831" t="s">
        <v>1487</v>
      </c>
      <c r="R831" t="str">
        <f t="shared" si="25"/>
        <v>Sim</v>
      </c>
      <c r="S831" t="s">
        <v>1487</v>
      </c>
      <c r="T831" t="s">
        <v>30</v>
      </c>
      <c r="U831" t="s">
        <v>49</v>
      </c>
      <c r="V831" s="3">
        <v>1496.9</v>
      </c>
      <c r="W831" t="s">
        <v>494</v>
      </c>
      <c r="X831" s="3">
        <v>1496.9</v>
      </c>
    </row>
    <row r="832" spans="1:24" s="2" customFormat="1" x14ac:dyDescent="0.2">
      <c r="A832" s="2">
        <v>832</v>
      </c>
      <c r="B832"/>
      <c r="C832" t="s">
        <v>153</v>
      </c>
      <c r="D832" t="s">
        <v>1040</v>
      </c>
      <c r="E832" t="s">
        <v>1404</v>
      </c>
      <c r="F832" t="s">
        <v>63</v>
      </c>
      <c r="G832" t="s">
        <v>25</v>
      </c>
      <c r="H832" t="str">
        <f t="shared" si="24"/>
        <v xml:space="preserve">SODEXO - Eliane | Recorrência:12/12 | Observações: </v>
      </c>
      <c r="I832" t="s">
        <v>26</v>
      </c>
      <c r="J832" s="5">
        <v>-406.7</v>
      </c>
      <c r="K832" s="4">
        <v>529579.99</v>
      </c>
      <c r="L832" t="s">
        <v>27</v>
      </c>
      <c r="M832" s="5">
        <v>-406.7</v>
      </c>
      <c r="N832" s="3">
        <v>0</v>
      </c>
      <c r="O832" t="s">
        <v>1487</v>
      </c>
      <c r="P832" t="s">
        <v>1436</v>
      </c>
      <c r="Q832" t="s">
        <v>1497</v>
      </c>
      <c r="R832" t="str">
        <f t="shared" si="25"/>
        <v>Sim</v>
      </c>
      <c r="S832" t="s">
        <v>1497</v>
      </c>
      <c r="T832" t="s">
        <v>30</v>
      </c>
      <c r="U832" t="s">
        <v>93</v>
      </c>
      <c r="V832" s="3">
        <v>-406.7</v>
      </c>
      <c r="W832" t="s">
        <v>577</v>
      </c>
      <c r="X832" s="3">
        <v>-406.7</v>
      </c>
    </row>
    <row r="833" spans="1:24" s="2" customFormat="1" x14ac:dyDescent="0.2">
      <c r="A833">
        <v>833</v>
      </c>
      <c r="B833"/>
      <c r="C833" t="s">
        <v>828</v>
      </c>
      <c r="D833" t="s">
        <v>830</v>
      </c>
      <c r="E833" t="s">
        <v>1498</v>
      </c>
      <c r="F833" t="s">
        <v>63</v>
      </c>
      <c r="G833" t="s">
        <v>25</v>
      </c>
      <c r="H833" t="str">
        <f t="shared" si="24"/>
        <v xml:space="preserve">PREFEITURA DO MUNICIPIO DE BERTIOGA | Recorrência:10/41 | Observações: REF.02 PAGAMENTOS </v>
      </c>
      <c r="I833" t="s">
        <v>26</v>
      </c>
      <c r="J833" s="5">
        <v>-213.68</v>
      </c>
      <c r="K833" s="4">
        <v>529366.31000000006</v>
      </c>
      <c r="L833" t="s">
        <v>27</v>
      </c>
      <c r="M833" s="5">
        <v>-213.68</v>
      </c>
      <c r="N833" s="3">
        <v>0</v>
      </c>
      <c r="O833" t="s">
        <v>1487</v>
      </c>
      <c r="P833" t="s">
        <v>1499</v>
      </c>
      <c r="Q833" t="s">
        <v>1500</v>
      </c>
      <c r="R833" t="str">
        <f t="shared" si="25"/>
        <v>Sim</v>
      </c>
      <c r="S833" t="s">
        <v>1500</v>
      </c>
      <c r="T833" t="s">
        <v>831</v>
      </c>
      <c r="U833" t="s">
        <v>832</v>
      </c>
      <c r="V833" s="3">
        <v>-213.68</v>
      </c>
    </row>
    <row r="834" spans="1:24" s="2" customFormat="1" x14ac:dyDescent="0.2">
      <c r="A834" s="2">
        <v>834</v>
      </c>
      <c r="B834"/>
      <c r="C834" t="s">
        <v>153</v>
      </c>
      <c r="D834" t="s">
        <v>1501</v>
      </c>
      <c r="E834" t="s">
        <v>30</v>
      </c>
      <c r="F834" t="s">
        <v>63</v>
      </c>
      <c r="G834" t="s">
        <v>25</v>
      </c>
      <c r="H834" t="str">
        <f t="shared" si="24"/>
        <v xml:space="preserve">13º HONORÁRIO CONTABEIS | Recorrência: | Observações: </v>
      </c>
      <c r="I834" t="s">
        <v>26</v>
      </c>
      <c r="J834" s="5">
        <v>-830</v>
      </c>
      <c r="K834" s="4">
        <v>528536.31000000006</v>
      </c>
      <c r="L834" t="s">
        <v>27</v>
      </c>
      <c r="M834" s="5">
        <v>-830</v>
      </c>
      <c r="N834" s="3">
        <v>0</v>
      </c>
      <c r="O834" t="s">
        <v>1487</v>
      </c>
      <c r="P834" t="s">
        <v>1488</v>
      </c>
      <c r="Q834" t="s">
        <v>1497</v>
      </c>
      <c r="R834" t="str">
        <f t="shared" si="25"/>
        <v>Sim</v>
      </c>
      <c r="S834" t="s">
        <v>1497</v>
      </c>
      <c r="T834" t="s">
        <v>30</v>
      </c>
      <c r="U834" t="s">
        <v>608</v>
      </c>
      <c r="V834" s="3">
        <v>-830</v>
      </c>
      <c r="W834" t="s">
        <v>297</v>
      </c>
      <c r="X834" s="3">
        <v>-830</v>
      </c>
    </row>
    <row r="835" spans="1:24" s="2" customFormat="1" x14ac:dyDescent="0.2">
      <c r="A835">
        <v>835</v>
      </c>
      <c r="B835"/>
      <c r="C835" t="s">
        <v>297</v>
      </c>
      <c r="D835" t="s">
        <v>684</v>
      </c>
      <c r="E835" t="s">
        <v>955</v>
      </c>
      <c r="F835" t="s">
        <v>63</v>
      </c>
      <c r="G835" t="s">
        <v>25</v>
      </c>
      <c r="H835" t="str">
        <f t="shared" ref="H835:H898" si="26">D835&amp;" | "&amp;$E$1&amp;E835&amp;" | Observações: "&amp;T835</f>
        <v xml:space="preserve">DARF_ PIS | Recorrência:11/12 | Observações: </v>
      </c>
      <c r="I835" t="s">
        <v>755</v>
      </c>
      <c r="J835" s="5">
        <v>-129.47</v>
      </c>
      <c r="K835" s="4">
        <v>528406.84</v>
      </c>
      <c r="L835" t="s">
        <v>27</v>
      </c>
      <c r="M835" s="5">
        <v>-129.47</v>
      </c>
      <c r="N835" s="3">
        <v>0</v>
      </c>
      <c r="O835" t="s">
        <v>1487</v>
      </c>
      <c r="P835" t="s">
        <v>1454</v>
      </c>
      <c r="Q835" t="s">
        <v>1502</v>
      </c>
      <c r="R835" t="str">
        <f t="shared" ref="R835:R898" si="27">IF(Q835=S835,"Sim","nao")</f>
        <v>Sim</v>
      </c>
      <c r="S835" t="s">
        <v>1502</v>
      </c>
      <c r="T835" t="s">
        <v>30</v>
      </c>
      <c r="U835" t="s">
        <v>483</v>
      </c>
      <c r="V835" s="3">
        <v>-129.47</v>
      </c>
      <c r="W835" t="s">
        <v>376</v>
      </c>
      <c r="X835" s="3">
        <v>-129.47</v>
      </c>
    </row>
    <row r="836" spans="1:24" s="2" customFormat="1" x14ac:dyDescent="0.2">
      <c r="A836" s="2">
        <v>836</v>
      </c>
      <c r="B836"/>
      <c r="C836" t="s">
        <v>297</v>
      </c>
      <c r="D836" t="s">
        <v>715</v>
      </c>
      <c r="E836" t="s">
        <v>1404</v>
      </c>
      <c r="F836" t="s">
        <v>63</v>
      </c>
      <c r="G836" t="s">
        <v>25</v>
      </c>
      <c r="H836" t="str">
        <f t="shared" si="26"/>
        <v xml:space="preserve">DARF PREVIDENCIARIO (ANTIGO GPS) | Recorrência:12/12 | Observações: valor poderá ser alterado </v>
      </c>
      <c r="I836" t="s">
        <v>755</v>
      </c>
      <c r="J836" s="5">
        <v>-1395.93</v>
      </c>
      <c r="K836" s="4">
        <v>527010.91</v>
      </c>
      <c r="L836" t="s">
        <v>27</v>
      </c>
      <c r="M836" s="5">
        <v>-1395.93</v>
      </c>
      <c r="N836" s="3">
        <v>0</v>
      </c>
      <c r="O836" t="s">
        <v>1487</v>
      </c>
      <c r="P836" t="s">
        <v>1416</v>
      </c>
      <c r="Q836" t="s">
        <v>1497</v>
      </c>
      <c r="R836" t="str">
        <f t="shared" si="27"/>
        <v>Sim</v>
      </c>
      <c r="S836" t="s">
        <v>1497</v>
      </c>
      <c r="T836" t="s">
        <v>717</v>
      </c>
      <c r="U836" t="s">
        <v>677</v>
      </c>
      <c r="V836" s="3">
        <v>-1395.93</v>
      </c>
      <c r="W836" t="s">
        <v>376</v>
      </c>
      <c r="X836" s="3">
        <v>-1395.93</v>
      </c>
    </row>
    <row r="837" spans="1:24" s="2" customFormat="1" x14ac:dyDescent="0.2">
      <c r="A837">
        <v>837</v>
      </c>
      <c r="B837"/>
      <c r="C837" t="s">
        <v>153</v>
      </c>
      <c r="D837" t="s">
        <v>1503</v>
      </c>
      <c r="E837" t="s">
        <v>1404</v>
      </c>
      <c r="F837" t="s">
        <v>63</v>
      </c>
      <c r="G837" t="s">
        <v>25</v>
      </c>
      <c r="H837" t="str">
        <f t="shared" si="26"/>
        <v>LIMPEZA_JULIANA COSTA SOARES_3 DIÁRIAS | Recorrência:12/12 | Observações: REFERENTE AS DIÁRIAS : 07-14</v>
      </c>
      <c r="I837" t="s">
        <v>26</v>
      </c>
      <c r="J837" s="5">
        <v>-240</v>
      </c>
      <c r="K837" s="4">
        <v>526770.91</v>
      </c>
      <c r="L837" t="s">
        <v>27</v>
      </c>
      <c r="M837" s="5">
        <v>-240</v>
      </c>
      <c r="N837" s="3">
        <v>0</v>
      </c>
      <c r="O837" t="s">
        <v>1487</v>
      </c>
      <c r="P837" t="s">
        <v>1469</v>
      </c>
      <c r="Q837" t="s">
        <v>1483</v>
      </c>
      <c r="R837" t="str">
        <f t="shared" si="27"/>
        <v>Sim</v>
      </c>
      <c r="S837" t="s">
        <v>1483</v>
      </c>
      <c r="T837" t="s">
        <v>1504</v>
      </c>
      <c r="U837" t="s">
        <v>691</v>
      </c>
      <c r="V837" s="3">
        <v>-240</v>
      </c>
      <c r="W837" t="s">
        <v>324</v>
      </c>
      <c r="X837" s="3">
        <v>-240</v>
      </c>
    </row>
    <row r="838" spans="1:24" s="2" customFormat="1" x14ac:dyDescent="0.2">
      <c r="A838" s="2">
        <v>838</v>
      </c>
      <c r="B838"/>
      <c r="C838" t="s">
        <v>153</v>
      </c>
      <c r="D838" t="s">
        <v>1505</v>
      </c>
      <c r="E838" t="s">
        <v>30</v>
      </c>
      <c r="F838" t="s">
        <v>63</v>
      </c>
      <c r="G838" t="s">
        <v>25</v>
      </c>
      <c r="H838" t="str">
        <f t="shared" si="26"/>
        <v xml:space="preserve">ELIANE - 13º Salário - 2ª Parcela | Recorrência: | Observações: </v>
      </c>
      <c r="I838" t="s">
        <v>491</v>
      </c>
      <c r="J838" s="5">
        <v>-737</v>
      </c>
      <c r="K838" s="4">
        <v>526033.91</v>
      </c>
      <c r="L838" t="s">
        <v>27</v>
      </c>
      <c r="M838" s="5">
        <v>-737</v>
      </c>
      <c r="N838" s="3">
        <v>0</v>
      </c>
      <c r="O838" t="s">
        <v>1487</v>
      </c>
      <c r="P838" t="s">
        <v>1488</v>
      </c>
      <c r="Q838" t="s">
        <v>1487</v>
      </c>
      <c r="R838" t="str">
        <f t="shared" si="27"/>
        <v>Sim</v>
      </c>
      <c r="S838" t="s">
        <v>1487</v>
      </c>
      <c r="T838" t="s">
        <v>30</v>
      </c>
      <c r="U838" t="s">
        <v>599</v>
      </c>
      <c r="V838" s="3">
        <v>-737</v>
      </c>
      <c r="W838" t="s">
        <v>1043</v>
      </c>
      <c r="X838" s="3">
        <v>-737</v>
      </c>
    </row>
    <row r="839" spans="1:24" s="2" customFormat="1" x14ac:dyDescent="0.2">
      <c r="A839">
        <v>839</v>
      </c>
      <c r="B839"/>
      <c r="C839" t="s">
        <v>297</v>
      </c>
      <c r="D839" t="s">
        <v>481</v>
      </c>
      <c r="E839" t="s">
        <v>910</v>
      </c>
      <c r="F839" t="s">
        <v>63</v>
      </c>
      <c r="G839" t="s">
        <v>25</v>
      </c>
      <c r="H839" t="str">
        <f t="shared" si="26"/>
        <v>DARF_COFINS | Recorrência:10/12 | Observações: ATENÇÃO:
VENCIMENTO TODO DIA 25, EM CASO DE FERIADO/FINAL DE SEMANA O PAGAMENTO DEVERÁ SER ANTECIPADO OU SERÁ CONSIDERADO
*Data de vencimento dia 25 Domingo, deverá ser pago no dia 23*</v>
      </c>
      <c r="I839" t="s">
        <v>26</v>
      </c>
      <c r="J839" s="5">
        <v>-597.5</v>
      </c>
      <c r="K839" s="4">
        <v>525436.41</v>
      </c>
      <c r="L839" t="s">
        <v>27</v>
      </c>
      <c r="M839" s="5">
        <v>-597.5</v>
      </c>
      <c r="N839" s="3">
        <v>0</v>
      </c>
      <c r="O839" t="s">
        <v>1487</v>
      </c>
      <c r="P839" t="s">
        <v>1445</v>
      </c>
      <c r="Q839" t="s">
        <v>1506</v>
      </c>
      <c r="R839" t="str">
        <f t="shared" si="27"/>
        <v>Sim</v>
      </c>
      <c r="S839" t="s">
        <v>1506</v>
      </c>
      <c r="T839" t="s">
        <v>1303</v>
      </c>
      <c r="U839" t="s">
        <v>483</v>
      </c>
      <c r="V839" s="3">
        <v>-597.5</v>
      </c>
      <c r="W839" t="s">
        <v>190</v>
      </c>
      <c r="X839" s="3">
        <v>-597.5</v>
      </c>
    </row>
    <row r="840" spans="1:24" s="2" customFormat="1" x14ac:dyDescent="0.2">
      <c r="A840" s="2">
        <v>840</v>
      </c>
      <c r="B840"/>
      <c r="C840" t="s">
        <v>153</v>
      </c>
      <c r="D840" t="s">
        <v>1507</v>
      </c>
      <c r="E840" t="s">
        <v>30</v>
      </c>
      <c r="F840" t="s">
        <v>63</v>
      </c>
      <c r="G840" t="s">
        <v>25</v>
      </c>
      <c r="H840" t="str">
        <f t="shared" si="26"/>
        <v xml:space="preserve">DARF PREVIDENCIARIO 13º | Recorrência: | Observações: </v>
      </c>
      <c r="I840" t="s">
        <v>26</v>
      </c>
      <c r="J840" s="5">
        <v>-644.49</v>
      </c>
      <c r="K840" s="4">
        <v>524791.92000000004</v>
      </c>
      <c r="L840" t="s">
        <v>27</v>
      </c>
      <c r="M840" s="5">
        <v>-644.49</v>
      </c>
      <c r="N840" s="3">
        <v>0</v>
      </c>
      <c r="O840" t="s">
        <v>1487</v>
      </c>
      <c r="P840" t="s">
        <v>1487</v>
      </c>
      <c r="Q840" t="s">
        <v>1487</v>
      </c>
      <c r="R840" t="str">
        <f t="shared" si="27"/>
        <v>Sim</v>
      </c>
      <c r="S840" t="s">
        <v>1487</v>
      </c>
      <c r="T840" t="s">
        <v>30</v>
      </c>
      <c r="U840" t="s">
        <v>1508</v>
      </c>
      <c r="V840" s="3">
        <v>-644.49</v>
      </c>
      <c r="W840" t="s">
        <v>376</v>
      </c>
      <c r="X840" s="3">
        <v>-644.49</v>
      </c>
    </row>
    <row r="841" spans="1:24" s="2" customFormat="1" x14ac:dyDescent="0.2">
      <c r="A841">
        <v>841</v>
      </c>
      <c r="B841"/>
      <c r="C841" t="s">
        <v>153</v>
      </c>
      <c r="D841" t="s">
        <v>599</v>
      </c>
      <c r="E841" t="s">
        <v>30</v>
      </c>
      <c r="F841" t="s">
        <v>63</v>
      </c>
      <c r="G841" t="s">
        <v>25</v>
      </c>
      <c r="H841" t="str">
        <f t="shared" si="26"/>
        <v xml:space="preserve">13º Salário - 2ª Parcela | Recorrência: | Observações: </v>
      </c>
      <c r="I841" t="s">
        <v>491</v>
      </c>
      <c r="J841" s="5">
        <v>-737</v>
      </c>
      <c r="K841" s="4">
        <v>524791.92000000004</v>
      </c>
      <c r="L841" t="s">
        <v>756</v>
      </c>
      <c r="M841" s="5">
        <v>-737</v>
      </c>
      <c r="N841" s="3">
        <v>0</v>
      </c>
      <c r="O841" t="s">
        <v>1487</v>
      </c>
      <c r="P841" t="s">
        <v>1488</v>
      </c>
      <c r="Q841" t="s">
        <v>1487</v>
      </c>
      <c r="R841" t="str">
        <f t="shared" si="27"/>
        <v>Sim</v>
      </c>
      <c r="S841" t="s">
        <v>1487</v>
      </c>
      <c r="T841" t="s">
        <v>30</v>
      </c>
      <c r="U841" t="s">
        <v>599</v>
      </c>
      <c r="V841" s="3">
        <v>-737</v>
      </c>
      <c r="W841" t="s">
        <v>1043</v>
      </c>
      <c r="X841" s="3">
        <v>-737</v>
      </c>
    </row>
    <row r="842" spans="1:24" s="2" customFormat="1" x14ac:dyDescent="0.2">
      <c r="A842" s="2">
        <v>842</v>
      </c>
      <c r="B842" t="s">
        <v>1509</v>
      </c>
      <c r="C842" t="s">
        <v>1510</v>
      </c>
      <c r="D842" t="s">
        <v>1511</v>
      </c>
      <c r="E842" t="s">
        <v>30</v>
      </c>
      <c r="F842" t="s">
        <v>24</v>
      </c>
      <c r="G842" t="s">
        <v>25</v>
      </c>
      <c r="H842" t="str">
        <f t="shared" si="26"/>
        <v xml:space="preserve">1/3 - PROJETO - SALÃO DE FESTA_CHURRASQUEIRA_HALL SOCIAL | Recorrência: | Observações: </v>
      </c>
      <c r="I842" t="s">
        <v>491</v>
      </c>
      <c r="J842" s="4">
        <v>4332.12</v>
      </c>
      <c r="K842" s="4">
        <v>529124.04</v>
      </c>
      <c r="L842" t="s">
        <v>27</v>
      </c>
      <c r="M842" s="4">
        <v>4332.12</v>
      </c>
      <c r="N842" s="3">
        <v>0</v>
      </c>
      <c r="O842" t="s">
        <v>1497</v>
      </c>
      <c r="P842" t="s">
        <v>1512</v>
      </c>
      <c r="Q842" t="s">
        <v>1497</v>
      </c>
      <c r="R842" t="str">
        <f t="shared" si="27"/>
        <v>Sim</v>
      </c>
      <c r="S842" t="s">
        <v>1497</v>
      </c>
      <c r="T842" t="s">
        <v>30</v>
      </c>
      <c r="U842" t="s">
        <v>31</v>
      </c>
      <c r="V842" s="3">
        <v>4332.12</v>
      </c>
      <c r="W842" t="s">
        <v>32</v>
      </c>
      <c r="X842" s="3">
        <v>4332.12</v>
      </c>
    </row>
    <row r="843" spans="1:24" s="2" customFormat="1" x14ac:dyDescent="0.2">
      <c r="A843">
        <v>843</v>
      </c>
      <c r="B843"/>
      <c r="C843" t="s">
        <v>835</v>
      </c>
      <c r="D843" t="s">
        <v>1514</v>
      </c>
      <c r="E843" t="s">
        <v>30</v>
      </c>
      <c r="F843" t="s">
        <v>24</v>
      </c>
      <c r="G843" t="s">
        <v>25</v>
      </c>
      <c r="H843" t="str">
        <f t="shared" si="26"/>
        <v xml:space="preserve">2/2 - PROJETO THERA  2/2 | Recorrência: | Observações: </v>
      </c>
      <c r="I843" t="s">
        <v>491</v>
      </c>
      <c r="J843" s="4">
        <v>2000</v>
      </c>
      <c r="K843" s="4">
        <v>531124.04</v>
      </c>
      <c r="L843" t="s">
        <v>27</v>
      </c>
      <c r="M843" s="4">
        <v>2000</v>
      </c>
      <c r="N843" s="3">
        <v>0</v>
      </c>
      <c r="O843" t="s">
        <v>1513</v>
      </c>
      <c r="P843" t="s">
        <v>1349</v>
      </c>
      <c r="Q843" t="s">
        <v>1513</v>
      </c>
      <c r="R843" t="str">
        <f t="shared" si="27"/>
        <v>Sim</v>
      </c>
      <c r="S843" t="s">
        <v>1513</v>
      </c>
      <c r="T843" t="s">
        <v>30</v>
      </c>
      <c r="U843" t="s">
        <v>31</v>
      </c>
      <c r="V843" s="3">
        <v>2000</v>
      </c>
      <c r="W843" t="s">
        <v>32</v>
      </c>
      <c r="X843" s="3">
        <v>2000</v>
      </c>
    </row>
    <row r="844" spans="1:24" s="2" customFormat="1" x14ac:dyDescent="0.2">
      <c r="A844" s="2">
        <v>844</v>
      </c>
      <c r="B844" t="s">
        <v>1515</v>
      </c>
      <c r="C844" t="s">
        <v>1516</v>
      </c>
      <c r="D844" t="s">
        <v>1517</v>
      </c>
      <c r="E844" t="s">
        <v>30</v>
      </c>
      <c r="F844" t="s">
        <v>24</v>
      </c>
      <c r="G844" t="s">
        <v>25</v>
      </c>
      <c r="H844" t="str">
        <f t="shared" si="26"/>
        <v xml:space="preserve">RT DANIELA E ANTE_SUITE MARINA | Recorrência: | Observações: </v>
      </c>
      <c r="I844" t="s">
        <v>991</v>
      </c>
      <c r="J844" s="4">
        <v>265.64</v>
      </c>
      <c r="K844" s="4">
        <v>531389.68000000005</v>
      </c>
      <c r="L844" t="s">
        <v>27</v>
      </c>
      <c r="M844" s="4">
        <v>265.64</v>
      </c>
      <c r="N844" s="3">
        <v>0</v>
      </c>
      <c r="O844" t="s">
        <v>1500</v>
      </c>
      <c r="P844" t="s">
        <v>1411</v>
      </c>
      <c r="Q844" t="s">
        <v>1500</v>
      </c>
      <c r="R844" t="str">
        <f t="shared" si="27"/>
        <v>Sim</v>
      </c>
      <c r="S844" t="s">
        <v>1500</v>
      </c>
      <c r="T844" t="s">
        <v>30</v>
      </c>
      <c r="U844" t="s">
        <v>49</v>
      </c>
      <c r="V844" s="3">
        <v>265.64</v>
      </c>
      <c r="W844" t="s">
        <v>494</v>
      </c>
      <c r="X844" s="3">
        <v>265.64</v>
      </c>
    </row>
    <row r="845" spans="1:24" s="2" customFormat="1" x14ac:dyDescent="0.2">
      <c r="A845">
        <v>845</v>
      </c>
      <c r="B845"/>
      <c r="C845" t="s">
        <v>153</v>
      </c>
      <c r="D845" t="s">
        <v>1519</v>
      </c>
      <c r="E845" t="s">
        <v>30</v>
      </c>
      <c r="F845" t="s">
        <v>63</v>
      </c>
      <c r="G845" t="s">
        <v>25</v>
      </c>
      <c r="H845" t="str">
        <f t="shared" si="26"/>
        <v xml:space="preserve">1/11 - SALÁRIO - JULYA 1/12 | Recorrência: | Observações: </v>
      </c>
      <c r="I845" t="s">
        <v>991</v>
      </c>
      <c r="J845" s="5">
        <v>-3500</v>
      </c>
      <c r="K845" s="4">
        <v>527889.68000000005</v>
      </c>
      <c r="L845" t="s">
        <v>27</v>
      </c>
      <c r="M845" s="5">
        <v>-3500</v>
      </c>
      <c r="N845" s="3">
        <v>0</v>
      </c>
      <c r="O845" t="s">
        <v>1518</v>
      </c>
      <c r="P845" t="s">
        <v>1457</v>
      </c>
      <c r="Q845" t="s">
        <v>1518</v>
      </c>
      <c r="R845" t="str">
        <f t="shared" si="27"/>
        <v>Sim</v>
      </c>
      <c r="S845" t="s">
        <v>1518</v>
      </c>
      <c r="T845" t="s">
        <v>30</v>
      </c>
      <c r="U845" t="s">
        <v>323</v>
      </c>
      <c r="V845" s="3">
        <v>-3500</v>
      </c>
      <c r="W845" t="s">
        <v>1164</v>
      </c>
      <c r="X845" s="3">
        <v>-3500</v>
      </c>
    </row>
    <row r="846" spans="1:24" s="2" customFormat="1" x14ac:dyDescent="0.2">
      <c r="A846" s="2">
        <v>846</v>
      </c>
      <c r="B846"/>
      <c r="C846" t="s">
        <v>153</v>
      </c>
      <c r="D846" t="s">
        <v>1521</v>
      </c>
      <c r="E846" t="s">
        <v>30</v>
      </c>
      <c r="F846" t="s">
        <v>63</v>
      </c>
      <c r="G846" t="s">
        <v>25</v>
      </c>
      <c r="H846" t="str">
        <f t="shared" si="26"/>
        <v xml:space="preserve">1/12 - PRÓ LABORE MAYARA 1/12 | Recorrência: | Observações: </v>
      </c>
      <c r="I846" t="s">
        <v>30</v>
      </c>
      <c r="J846" s="5">
        <v>-15000</v>
      </c>
      <c r="K846" s="4">
        <v>512889.68</v>
      </c>
      <c r="L846" t="s">
        <v>27</v>
      </c>
      <c r="M846" s="5">
        <v>-15000</v>
      </c>
      <c r="N846" s="3">
        <v>0</v>
      </c>
      <c r="O846" t="s">
        <v>1520</v>
      </c>
      <c r="P846" t="s">
        <v>1457</v>
      </c>
      <c r="Q846" t="s">
        <v>1520</v>
      </c>
      <c r="R846" t="str">
        <f t="shared" si="27"/>
        <v>Sim</v>
      </c>
      <c r="S846" t="s">
        <v>1520</v>
      </c>
      <c r="T846" t="s">
        <v>30</v>
      </c>
      <c r="U846" t="s">
        <v>631</v>
      </c>
      <c r="V846" s="3">
        <v>-15000</v>
      </c>
      <c r="W846" t="s">
        <v>1164</v>
      </c>
      <c r="X846" s="3">
        <v>-15000</v>
      </c>
    </row>
    <row r="847" spans="1:24" s="2" customFormat="1" x14ac:dyDescent="0.2">
      <c r="A847">
        <v>847</v>
      </c>
      <c r="B847"/>
      <c r="C847" t="s">
        <v>153</v>
      </c>
      <c r="D847" t="s">
        <v>1522</v>
      </c>
      <c r="E847" t="s">
        <v>30</v>
      </c>
      <c r="F847" t="s">
        <v>63</v>
      </c>
      <c r="G847" t="s">
        <v>25</v>
      </c>
      <c r="H847" t="str">
        <f t="shared" si="26"/>
        <v xml:space="preserve">1/12 - PRÓ LABORE - NATASHA 1/12 | Recorrência: | Observações: </v>
      </c>
      <c r="I847" t="s">
        <v>30</v>
      </c>
      <c r="J847" s="5">
        <v>-7500</v>
      </c>
      <c r="K847" s="4">
        <v>505389.68</v>
      </c>
      <c r="L847" t="s">
        <v>27</v>
      </c>
      <c r="M847" s="5">
        <v>-7500</v>
      </c>
      <c r="N847" s="3">
        <v>0</v>
      </c>
      <c r="O847" t="s">
        <v>1520</v>
      </c>
      <c r="P847" t="s">
        <v>1457</v>
      </c>
      <c r="Q847" t="s">
        <v>1520</v>
      </c>
      <c r="R847" t="str">
        <f t="shared" si="27"/>
        <v>Sim</v>
      </c>
      <c r="S847" t="s">
        <v>1520</v>
      </c>
      <c r="T847" t="s">
        <v>30</v>
      </c>
      <c r="U847" t="s">
        <v>631</v>
      </c>
      <c r="V847" s="3">
        <v>-7500</v>
      </c>
      <c r="W847" t="s">
        <v>1164</v>
      </c>
      <c r="X847" s="3">
        <v>-7500</v>
      </c>
    </row>
    <row r="848" spans="1:24" s="2" customFormat="1" x14ac:dyDescent="0.2">
      <c r="A848" s="2">
        <v>848</v>
      </c>
      <c r="B848"/>
      <c r="C848" t="s">
        <v>153</v>
      </c>
      <c r="D848" t="s">
        <v>1523</v>
      </c>
      <c r="E848" t="s">
        <v>30</v>
      </c>
      <c r="F848" t="s">
        <v>63</v>
      </c>
      <c r="G848" t="s">
        <v>25</v>
      </c>
      <c r="H848" t="str">
        <f t="shared" si="26"/>
        <v>1/4 - FELIPE - SALÁRIO 1/12 | Recorrência: | Observações: Felipe Schneider Caldeira
Nascimento: 25/11
CPF: 496.965.018-070
Dados Bancários:
0260 - Nubank
Cc: 982.310.42-6
E-mail: felipecaladeira333@gmail.com</v>
      </c>
      <c r="I848" t="s">
        <v>991</v>
      </c>
      <c r="J848" s="5">
        <v>-900</v>
      </c>
      <c r="K848" s="4">
        <v>504489.68</v>
      </c>
      <c r="L848" t="s">
        <v>27</v>
      </c>
      <c r="M848" s="5">
        <v>-900</v>
      </c>
      <c r="N848" s="3">
        <v>0</v>
      </c>
      <c r="O848" t="s">
        <v>1520</v>
      </c>
      <c r="P848" t="s">
        <v>1457</v>
      </c>
      <c r="Q848" t="s">
        <v>1520</v>
      </c>
      <c r="R848" t="str">
        <f t="shared" si="27"/>
        <v>Sim</v>
      </c>
      <c r="S848" t="s">
        <v>1520</v>
      </c>
      <c r="T848" t="s">
        <v>1524</v>
      </c>
      <c r="U848" t="s">
        <v>323</v>
      </c>
      <c r="V848" s="3">
        <v>-900</v>
      </c>
      <c r="W848" t="s">
        <v>1164</v>
      </c>
      <c r="X848" s="3">
        <v>-900</v>
      </c>
    </row>
    <row r="849" spans="1:24" s="2" customFormat="1" x14ac:dyDescent="0.2">
      <c r="A849">
        <v>849</v>
      </c>
      <c r="B849"/>
      <c r="C849" t="s">
        <v>153</v>
      </c>
      <c r="D849" t="s">
        <v>1525</v>
      </c>
      <c r="E849" t="s">
        <v>30</v>
      </c>
      <c r="F849" t="s">
        <v>63</v>
      </c>
      <c r="G849" t="s">
        <v>25</v>
      </c>
      <c r="H849" t="str">
        <f t="shared" si="26"/>
        <v>1/7 - SALÁRIO MARCELA S CAVALCANTE 1/12 | Recorrência: | Observações: PAGAMENTO REALIZADO NO DIA 04/01 - VALOR R$ 3.110,61</v>
      </c>
      <c r="I849" t="s">
        <v>991</v>
      </c>
      <c r="J849" s="5">
        <v>-2800</v>
      </c>
      <c r="K849" s="4">
        <v>501689.68</v>
      </c>
      <c r="L849" t="s">
        <v>27</v>
      </c>
      <c r="M849" s="5">
        <v>-2800</v>
      </c>
      <c r="N849" s="3">
        <v>0</v>
      </c>
      <c r="O849" t="s">
        <v>1520</v>
      </c>
      <c r="P849" t="s">
        <v>1095</v>
      </c>
      <c r="Q849" t="s">
        <v>1520</v>
      </c>
      <c r="R849" t="str">
        <f t="shared" si="27"/>
        <v>Sim</v>
      </c>
      <c r="S849" t="s">
        <v>1520</v>
      </c>
      <c r="T849" t="s">
        <v>1526</v>
      </c>
      <c r="U849" t="s">
        <v>323</v>
      </c>
      <c r="V849" s="3">
        <v>-2800</v>
      </c>
      <c r="W849" t="s">
        <v>1164</v>
      </c>
      <c r="X849" s="3">
        <v>-2800</v>
      </c>
    </row>
    <row r="850" spans="1:24" s="2" customFormat="1" x14ac:dyDescent="0.2">
      <c r="A850" s="2">
        <v>850</v>
      </c>
      <c r="B850"/>
      <c r="C850" t="s">
        <v>1470</v>
      </c>
      <c r="D850" t="s">
        <v>274</v>
      </c>
      <c r="E850" t="s">
        <v>30</v>
      </c>
      <c r="F850" t="s">
        <v>24</v>
      </c>
      <c r="G850" t="s">
        <v>25</v>
      </c>
      <c r="H850" t="str">
        <f t="shared" si="26"/>
        <v xml:space="preserve">GERENCIAMENTO | Recorrência: | Observações: </v>
      </c>
      <c r="I850" t="s">
        <v>491</v>
      </c>
      <c r="J850" s="4">
        <v>4000</v>
      </c>
      <c r="K850" s="4">
        <v>505689.68</v>
      </c>
      <c r="L850" t="s">
        <v>27</v>
      </c>
      <c r="M850" s="4">
        <v>4000</v>
      </c>
      <c r="N850" s="3">
        <v>0</v>
      </c>
      <c r="O850" t="s">
        <v>1520</v>
      </c>
      <c r="P850" t="s">
        <v>1527</v>
      </c>
      <c r="Q850" t="s">
        <v>1520</v>
      </c>
      <c r="R850" t="str">
        <f t="shared" si="27"/>
        <v>Sim</v>
      </c>
      <c r="S850" t="s">
        <v>1520</v>
      </c>
      <c r="T850" t="s">
        <v>30</v>
      </c>
      <c r="U850" t="s">
        <v>274</v>
      </c>
      <c r="V850" s="3">
        <v>4000</v>
      </c>
      <c r="W850" t="s">
        <v>166</v>
      </c>
      <c r="X850" s="3">
        <v>4000</v>
      </c>
    </row>
    <row r="851" spans="1:24" s="2" customFormat="1" x14ac:dyDescent="0.2">
      <c r="A851">
        <v>851</v>
      </c>
      <c r="B851" t="s">
        <v>647</v>
      </c>
      <c r="C851" t="s">
        <v>648</v>
      </c>
      <c r="D851" t="s">
        <v>1529</v>
      </c>
      <c r="E851" t="s">
        <v>30</v>
      </c>
      <c r="F851" t="s">
        <v>63</v>
      </c>
      <c r="G851" t="s">
        <v>25</v>
      </c>
      <c r="H851" t="str">
        <f t="shared" si="26"/>
        <v xml:space="preserve">1/12 - FGTS 1/12 | Recorrência: | Observações: </v>
      </c>
      <c r="I851" t="s">
        <v>26</v>
      </c>
      <c r="J851" s="5">
        <v>-210.38</v>
      </c>
      <c r="K851" s="4">
        <v>505479.3</v>
      </c>
      <c r="L851" t="s">
        <v>27</v>
      </c>
      <c r="M851" s="5">
        <v>-210.38</v>
      </c>
      <c r="N851" s="3">
        <v>0</v>
      </c>
      <c r="O851" t="s">
        <v>1528</v>
      </c>
      <c r="P851" t="s">
        <v>1469</v>
      </c>
      <c r="Q851" t="s">
        <v>1530</v>
      </c>
      <c r="R851" t="str">
        <f t="shared" si="27"/>
        <v>Sim</v>
      </c>
      <c r="S851" t="s">
        <v>1530</v>
      </c>
      <c r="T851" t="s">
        <v>30</v>
      </c>
      <c r="U851" t="s">
        <v>1531</v>
      </c>
      <c r="V851" s="3">
        <v>-210.38</v>
      </c>
    </row>
    <row r="852" spans="1:24" s="2" customFormat="1" x14ac:dyDescent="0.2">
      <c r="A852" s="2">
        <v>852</v>
      </c>
      <c r="B852"/>
      <c r="C852" t="s">
        <v>153</v>
      </c>
      <c r="D852" t="s">
        <v>636</v>
      </c>
      <c r="E852" t="s">
        <v>320</v>
      </c>
      <c r="F852" t="s">
        <v>63</v>
      </c>
      <c r="G852" t="s">
        <v>25</v>
      </c>
      <c r="H852" t="str">
        <f t="shared" si="26"/>
        <v xml:space="preserve">SALÁRIO ELIANE | Recorrência:1/12 | Observações: </v>
      </c>
      <c r="I852" t="s">
        <v>491</v>
      </c>
      <c r="J852" s="5">
        <v>-1613.61</v>
      </c>
      <c r="K852" s="4">
        <v>503865.69</v>
      </c>
      <c r="L852" t="s">
        <v>27</v>
      </c>
      <c r="M852" s="5">
        <v>-1613.61</v>
      </c>
      <c r="N852" s="3">
        <v>0</v>
      </c>
      <c r="O852" t="s">
        <v>1528</v>
      </c>
      <c r="P852" t="s">
        <v>1532</v>
      </c>
      <c r="Q852" t="s">
        <v>1518</v>
      </c>
      <c r="R852" t="str">
        <f t="shared" si="27"/>
        <v>Sim</v>
      </c>
      <c r="S852" t="s">
        <v>1518</v>
      </c>
      <c r="T852" t="s">
        <v>30</v>
      </c>
      <c r="U852" t="s">
        <v>323</v>
      </c>
      <c r="V852" s="3">
        <v>-1613.61</v>
      </c>
      <c r="W852" t="s">
        <v>1164</v>
      </c>
      <c r="X852" s="3">
        <v>-1613.61</v>
      </c>
    </row>
    <row r="853" spans="1:24" s="2" customFormat="1" x14ac:dyDescent="0.2">
      <c r="A853">
        <v>853</v>
      </c>
      <c r="B853"/>
      <c r="C853" t="s">
        <v>574</v>
      </c>
      <c r="D853" t="s">
        <v>1533</v>
      </c>
      <c r="E853" t="s">
        <v>320</v>
      </c>
      <c r="F853" t="s">
        <v>63</v>
      </c>
      <c r="G853" t="s">
        <v>25</v>
      </c>
      <c r="H853" t="str">
        <f t="shared" si="26"/>
        <v xml:space="preserve">CONDOMINIO + ALUGUEL | Recorrência:1/12 | Observações: </v>
      </c>
      <c r="I853" t="s">
        <v>26</v>
      </c>
      <c r="J853" s="5">
        <v>-5295.56</v>
      </c>
      <c r="K853" s="4">
        <v>498570.13</v>
      </c>
      <c r="L853" t="s">
        <v>27</v>
      </c>
      <c r="M853" s="5">
        <v>-5295.56</v>
      </c>
      <c r="N853" s="3">
        <v>0</v>
      </c>
      <c r="O853" t="s">
        <v>1528</v>
      </c>
      <c r="P853" t="s">
        <v>1534</v>
      </c>
      <c r="Q853" t="s">
        <v>1528</v>
      </c>
      <c r="R853" t="str">
        <f t="shared" si="27"/>
        <v>Sim</v>
      </c>
      <c r="S853" t="s">
        <v>1528</v>
      </c>
      <c r="T853" t="s">
        <v>30</v>
      </c>
      <c r="U853" t="s">
        <v>571</v>
      </c>
      <c r="V853" s="3">
        <v>-5295.56</v>
      </c>
      <c r="W853" t="s">
        <v>1058</v>
      </c>
      <c r="X853" s="3">
        <v>-5295.56</v>
      </c>
    </row>
    <row r="854" spans="1:24" s="2" customFormat="1" x14ac:dyDescent="0.2">
      <c r="A854" s="2">
        <v>854</v>
      </c>
      <c r="B854" t="s">
        <v>1536</v>
      </c>
      <c r="C854" t="s">
        <v>666</v>
      </c>
      <c r="D854" t="s">
        <v>667</v>
      </c>
      <c r="E854" t="s">
        <v>320</v>
      </c>
      <c r="F854" t="s">
        <v>63</v>
      </c>
      <c r="G854" t="s">
        <v>25</v>
      </c>
      <c r="H854" t="str">
        <f t="shared" si="26"/>
        <v xml:space="preserve">TELEFONIA E INTERNET | Recorrência:1/12 | Observações: </v>
      </c>
      <c r="I854" t="s">
        <v>26</v>
      </c>
      <c r="J854" s="5">
        <v>-130.07</v>
      </c>
      <c r="K854" s="4">
        <v>498440.06</v>
      </c>
      <c r="L854" t="s">
        <v>27</v>
      </c>
      <c r="M854" s="5">
        <v>-130.07</v>
      </c>
      <c r="N854" s="3">
        <v>0</v>
      </c>
      <c r="O854" t="s">
        <v>1535</v>
      </c>
      <c r="P854" t="s">
        <v>1537</v>
      </c>
      <c r="Q854" t="s">
        <v>1538</v>
      </c>
      <c r="R854" t="str">
        <f t="shared" si="27"/>
        <v>Sim</v>
      </c>
      <c r="S854" t="s">
        <v>1538</v>
      </c>
      <c r="T854" t="s">
        <v>30</v>
      </c>
      <c r="U854" t="s">
        <v>670</v>
      </c>
      <c r="V854" s="3">
        <v>-130.07</v>
      </c>
      <c r="W854" t="s">
        <v>324</v>
      </c>
      <c r="X854" s="3">
        <v>-130.07</v>
      </c>
    </row>
    <row r="855" spans="1:24" s="2" customFormat="1" x14ac:dyDescent="0.2">
      <c r="A855">
        <v>855</v>
      </c>
      <c r="B855"/>
      <c r="C855" t="s">
        <v>153</v>
      </c>
      <c r="D855" t="s">
        <v>1540</v>
      </c>
      <c r="E855" t="s">
        <v>30</v>
      </c>
      <c r="F855" t="s">
        <v>63</v>
      </c>
      <c r="G855" t="s">
        <v>25</v>
      </c>
      <c r="H855" t="str">
        <f t="shared" si="26"/>
        <v xml:space="preserve">CAU - MAYARA | Recorrência: | Observações: </v>
      </c>
      <c r="I855" t="s">
        <v>1113</v>
      </c>
      <c r="J855" s="5">
        <v>-604.70000000000005</v>
      </c>
      <c r="K855" s="4">
        <v>497835.36</v>
      </c>
      <c r="L855" t="s">
        <v>27</v>
      </c>
      <c r="M855" s="5">
        <v>-604.70000000000005</v>
      </c>
      <c r="N855" s="3">
        <v>0</v>
      </c>
      <c r="O855" t="s">
        <v>1539</v>
      </c>
      <c r="P855" t="s">
        <v>1541</v>
      </c>
      <c r="Q855" t="s">
        <v>1541</v>
      </c>
      <c r="R855" t="str">
        <f t="shared" si="27"/>
        <v>Sim</v>
      </c>
      <c r="S855" t="s">
        <v>1541</v>
      </c>
      <c r="T855" t="s">
        <v>30</v>
      </c>
      <c r="U855" t="s">
        <v>1542</v>
      </c>
      <c r="V855" s="3">
        <v>-604.70000000000005</v>
      </c>
      <c r="W855" t="s">
        <v>1058</v>
      </c>
      <c r="X855" s="3">
        <v>-604.70000000000005</v>
      </c>
    </row>
    <row r="856" spans="1:24" s="2" customFormat="1" x14ac:dyDescent="0.2">
      <c r="A856" s="2">
        <v>856</v>
      </c>
      <c r="B856" t="s">
        <v>647</v>
      </c>
      <c r="C856" t="s">
        <v>648</v>
      </c>
      <c r="D856" t="s">
        <v>1543</v>
      </c>
      <c r="E856" t="s">
        <v>30</v>
      </c>
      <c r="F856" t="s">
        <v>63</v>
      </c>
      <c r="G856" t="s">
        <v>25</v>
      </c>
      <c r="H856" t="str">
        <f t="shared" si="26"/>
        <v xml:space="preserve">1/35 - DARF ISS 1/36 | Recorrência: | Observações: </v>
      </c>
      <c r="I856" t="s">
        <v>26</v>
      </c>
      <c r="J856" s="5">
        <v>-344.19</v>
      </c>
      <c r="K856" s="4">
        <v>497491.17</v>
      </c>
      <c r="L856" t="s">
        <v>27</v>
      </c>
      <c r="M856" s="5">
        <v>-344.19</v>
      </c>
      <c r="N856" s="3">
        <v>0</v>
      </c>
      <c r="O856" t="s">
        <v>1539</v>
      </c>
      <c r="P856" t="s">
        <v>1474</v>
      </c>
      <c r="Q856" t="s">
        <v>1528</v>
      </c>
      <c r="R856" t="str">
        <f t="shared" si="27"/>
        <v>Sim</v>
      </c>
      <c r="S856" t="s">
        <v>1528</v>
      </c>
      <c r="T856" t="s">
        <v>30</v>
      </c>
      <c r="U856" t="s">
        <v>1098</v>
      </c>
      <c r="V856" s="3">
        <v>-344.19</v>
      </c>
      <c r="W856" t="s">
        <v>324</v>
      </c>
      <c r="X856" s="3">
        <v>-344.19</v>
      </c>
    </row>
    <row r="857" spans="1:24" s="2" customFormat="1" x14ac:dyDescent="0.2">
      <c r="A857">
        <v>857</v>
      </c>
      <c r="B857" t="s">
        <v>647</v>
      </c>
      <c r="C857" t="s">
        <v>648</v>
      </c>
      <c r="D857" t="s">
        <v>1544</v>
      </c>
      <c r="E857" t="s">
        <v>320</v>
      </c>
      <c r="F857" t="s">
        <v>63</v>
      </c>
      <c r="G857" t="s">
        <v>25</v>
      </c>
      <c r="H857" t="str">
        <f t="shared" si="26"/>
        <v xml:space="preserve">HONORARIOS CONTABEIS | Recorrência:1/12 | Observações: </v>
      </c>
      <c r="I857" t="s">
        <v>26</v>
      </c>
      <c r="J857" s="5">
        <v>-830</v>
      </c>
      <c r="K857" s="4">
        <v>496661.17</v>
      </c>
      <c r="L857" t="s">
        <v>27</v>
      </c>
      <c r="M857" s="5">
        <v>-830</v>
      </c>
      <c r="N857" s="3">
        <v>0</v>
      </c>
      <c r="O857" t="s">
        <v>1539</v>
      </c>
      <c r="P857" t="s">
        <v>1545</v>
      </c>
      <c r="Q857" t="s">
        <v>1539</v>
      </c>
      <c r="R857" t="str">
        <f t="shared" si="27"/>
        <v>Sim</v>
      </c>
      <c r="S857" t="s">
        <v>1539</v>
      </c>
      <c r="T857" t="s">
        <v>30</v>
      </c>
      <c r="U857" t="s">
        <v>608</v>
      </c>
      <c r="V857" s="3">
        <v>-830</v>
      </c>
      <c r="W857" t="s">
        <v>297</v>
      </c>
      <c r="X857" s="3">
        <v>-830</v>
      </c>
    </row>
    <row r="858" spans="1:24" s="2" customFormat="1" x14ac:dyDescent="0.2">
      <c r="A858" s="2">
        <v>858</v>
      </c>
      <c r="B858"/>
      <c r="C858" t="s">
        <v>1253</v>
      </c>
      <c r="D858" t="s">
        <v>1546</v>
      </c>
      <c r="E858" t="s">
        <v>30</v>
      </c>
      <c r="F858" t="s">
        <v>24</v>
      </c>
      <c r="G858" t="s">
        <v>25</v>
      </c>
      <c r="H858" t="str">
        <f t="shared" si="26"/>
        <v>2/2 - PROJETO COPAN MN ARQUITETURA  E INTERIORES  2/2 | Recorrência: | Observações: 1ª TRANSFERÊNCIA REALIZADA POR : MARCELO DI GENARO</v>
      </c>
      <c r="I858" t="s">
        <v>991</v>
      </c>
      <c r="J858" s="4">
        <v>3500</v>
      </c>
      <c r="K858" s="4">
        <v>500161.17</v>
      </c>
      <c r="L858" t="s">
        <v>27</v>
      </c>
      <c r="M858" s="4">
        <v>3500</v>
      </c>
      <c r="N858" s="3">
        <v>0</v>
      </c>
      <c r="O858" t="s">
        <v>1539</v>
      </c>
      <c r="P858" t="s">
        <v>1239</v>
      </c>
      <c r="Q858" t="s">
        <v>1260</v>
      </c>
      <c r="R858" t="str">
        <f t="shared" si="27"/>
        <v>Sim</v>
      </c>
      <c r="S858" t="s">
        <v>1260</v>
      </c>
      <c r="T858" t="s">
        <v>1255</v>
      </c>
      <c r="U858" t="s">
        <v>40</v>
      </c>
      <c r="V858" s="3">
        <v>3500</v>
      </c>
      <c r="W858" t="s">
        <v>32</v>
      </c>
      <c r="X858" s="3">
        <v>3500</v>
      </c>
    </row>
    <row r="859" spans="1:24" s="2" customFormat="1" x14ac:dyDescent="0.2">
      <c r="A859">
        <v>859</v>
      </c>
      <c r="B859" t="s">
        <v>1270</v>
      </c>
      <c r="C859" t="s">
        <v>1271</v>
      </c>
      <c r="D859" t="s">
        <v>1548</v>
      </c>
      <c r="E859" t="s">
        <v>30</v>
      </c>
      <c r="F859" t="s">
        <v>24</v>
      </c>
      <c r="G859" t="s">
        <v>25</v>
      </c>
      <c r="H859" t="str">
        <f t="shared" si="26"/>
        <v xml:space="preserve">RT DANIELA E DANTE_SUITE MARINA | Recorrência: | Observações: </v>
      </c>
      <c r="I859" t="s">
        <v>491</v>
      </c>
      <c r="J859" s="4">
        <v>1783.81</v>
      </c>
      <c r="K859" s="4">
        <v>501944.98</v>
      </c>
      <c r="L859" t="s">
        <v>27</v>
      </c>
      <c r="M859" s="4">
        <v>1783.81</v>
      </c>
      <c r="N859" s="3">
        <v>0</v>
      </c>
      <c r="O859" t="s">
        <v>1547</v>
      </c>
      <c r="P859" t="s">
        <v>1411</v>
      </c>
      <c r="Q859" t="s">
        <v>1539</v>
      </c>
      <c r="R859" t="str">
        <f t="shared" si="27"/>
        <v>Sim</v>
      </c>
      <c r="S859" t="s">
        <v>1539</v>
      </c>
      <c r="T859" t="s">
        <v>30</v>
      </c>
      <c r="U859" t="s">
        <v>49</v>
      </c>
      <c r="V859" s="3">
        <v>1783.81</v>
      </c>
      <c r="W859" t="s">
        <v>494</v>
      </c>
      <c r="X859" s="3">
        <v>1783.81</v>
      </c>
    </row>
    <row r="860" spans="1:24" s="2" customFormat="1" x14ac:dyDescent="0.2">
      <c r="A860" s="2">
        <v>860</v>
      </c>
      <c r="B860" t="s">
        <v>1373</v>
      </c>
      <c r="C860" t="s">
        <v>1374</v>
      </c>
      <c r="D860" t="s">
        <v>1550</v>
      </c>
      <c r="E860" t="s">
        <v>195</v>
      </c>
      <c r="F860" t="s">
        <v>24</v>
      </c>
      <c r="G860" t="s">
        <v>25</v>
      </c>
      <c r="H860" t="str">
        <f t="shared" si="26"/>
        <v xml:space="preserve">PROJETO - MANDARIM | Recorrência:2/3 | Observações: </v>
      </c>
      <c r="I860" t="s">
        <v>491</v>
      </c>
      <c r="J860" s="4">
        <v>3240</v>
      </c>
      <c r="K860" s="4">
        <v>505184.98</v>
      </c>
      <c r="L860" t="s">
        <v>27</v>
      </c>
      <c r="M860" s="4">
        <v>3240</v>
      </c>
      <c r="N860" s="3">
        <v>0</v>
      </c>
      <c r="O860" t="s">
        <v>1549</v>
      </c>
      <c r="P860" t="s">
        <v>1478</v>
      </c>
      <c r="Q860" t="s">
        <v>1549</v>
      </c>
      <c r="R860" t="str">
        <f t="shared" si="27"/>
        <v>nao</v>
      </c>
      <c r="S860" t="s">
        <v>1551</v>
      </c>
      <c r="T860" t="s">
        <v>30</v>
      </c>
      <c r="U860" t="s">
        <v>31</v>
      </c>
      <c r="V860" s="3">
        <v>3240</v>
      </c>
      <c r="W860" t="s">
        <v>32</v>
      </c>
      <c r="X860" s="3">
        <v>3240</v>
      </c>
    </row>
    <row r="861" spans="1:24" s="2" customFormat="1" x14ac:dyDescent="0.2">
      <c r="A861">
        <v>861</v>
      </c>
      <c r="B861"/>
      <c r="C861" t="s">
        <v>828</v>
      </c>
      <c r="D861" t="s">
        <v>830</v>
      </c>
      <c r="E861" t="s">
        <v>1553</v>
      </c>
      <c r="F861" t="s">
        <v>63</v>
      </c>
      <c r="G861" t="s">
        <v>25</v>
      </c>
      <c r="H861" t="str">
        <f t="shared" si="26"/>
        <v xml:space="preserve">PREFEITURA DO MUNICIPIO DE BERTIOGA | Recorrência:11/41 | Observações: REF.02 PAGAMENTOS </v>
      </c>
      <c r="I861" t="s">
        <v>26</v>
      </c>
      <c r="J861" s="5">
        <v>-228.16</v>
      </c>
      <c r="K861" s="4">
        <v>504956.82</v>
      </c>
      <c r="L861" t="s">
        <v>27</v>
      </c>
      <c r="M861" s="5">
        <v>-228.16</v>
      </c>
      <c r="N861" s="3">
        <v>0</v>
      </c>
      <c r="O861" t="s">
        <v>1552</v>
      </c>
      <c r="P861" t="s">
        <v>1554</v>
      </c>
      <c r="Q861" t="s">
        <v>1555</v>
      </c>
      <c r="R861" t="str">
        <f t="shared" si="27"/>
        <v>Sim</v>
      </c>
      <c r="S861" t="s">
        <v>1555</v>
      </c>
      <c r="T861" t="s">
        <v>831</v>
      </c>
      <c r="U861" t="s">
        <v>832</v>
      </c>
      <c r="V861" s="3">
        <v>-228.16</v>
      </c>
    </row>
    <row r="862" spans="1:24" s="2" customFormat="1" x14ac:dyDescent="0.2">
      <c r="A862" s="2">
        <v>862</v>
      </c>
      <c r="B862" t="s">
        <v>647</v>
      </c>
      <c r="C862" t="s">
        <v>648</v>
      </c>
      <c r="D862" t="s">
        <v>1556</v>
      </c>
      <c r="E862" t="s">
        <v>320</v>
      </c>
      <c r="F862" t="s">
        <v>63</v>
      </c>
      <c r="G862" t="s">
        <v>25</v>
      </c>
      <c r="H862" t="str">
        <f t="shared" si="26"/>
        <v xml:space="preserve">DARF PREVIDÊNCIARIO | Recorrência:1/12 | Observações: </v>
      </c>
      <c r="I862" t="s">
        <v>26</v>
      </c>
      <c r="J862" s="5">
        <v>-1395.93</v>
      </c>
      <c r="K862" s="4">
        <v>503560.89</v>
      </c>
      <c r="L862" t="s">
        <v>27</v>
      </c>
      <c r="M862" s="5">
        <v>-1395.93</v>
      </c>
      <c r="N862" s="3">
        <v>0</v>
      </c>
      <c r="O862" t="s">
        <v>1552</v>
      </c>
      <c r="P862" t="s">
        <v>1557</v>
      </c>
      <c r="Q862" t="s">
        <v>1558</v>
      </c>
      <c r="R862" t="str">
        <f t="shared" si="27"/>
        <v>nao</v>
      </c>
      <c r="S862" t="s">
        <v>1559</v>
      </c>
      <c r="T862" t="s">
        <v>30</v>
      </c>
      <c r="U862" t="s">
        <v>601</v>
      </c>
      <c r="V862" s="3">
        <v>-1395.93</v>
      </c>
      <c r="W862" t="s">
        <v>376</v>
      </c>
      <c r="X862" s="3">
        <v>-1395.93</v>
      </c>
    </row>
    <row r="863" spans="1:24" s="2" customFormat="1" x14ac:dyDescent="0.2">
      <c r="A863">
        <v>863</v>
      </c>
      <c r="B863" t="s">
        <v>1048</v>
      </c>
      <c r="C863" t="s">
        <v>1049</v>
      </c>
      <c r="D863" t="s">
        <v>1560</v>
      </c>
      <c r="E863" t="s">
        <v>30</v>
      </c>
      <c r="F863" t="s">
        <v>24</v>
      </c>
      <c r="G863" t="s">
        <v>25</v>
      </c>
      <c r="H863" t="str">
        <f t="shared" si="26"/>
        <v xml:space="preserve">2/2 - RT 02 DE 02 DA FASE 02 E 03 - CLAUDIA E RONEI  2/2 | Recorrência: | Observações: </v>
      </c>
      <c r="I863" t="s">
        <v>491</v>
      </c>
      <c r="J863" s="4">
        <v>700</v>
      </c>
      <c r="K863" s="4">
        <v>504260.89</v>
      </c>
      <c r="L863" t="s">
        <v>27</v>
      </c>
      <c r="M863" s="4">
        <v>700</v>
      </c>
      <c r="N863" s="3">
        <v>0</v>
      </c>
      <c r="O863" t="s">
        <v>1558</v>
      </c>
      <c r="P863" t="s">
        <v>1352</v>
      </c>
      <c r="Q863" t="s">
        <v>1558</v>
      </c>
      <c r="R863" t="str">
        <f t="shared" si="27"/>
        <v>Sim</v>
      </c>
      <c r="S863" t="s">
        <v>1558</v>
      </c>
      <c r="T863" t="s">
        <v>30</v>
      </c>
      <c r="U863" t="s">
        <v>49</v>
      </c>
      <c r="V863" s="3">
        <v>700</v>
      </c>
      <c r="W863" t="s">
        <v>494</v>
      </c>
      <c r="X863" s="3">
        <v>700</v>
      </c>
    </row>
    <row r="864" spans="1:24" s="2" customFormat="1" x14ac:dyDescent="0.2">
      <c r="A864" s="2">
        <v>864</v>
      </c>
      <c r="B864"/>
      <c r="C864" t="s">
        <v>1562</v>
      </c>
      <c r="D864" t="s">
        <v>1033</v>
      </c>
      <c r="E864" t="s">
        <v>30</v>
      </c>
      <c r="F864" t="s">
        <v>24</v>
      </c>
      <c r="G864" t="s">
        <v>25</v>
      </c>
      <c r="H864" t="str">
        <f t="shared" si="26"/>
        <v xml:space="preserve">1/2 - PROJETO 1/2 | Recorrência: | Observações: </v>
      </c>
      <c r="I864" t="s">
        <v>491</v>
      </c>
      <c r="J864" s="4">
        <v>3500</v>
      </c>
      <c r="K864" s="4">
        <v>507760.89</v>
      </c>
      <c r="L864" t="s">
        <v>27</v>
      </c>
      <c r="M864" s="4">
        <v>3500</v>
      </c>
      <c r="N864" s="3">
        <v>0</v>
      </c>
      <c r="O864" t="s">
        <v>1561</v>
      </c>
      <c r="P864" t="s">
        <v>1541</v>
      </c>
      <c r="Q864" t="s">
        <v>1561</v>
      </c>
      <c r="R864" t="str">
        <f t="shared" si="27"/>
        <v>Sim</v>
      </c>
      <c r="S864" t="s">
        <v>1561</v>
      </c>
      <c r="T864" t="s">
        <v>30</v>
      </c>
      <c r="U864" t="s">
        <v>31</v>
      </c>
      <c r="V864" s="3">
        <v>3500</v>
      </c>
    </row>
    <row r="865" spans="1:24" s="2" customFormat="1" x14ac:dyDescent="0.2">
      <c r="A865">
        <v>865</v>
      </c>
      <c r="B865" t="s">
        <v>647</v>
      </c>
      <c r="C865" t="s">
        <v>648</v>
      </c>
      <c r="D865" t="s">
        <v>1563</v>
      </c>
      <c r="E865" t="s">
        <v>320</v>
      </c>
      <c r="F865" t="s">
        <v>63</v>
      </c>
      <c r="G865" t="s">
        <v>25</v>
      </c>
      <c r="H865" t="str">
        <f t="shared" si="26"/>
        <v xml:space="preserve">DARF COFINS - DARF COFINS - RECALCULADO APURAÇÃO &gt;&gt; 12/2022 – Vencimento: 01/2023 | Recorrência:1/12 | Observações: </v>
      </c>
      <c r="I865" t="s">
        <v>26</v>
      </c>
      <c r="J865" s="5">
        <v>-184.73</v>
      </c>
      <c r="K865" s="4">
        <v>507576.16</v>
      </c>
      <c r="L865" t="s">
        <v>27</v>
      </c>
      <c r="M865" s="5">
        <v>-184.73</v>
      </c>
      <c r="N865" s="3">
        <v>0</v>
      </c>
      <c r="O865" t="s">
        <v>1541</v>
      </c>
      <c r="P865" t="s">
        <v>1500</v>
      </c>
      <c r="Q865" t="s">
        <v>1541</v>
      </c>
      <c r="R865" t="str">
        <f t="shared" si="27"/>
        <v>Sim</v>
      </c>
      <c r="S865" t="s">
        <v>1541</v>
      </c>
      <c r="T865" t="s">
        <v>30</v>
      </c>
      <c r="U865" t="s">
        <v>1508</v>
      </c>
      <c r="V865" s="3">
        <v>-184.73</v>
      </c>
      <c r="W865" t="s">
        <v>297</v>
      </c>
      <c r="X865" s="3">
        <v>-184.73</v>
      </c>
    </row>
    <row r="866" spans="1:24" s="2" customFormat="1" x14ac:dyDescent="0.2">
      <c r="A866" s="2">
        <v>866</v>
      </c>
      <c r="B866" t="s">
        <v>1565</v>
      </c>
      <c r="C866" t="s">
        <v>1566</v>
      </c>
      <c r="D866" t="s">
        <v>1567</v>
      </c>
      <c r="E866" t="s">
        <v>30</v>
      </c>
      <c r="F866" t="s">
        <v>24</v>
      </c>
      <c r="G866" t="s">
        <v>25</v>
      </c>
      <c r="H866" t="str">
        <f t="shared" si="26"/>
        <v>RT- STEPHANIE E ENRICO e DANIELLE | Recorrência: | Observações: RT 5% - A NOTA FISCAL DEVERÁ SER ENVIADA APÓS  PAGAMENTO
STEPHANIE: VALOR TOTAL DO PEDIDO: 9.927,00
DANIELLE E DANTE - VALOR TOTAL DO PEDIDO - 6.970,00</v>
      </c>
      <c r="I866" t="s">
        <v>491</v>
      </c>
      <c r="J866" s="4">
        <v>844.8</v>
      </c>
      <c r="K866" s="4">
        <v>508420.96</v>
      </c>
      <c r="L866" t="s">
        <v>27</v>
      </c>
      <c r="M866" s="4">
        <v>844.8</v>
      </c>
      <c r="N866" s="3">
        <v>0</v>
      </c>
      <c r="O866" t="s">
        <v>1564</v>
      </c>
      <c r="P866" t="s">
        <v>492</v>
      </c>
      <c r="Q866" t="s">
        <v>1497</v>
      </c>
      <c r="R866" t="str">
        <f t="shared" si="27"/>
        <v>Sim</v>
      </c>
      <c r="S866" t="s">
        <v>1497</v>
      </c>
      <c r="T866" t="s">
        <v>1568</v>
      </c>
      <c r="U866" t="s">
        <v>49</v>
      </c>
      <c r="V866" s="3">
        <v>844.8</v>
      </c>
      <c r="W866" t="s">
        <v>494</v>
      </c>
      <c r="X866" s="3">
        <v>844.8</v>
      </c>
    </row>
    <row r="867" spans="1:24" s="2" customFormat="1" x14ac:dyDescent="0.2">
      <c r="A867">
        <v>867</v>
      </c>
      <c r="B867" t="s">
        <v>1569</v>
      </c>
      <c r="C867" t="s">
        <v>1570</v>
      </c>
      <c r="D867" t="s">
        <v>1571</v>
      </c>
      <c r="E867" t="s">
        <v>30</v>
      </c>
      <c r="F867" t="s">
        <v>24</v>
      </c>
      <c r="G867" t="s">
        <v>25</v>
      </c>
      <c r="H867" t="str">
        <f t="shared" si="26"/>
        <v xml:space="preserve">RT DANIELA CALITO | Recorrência: | Observações: </v>
      </c>
      <c r="I867" t="s">
        <v>491</v>
      </c>
      <c r="J867" s="4">
        <v>950</v>
      </c>
      <c r="K867" s="4">
        <v>509370.96</v>
      </c>
      <c r="L867" t="s">
        <v>27</v>
      </c>
      <c r="M867" s="4">
        <v>950</v>
      </c>
      <c r="N867" s="3">
        <v>0</v>
      </c>
      <c r="O867" t="s">
        <v>1564</v>
      </c>
      <c r="P867" t="s">
        <v>1564</v>
      </c>
      <c r="Q867" t="s">
        <v>1469</v>
      </c>
      <c r="R867" t="str">
        <f t="shared" si="27"/>
        <v>Sim</v>
      </c>
      <c r="S867" t="s">
        <v>1469</v>
      </c>
      <c r="T867" t="s">
        <v>30</v>
      </c>
      <c r="U867" t="s">
        <v>49</v>
      </c>
      <c r="V867" s="3">
        <v>950</v>
      </c>
      <c r="W867" t="s">
        <v>494</v>
      </c>
      <c r="X867" s="3">
        <v>950</v>
      </c>
    </row>
    <row r="868" spans="1:24" s="2" customFormat="1" x14ac:dyDescent="0.2">
      <c r="A868" s="2">
        <v>868</v>
      </c>
      <c r="B868"/>
      <c r="C868" t="s">
        <v>153</v>
      </c>
      <c r="D868" t="s">
        <v>1573</v>
      </c>
      <c r="E868" t="s">
        <v>30</v>
      </c>
      <c r="F868" t="s">
        <v>63</v>
      </c>
      <c r="G868" t="s">
        <v>25</v>
      </c>
      <c r="H868" t="str">
        <f t="shared" si="26"/>
        <v xml:space="preserve">2/11 - SALÁRIO - JULYA 2/12 | Recorrência: | Observações: </v>
      </c>
      <c r="I868" t="s">
        <v>991</v>
      </c>
      <c r="J868" s="5">
        <v>-2868.06</v>
      </c>
      <c r="K868" s="4">
        <v>506502.9</v>
      </c>
      <c r="L868" t="s">
        <v>27</v>
      </c>
      <c r="M868" s="5">
        <v>-2868.06</v>
      </c>
      <c r="N868" s="3">
        <v>0</v>
      </c>
      <c r="O868" t="s">
        <v>1572</v>
      </c>
      <c r="P868" t="s">
        <v>1457</v>
      </c>
      <c r="Q868" t="s">
        <v>1572</v>
      </c>
      <c r="R868" t="str">
        <f t="shared" si="27"/>
        <v>nao</v>
      </c>
      <c r="S868" t="s">
        <v>1555</v>
      </c>
      <c r="T868" t="s">
        <v>30</v>
      </c>
      <c r="U868" t="s">
        <v>323</v>
      </c>
      <c r="V868" s="3">
        <v>-2868.06</v>
      </c>
      <c r="W868" t="s">
        <v>1164</v>
      </c>
      <c r="X868" s="3">
        <v>-2868.06</v>
      </c>
    </row>
    <row r="869" spans="1:24" s="2" customFormat="1" x14ac:dyDescent="0.2">
      <c r="A869">
        <v>869</v>
      </c>
      <c r="B869"/>
      <c r="C869" t="s">
        <v>153</v>
      </c>
      <c r="D869" t="s">
        <v>1574</v>
      </c>
      <c r="E869" t="s">
        <v>30</v>
      </c>
      <c r="F869" t="s">
        <v>63</v>
      </c>
      <c r="G869" t="s">
        <v>25</v>
      </c>
      <c r="H869" t="str">
        <f t="shared" si="26"/>
        <v xml:space="preserve">2/7 - SALÁRIO MARCELA S CAVALCANTE 2/12 | Recorrência: | Observações: </v>
      </c>
      <c r="I869" t="s">
        <v>991</v>
      </c>
      <c r="J869" s="5">
        <v>-3003.88</v>
      </c>
      <c r="K869" s="4">
        <v>503499.02</v>
      </c>
      <c r="L869" t="s">
        <v>27</v>
      </c>
      <c r="M869" s="5">
        <v>-3003.88</v>
      </c>
      <c r="N869" s="3">
        <v>0</v>
      </c>
      <c r="O869" t="s">
        <v>1572</v>
      </c>
      <c r="P869" t="s">
        <v>1095</v>
      </c>
      <c r="Q869" t="s">
        <v>1572</v>
      </c>
      <c r="R869" t="str">
        <f t="shared" si="27"/>
        <v>Sim</v>
      </c>
      <c r="S869" t="s">
        <v>1572</v>
      </c>
      <c r="T869" t="s">
        <v>30</v>
      </c>
      <c r="U869" t="s">
        <v>323</v>
      </c>
      <c r="V869" s="3">
        <v>-3003.88</v>
      </c>
      <c r="W869" t="s">
        <v>1164</v>
      </c>
      <c r="X869" s="3">
        <v>-3003.88</v>
      </c>
    </row>
    <row r="870" spans="1:24" s="2" customFormat="1" x14ac:dyDescent="0.2">
      <c r="A870" s="2">
        <v>870</v>
      </c>
      <c r="B870"/>
      <c r="C870" t="s">
        <v>153</v>
      </c>
      <c r="D870" t="s">
        <v>1575</v>
      </c>
      <c r="E870" t="s">
        <v>30</v>
      </c>
      <c r="F870" t="s">
        <v>63</v>
      </c>
      <c r="G870" t="s">
        <v>25</v>
      </c>
      <c r="H870" t="str">
        <f t="shared" si="26"/>
        <v xml:space="preserve">2/4 - FELIPE - SALÁRIO 2/12 | Recorrência: | Observações: </v>
      </c>
      <c r="I870" t="s">
        <v>991</v>
      </c>
      <c r="J870" s="5">
        <v>-1544.5</v>
      </c>
      <c r="K870" s="4">
        <v>501954.52</v>
      </c>
      <c r="L870" t="s">
        <v>27</v>
      </c>
      <c r="M870" s="5">
        <v>-1544.5</v>
      </c>
      <c r="N870" s="3">
        <v>0</v>
      </c>
      <c r="O870" t="s">
        <v>1572</v>
      </c>
      <c r="P870" t="s">
        <v>1457</v>
      </c>
      <c r="Q870" t="s">
        <v>1572</v>
      </c>
      <c r="R870" t="str">
        <f t="shared" si="27"/>
        <v>Sim</v>
      </c>
      <c r="S870" t="s">
        <v>1572</v>
      </c>
      <c r="T870" t="s">
        <v>30</v>
      </c>
      <c r="U870" t="s">
        <v>323</v>
      </c>
      <c r="V870" s="3">
        <v>-1544.5</v>
      </c>
      <c r="W870" t="s">
        <v>1164</v>
      </c>
      <c r="X870" s="3">
        <v>-1544.5</v>
      </c>
    </row>
    <row r="871" spans="1:24" s="2" customFormat="1" x14ac:dyDescent="0.2">
      <c r="A871">
        <v>871</v>
      </c>
      <c r="B871"/>
      <c r="C871" t="s">
        <v>153</v>
      </c>
      <c r="D871" t="s">
        <v>1576</v>
      </c>
      <c r="E871" t="s">
        <v>30</v>
      </c>
      <c r="F871" t="s">
        <v>63</v>
      </c>
      <c r="G871" t="s">
        <v>25</v>
      </c>
      <c r="H871" t="str">
        <f t="shared" si="26"/>
        <v xml:space="preserve">2/10 - ELIANE - VALE TRANSPORTE 2/12 | Recorrência: | Observações: </v>
      </c>
      <c r="I871" t="s">
        <v>991</v>
      </c>
      <c r="J871" s="5">
        <v>-316.8</v>
      </c>
      <c r="K871" s="4">
        <v>501637.72</v>
      </c>
      <c r="L871" t="s">
        <v>27</v>
      </c>
      <c r="M871" s="5">
        <v>-316.8</v>
      </c>
      <c r="N871" s="3">
        <v>0</v>
      </c>
      <c r="O871" t="s">
        <v>1572</v>
      </c>
      <c r="P871" t="s">
        <v>1500</v>
      </c>
      <c r="Q871" t="s">
        <v>1572</v>
      </c>
      <c r="R871" t="str">
        <f t="shared" si="27"/>
        <v>Sim</v>
      </c>
      <c r="S871" t="s">
        <v>1572</v>
      </c>
      <c r="T871" t="s">
        <v>30</v>
      </c>
      <c r="U871" t="s">
        <v>698</v>
      </c>
      <c r="V871" s="3">
        <v>-316.8</v>
      </c>
      <c r="W871" t="s">
        <v>698</v>
      </c>
      <c r="X871" s="3">
        <v>-316.8</v>
      </c>
    </row>
    <row r="872" spans="1:24" s="2" customFormat="1" x14ac:dyDescent="0.2">
      <c r="A872" s="2">
        <v>872</v>
      </c>
      <c r="B872"/>
      <c r="C872" t="s">
        <v>153</v>
      </c>
      <c r="D872" t="s">
        <v>1577</v>
      </c>
      <c r="E872" t="s">
        <v>30</v>
      </c>
      <c r="F872" t="s">
        <v>63</v>
      </c>
      <c r="G872" t="s">
        <v>25</v>
      </c>
      <c r="H872" t="str">
        <f t="shared" si="26"/>
        <v xml:space="preserve">2/12 - PRÓ LABORE MAYARA 2/12 | Recorrência: | Observações: </v>
      </c>
      <c r="I872" t="s">
        <v>491</v>
      </c>
      <c r="J872" s="5">
        <v>-15000</v>
      </c>
      <c r="K872" s="4">
        <v>486637.72</v>
      </c>
      <c r="L872" t="s">
        <v>27</v>
      </c>
      <c r="M872" s="5">
        <v>-15000</v>
      </c>
      <c r="N872" s="3">
        <v>0</v>
      </c>
      <c r="O872" t="s">
        <v>1572</v>
      </c>
      <c r="P872" t="s">
        <v>1457</v>
      </c>
      <c r="Q872" t="s">
        <v>1572</v>
      </c>
      <c r="R872" t="str">
        <f t="shared" si="27"/>
        <v>Sim</v>
      </c>
      <c r="S872" t="s">
        <v>1572</v>
      </c>
      <c r="T872" t="s">
        <v>30</v>
      </c>
      <c r="U872" t="s">
        <v>631</v>
      </c>
      <c r="V872" s="3">
        <v>-15000</v>
      </c>
      <c r="W872" t="s">
        <v>1164</v>
      </c>
      <c r="X872" s="3">
        <v>-15000</v>
      </c>
    </row>
    <row r="873" spans="1:24" s="2" customFormat="1" x14ac:dyDescent="0.2">
      <c r="A873">
        <v>873</v>
      </c>
      <c r="B873"/>
      <c r="C873" t="s">
        <v>153</v>
      </c>
      <c r="D873" t="s">
        <v>1578</v>
      </c>
      <c r="E873" t="s">
        <v>30</v>
      </c>
      <c r="F873" t="s">
        <v>63</v>
      </c>
      <c r="G873" t="s">
        <v>25</v>
      </c>
      <c r="H873" t="str">
        <f t="shared" si="26"/>
        <v xml:space="preserve">2/12 - PRÓ LABORE - NATASHA 2/12 | Recorrência: | Observações: </v>
      </c>
      <c r="I873" t="s">
        <v>491</v>
      </c>
      <c r="J873" s="5">
        <v>-15000</v>
      </c>
      <c r="K873" s="4">
        <v>471637.72</v>
      </c>
      <c r="L873" t="s">
        <v>27</v>
      </c>
      <c r="M873" s="5">
        <v>-15000</v>
      </c>
      <c r="N873" s="3">
        <v>0</v>
      </c>
      <c r="O873" t="s">
        <v>1572</v>
      </c>
      <c r="P873" t="s">
        <v>1457</v>
      </c>
      <c r="Q873" t="s">
        <v>1572</v>
      </c>
      <c r="R873" t="str">
        <f t="shared" si="27"/>
        <v>Sim</v>
      </c>
      <c r="S873" t="s">
        <v>1572</v>
      </c>
      <c r="T873" t="s">
        <v>30</v>
      </c>
      <c r="U873" t="s">
        <v>631</v>
      </c>
      <c r="V873" s="3">
        <v>-15000</v>
      </c>
      <c r="W873" t="s">
        <v>1164</v>
      </c>
      <c r="X873" s="3">
        <v>-15000</v>
      </c>
    </row>
    <row r="874" spans="1:24" s="2" customFormat="1" x14ac:dyDescent="0.2">
      <c r="A874" s="2">
        <v>874</v>
      </c>
      <c r="B874"/>
      <c r="C874" t="s">
        <v>153</v>
      </c>
      <c r="D874" t="s">
        <v>1579</v>
      </c>
      <c r="E874" t="s">
        <v>398</v>
      </c>
      <c r="F874" t="s">
        <v>63</v>
      </c>
      <c r="G874" t="s">
        <v>25</v>
      </c>
      <c r="H874" t="str">
        <f t="shared" si="26"/>
        <v xml:space="preserve">SALÁRIO ELIANE  | Recorrência:2/12 | Observações: </v>
      </c>
      <c r="I874" t="s">
        <v>491</v>
      </c>
      <c r="J874" s="5">
        <v>-1614</v>
      </c>
      <c r="K874" s="4">
        <v>470023.72</v>
      </c>
      <c r="L874" t="s">
        <v>27</v>
      </c>
      <c r="M874" s="5">
        <v>-1614</v>
      </c>
      <c r="N874" s="3">
        <v>0</v>
      </c>
      <c r="O874" t="s">
        <v>1572</v>
      </c>
      <c r="P874" t="s">
        <v>1580</v>
      </c>
      <c r="Q874" t="s">
        <v>1572</v>
      </c>
      <c r="R874" t="str">
        <f t="shared" si="27"/>
        <v>Sim</v>
      </c>
      <c r="S874" t="s">
        <v>1572</v>
      </c>
      <c r="T874" t="s">
        <v>30</v>
      </c>
      <c r="U874" t="s">
        <v>323</v>
      </c>
      <c r="V874" s="3">
        <v>-1614</v>
      </c>
      <c r="W874" t="s">
        <v>1164</v>
      </c>
      <c r="X874" s="3">
        <v>-1614</v>
      </c>
    </row>
    <row r="875" spans="1:24" s="2" customFormat="1" x14ac:dyDescent="0.2">
      <c r="A875">
        <v>875</v>
      </c>
      <c r="B875" t="s">
        <v>1581</v>
      </c>
      <c r="C875" t="s">
        <v>1582</v>
      </c>
      <c r="D875" t="s">
        <v>1583</v>
      </c>
      <c r="E875" t="s">
        <v>30</v>
      </c>
      <c r="F875" t="s">
        <v>24</v>
      </c>
      <c r="G875" t="s">
        <v>25</v>
      </c>
      <c r="H875" t="str">
        <f t="shared" si="26"/>
        <v xml:space="preserve">1/2 - PROJETO | Recorrência: | Observações: </v>
      </c>
      <c r="I875" t="s">
        <v>491</v>
      </c>
      <c r="J875" s="4">
        <v>3000</v>
      </c>
      <c r="K875" s="4">
        <v>473023.72</v>
      </c>
      <c r="L875" t="s">
        <v>27</v>
      </c>
      <c r="M875" s="4">
        <v>3000</v>
      </c>
      <c r="N875" s="3">
        <v>0</v>
      </c>
      <c r="O875" t="s">
        <v>1572</v>
      </c>
      <c r="P875" t="s">
        <v>1471</v>
      </c>
      <c r="Q875" t="s">
        <v>1584</v>
      </c>
      <c r="R875" t="str">
        <f t="shared" si="27"/>
        <v>Sim</v>
      </c>
      <c r="S875" t="s">
        <v>1584</v>
      </c>
      <c r="T875" t="s">
        <v>30</v>
      </c>
      <c r="U875" t="s">
        <v>31</v>
      </c>
      <c r="V875" s="3">
        <v>3000</v>
      </c>
      <c r="W875" t="s">
        <v>32</v>
      </c>
      <c r="X875" s="3">
        <v>3000</v>
      </c>
    </row>
    <row r="876" spans="1:24" s="2" customFormat="1" x14ac:dyDescent="0.2">
      <c r="A876" s="2">
        <v>876</v>
      </c>
      <c r="B876"/>
      <c r="C876" t="s">
        <v>1470</v>
      </c>
      <c r="D876" t="s">
        <v>166</v>
      </c>
      <c r="E876" t="s">
        <v>30</v>
      </c>
      <c r="F876" t="s">
        <v>24</v>
      </c>
      <c r="G876" t="s">
        <v>25</v>
      </c>
      <c r="H876" t="str">
        <f t="shared" si="26"/>
        <v xml:space="preserve">GERENCIAMENTO PROJETO | Recorrência: | Observações: </v>
      </c>
      <c r="I876" t="s">
        <v>991</v>
      </c>
      <c r="J876" s="4">
        <v>4000</v>
      </c>
      <c r="K876" s="4">
        <v>477023.72</v>
      </c>
      <c r="L876" t="s">
        <v>27</v>
      </c>
      <c r="M876" s="4">
        <v>4000</v>
      </c>
      <c r="N876" s="3">
        <v>0</v>
      </c>
      <c r="O876" t="s">
        <v>1572</v>
      </c>
      <c r="P876" t="s">
        <v>1520</v>
      </c>
      <c r="Q876" t="s">
        <v>1520</v>
      </c>
      <c r="R876" t="str">
        <f t="shared" si="27"/>
        <v>Sim</v>
      </c>
      <c r="S876" t="s">
        <v>1520</v>
      </c>
      <c r="T876" t="s">
        <v>30</v>
      </c>
      <c r="U876" t="s">
        <v>274</v>
      </c>
      <c r="V876" s="3">
        <v>4000</v>
      </c>
      <c r="W876" t="s">
        <v>166</v>
      </c>
      <c r="X876" s="3">
        <v>4000</v>
      </c>
    </row>
    <row r="877" spans="1:24" s="2" customFormat="1" x14ac:dyDescent="0.2">
      <c r="A877">
        <v>877</v>
      </c>
      <c r="B877"/>
      <c r="C877" t="s">
        <v>153</v>
      </c>
      <c r="D877" t="s">
        <v>1585</v>
      </c>
      <c r="E877" t="s">
        <v>320</v>
      </c>
      <c r="F877" t="s">
        <v>63</v>
      </c>
      <c r="G877" t="s">
        <v>25</v>
      </c>
      <c r="H877" t="str">
        <f t="shared" si="26"/>
        <v xml:space="preserve">SODEXO - ELIANE | Recorrência:1/12 | Observações: </v>
      </c>
      <c r="I877" t="s">
        <v>26</v>
      </c>
      <c r="J877" s="5">
        <v>-551.95000000000005</v>
      </c>
      <c r="K877" s="4">
        <v>476471.77</v>
      </c>
      <c r="L877" t="s">
        <v>27</v>
      </c>
      <c r="M877" s="5">
        <v>-551.95000000000005</v>
      </c>
      <c r="N877" s="3">
        <v>0</v>
      </c>
      <c r="O877" t="s">
        <v>1572</v>
      </c>
      <c r="P877" t="s">
        <v>1584</v>
      </c>
      <c r="Q877" t="s">
        <v>1572</v>
      </c>
      <c r="R877" t="str">
        <f t="shared" si="27"/>
        <v>Sim</v>
      </c>
      <c r="S877" t="s">
        <v>1572</v>
      </c>
      <c r="T877" t="s">
        <v>30</v>
      </c>
      <c r="U877" t="s">
        <v>93</v>
      </c>
      <c r="V877" s="3">
        <v>-551.95000000000005</v>
      </c>
      <c r="W877" t="s">
        <v>331</v>
      </c>
      <c r="X877" s="3">
        <v>-551.95000000000005</v>
      </c>
    </row>
    <row r="878" spans="1:24" s="2" customFormat="1" x14ac:dyDescent="0.2">
      <c r="A878" s="2">
        <v>878</v>
      </c>
      <c r="B878"/>
      <c r="C878" t="s">
        <v>153</v>
      </c>
      <c r="D878" t="s">
        <v>1586</v>
      </c>
      <c r="E878" t="s">
        <v>320</v>
      </c>
      <c r="F878" t="s">
        <v>63</v>
      </c>
      <c r="G878" t="s">
        <v>25</v>
      </c>
      <c r="H878" t="str">
        <f t="shared" si="26"/>
        <v xml:space="preserve">DIÁRIAS  JULIANA SOARES - REFERENTE JANEIRO | Recorrência:1/12 | Observações: </v>
      </c>
      <c r="I878" t="s">
        <v>491</v>
      </c>
      <c r="J878" s="5">
        <v>-480</v>
      </c>
      <c r="K878" s="4">
        <v>475991.77</v>
      </c>
      <c r="L878" t="s">
        <v>27</v>
      </c>
      <c r="M878" s="5">
        <v>-480</v>
      </c>
      <c r="N878" s="3">
        <v>0</v>
      </c>
      <c r="O878" t="s">
        <v>1572</v>
      </c>
      <c r="P878" t="s">
        <v>1587</v>
      </c>
      <c r="Q878" t="s">
        <v>1555</v>
      </c>
      <c r="R878" t="str">
        <f t="shared" si="27"/>
        <v>nao</v>
      </c>
      <c r="S878" t="s">
        <v>1572</v>
      </c>
      <c r="T878" t="s">
        <v>30</v>
      </c>
      <c r="U878" t="s">
        <v>691</v>
      </c>
      <c r="V878" s="3">
        <v>-480</v>
      </c>
      <c r="W878" t="s">
        <v>1058</v>
      </c>
      <c r="X878" s="3">
        <v>-480</v>
      </c>
    </row>
    <row r="879" spans="1:24" s="2" customFormat="1" x14ac:dyDescent="0.2">
      <c r="A879">
        <v>879</v>
      </c>
      <c r="B879" t="s">
        <v>1588</v>
      </c>
      <c r="C879" t="s">
        <v>1589</v>
      </c>
      <c r="D879" t="s">
        <v>1590</v>
      </c>
      <c r="E879" t="s">
        <v>30</v>
      </c>
      <c r="F879" t="s">
        <v>24</v>
      </c>
      <c r="G879" t="s">
        <v>25</v>
      </c>
      <c r="H879" t="str">
        <f t="shared" si="26"/>
        <v xml:space="preserve">RT PEDIDO 13650 - MARIA ADELINA MATAVELLI DI GENNARO | Recorrência: | Observações: </v>
      </c>
      <c r="I879" t="s">
        <v>491</v>
      </c>
      <c r="J879" s="4">
        <v>188.01</v>
      </c>
      <c r="K879" s="4">
        <v>476179.78</v>
      </c>
      <c r="L879" t="s">
        <v>27</v>
      </c>
      <c r="M879" s="4">
        <v>188.01</v>
      </c>
      <c r="N879" s="3">
        <v>0</v>
      </c>
      <c r="O879" t="s">
        <v>1532</v>
      </c>
      <c r="P879" t="s">
        <v>1555</v>
      </c>
      <c r="Q879" t="s">
        <v>1591</v>
      </c>
      <c r="R879" t="str">
        <f t="shared" si="27"/>
        <v>Sim</v>
      </c>
      <c r="S879" t="s">
        <v>1591</v>
      </c>
      <c r="T879" t="s">
        <v>30</v>
      </c>
      <c r="U879" t="s">
        <v>49</v>
      </c>
      <c r="V879" s="3">
        <v>188.01</v>
      </c>
      <c r="W879" t="s">
        <v>494</v>
      </c>
      <c r="X879" s="3">
        <v>188.01</v>
      </c>
    </row>
    <row r="880" spans="1:24" s="2" customFormat="1" x14ac:dyDescent="0.2">
      <c r="A880" s="2">
        <v>880</v>
      </c>
      <c r="B880" t="s">
        <v>1048</v>
      </c>
      <c r="C880" t="s">
        <v>1049</v>
      </c>
      <c r="D880" t="s">
        <v>1365</v>
      </c>
      <c r="E880" t="s">
        <v>425</v>
      </c>
      <c r="F880" t="s">
        <v>24</v>
      </c>
      <c r="G880" t="s">
        <v>25</v>
      </c>
      <c r="H880" t="str">
        <f t="shared" si="26"/>
        <v>RT - GABRIELA BORGES | Recorrência:6/6 | Observações: Pagamento referente ao depósito total no valor de 5.682,72, sendo:
2.182,72 - Luciene + 3.500,00 Gabi Borges</v>
      </c>
      <c r="I880" t="s">
        <v>26</v>
      </c>
      <c r="J880" s="4">
        <v>3500</v>
      </c>
      <c r="K880" s="4">
        <v>479679.78</v>
      </c>
      <c r="L880" t="s">
        <v>27</v>
      </c>
      <c r="M880" s="4">
        <v>3500</v>
      </c>
      <c r="N880" s="3">
        <v>0</v>
      </c>
      <c r="O880" t="s">
        <v>1592</v>
      </c>
      <c r="P880" t="s">
        <v>1593</v>
      </c>
      <c r="Q880" t="s">
        <v>1555</v>
      </c>
      <c r="R880" t="str">
        <f t="shared" si="27"/>
        <v>Sim</v>
      </c>
      <c r="S880" t="s">
        <v>1555</v>
      </c>
      <c r="T880" t="s">
        <v>1594</v>
      </c>
      <c r="U880" t="s">
        <v>49</v>
      </c>
      <c r="V880" s="3">
        <v>3500</v>
      </c>
      <c r="W880" t="s">
        <v>49</v>
      </c>
      <c r="X880" s="3">
        <v>3500</v>
      </c>
    </row>
    <row r="881" spans="1:24" s="2" customFormat="1" x14ac:dyDescent="0.2">
      <c r="A881">
        <v>881</v>
      </c>
      <c r="B881" t="s">
        <v>1048</v>
      </c>
      <c r="C881" t="s">
        <v>1049</v>
      </c>
      <c r="D881" t="s">
        <v>1595</v>
      </c>
      <c r="E881" t="s">
        <v>38</v>
      </c>
      <c r="F881" t="s">
        <v>24</v>
      </c>
      <c r="G881" t="s">
        <v>25</v>
      </c>
      <c r="H881" t="str">
        <f t="shared" si="26"/>
        <v>RT - LUCIENE GILMARCH | Recorrência:1/3 | Observações: Pagamento referente ao depósito total no valor de 5.682,72, sendo:
2.182,72 - Luciene + 3.500,00 Gabi Borges</v>
      </c>
      <c r="I881" t="s">
        <v>491</v>
      </c>
      <c r="J881" s="4">
        <v>2182.7199999999998</v>
      </c>
      <c r="K881" s="4">
        <v>481862.5</v>
      </c>
      <c r="L881" t="s">
        <v>27</v>
      </c>
      <c r="M881" s="4">
        <v>2182.7199999999998</v>
      </c>
      <c r="N881" s="3">
        <v>0</v>
      </c>
      <c r="O881" t="s">
        <v>1592</v>
      </c>
      <c r="P881" t="s">
        <v>1592</v>
      </c>
      <c r="Q881" t="s">
        <v>1592</v>
      </c>
      <c r="R881" t="str">
        <f t="shared" si="27"/>
        <v>Sim</v>
      </c>
      <c r="S881" t="s">
        <v>1592</v>
      </c>
      <c r="T881" t="s">
        <v>1594</v>
      </c>
      <c r="U881" t="s">
        <v>49</v>
      </c>
      <c r="V881" s="3">
        <v>2182.7199999999998</v>
      </c>
      <c r="W881" t="s">
        <v>494</v>
      </c>
      <c r="X881" s="3">
        <v>2182.7199999999998</v>
      </c>
    </row>
    <row r="882" spans="1:24" s="2" customFormat="1" x14ac:dyDescent="0.2">
      <c r="A882" s="2">
        <v>882</v>
      </c>
      <c r="B882" t="s">
        <v>647</v>
      </c>
      <c r="C882" t="s">
        <v>648</v>
      </c>
      <c r="D882" t="s">
        <v>1597</v>
      </c>
      <c r="E882" t="s">
        <v>30</v>
      </c>
      <c r="F882" t="s">
        <v>63</v>
      </c>
      <c r="G882" t="s">
        <v>25</v>
      </c>
      <c r="H882" t="str">
        <f t="shared" si="26"/>
        <v xml:space="preserve">2/12 - FGTS 2/12 | Recorrência: | Observações: </v>
      </c>
      <c r="I882" t="s">
        <v>26</v>
      </c>
      <c r="J882" s="5">
        <v>-140.25</v>
      </c>
      <c r="K882" s="4">
        <v>481722.25</v>
      </c>
      <c r="L882" t="s">
        <v>27</v>
      </c>
      <c r="M882" s="5">
        <v>-140.25</v>
      </c>
      <c r="N882" s="3">
        <v>0</v>
      </c>
      <c r="O882" t="s">
        <v>1596</v>
      </c>
      <c r="P882" t="s">
        <v>1469</v>
      </c>
      <c r="Q882" t="s">
        <v>1596</v>
      </c>
      <c r="R882" t="str">
        <f t="shared" si="27"/>
        <v>Sim</v>
      </c>
      <c r="S882" t="s">
        <v>1596</v>
      </c>
      <c r="T882" t="s">
        <v>30</v>
      </c>
      <c r="U882" t="s">
        <v>1531</v>
      </c>
      <c r="V882" s="3">
        <v>-140.25</v>
      </c>
    </row>
    <row r="883" spans="1:24" s="2" customFormat="1" x14ac:dyDescent="0.2">
      <c r="A883">
        <v>883</v>
      </c>
      <c r="B883"/>
      <c r="C883" t="s">
        <v>574</v>
      </c>
      <c r="D883" t="s">
        <v>1533</v>
      </c>
      <c r="E883" t="s">
        <v>398</v>
      </c>
      <c r="F883" t="s">
        <v>63</v>
      </c>
      <c r="G883" t="s">
        <v>25</v>
      </c>
      <c r="H883" t="str">
        <f t="shared" si="26"/>
        <v xml:space="preserve">CONDOMINIO + ALUGUEL | Recorrência:2/12 | Observações: </v>
      </c>
      <c r="I883" t="s">
        <v>26</v>
      </c>
      <c r="J883" s="5">
        <v>-5295.56</v>
      </c>
      <c r="K883" s="4">
        <v>476426.69</v>
      </c>
      <c r="L883" t="s">
        <v>27</v>
      </c>
      <c r="M883" s="5">
        <v>-5295.56</v>
      </c>
      <c r="N883" s="3">
        <v>0</v>
      </c>
      <c r="O883" t="s">
        <v>1598</v>
      </c>
      <c r="P883" t="s">
        <v>1599</v>
      </c>
      <c r="Q883" t="s">
        <v>1598</v>
      </c>
      <c r="R883" t="str">
        <f t="shared" si="27"/>
        <v>Sim</v>
      </c>
      <c r="S883" t="s">
        <v>1598</v>
      </c>
      <c r="T883" t="s">
        <v>30</v>
      </c>
      <c r="U883" t="s">
        <v>571</v>
      </c>
      <c r="V883" s="3">
        <v>-5295.56</v>
      </c>
      <c r="W883" t="s">
        <v>1058</v>
      </c>
      <c r="X883" s="3">
        <v>-5295.56</v>
      </c>
    </row>
    <row r="884" spans="1:24" s="2" customFormat="1" x14ac:dyDescent="0.2">
      <c r="A884" s="2">
        <v>884</v>
      </c>
      <c r="B884" t="s">
        <v>1016</v>
      </c>
      <c r="C884" t="s">
        <v>1017</v>
      </c>
      <c r="D884" t="s">
        <v>1601</v>
      </c>
      <c r="E884" t="s">
        <v>320</v>
      </c>
      <c r="F884" t="s">
        <v>63</v>
      </c>
      <c r="G884" t="s">
        <v>25</v>
      </c>
      <c r="H884" t="str">
        <f t="shared" si="26"/>
        <v xml:space="preserve">RENOVAÇÃO 2023 | Recorrência:1/12 | Observações: </v>
      </c>
      <c r="I884" t="s">
        <v>26</v>
      </c>
      <c r="J884" s="5">
        <v>-131.69999999999999</v>
      </c>
      <c r="K884" s="4">
        <v>476294.99</v>
      </c>
      <c r="L884" t="s">
        <v>27</v>
      </c>
      <c r="M884" s="5">
        <v>-131.69999999999999</v>
      </c>
      <c r="N884" s="3">
        <v>0</v>
      </c>
      <c r="O884" t="s">
        <v>1600</v>
      </c>
      <c r="P884" t="s">
        <v>1584</v>
      </c>
      <c r="Q884" t="s">
        <v>1602</v>
      </c>
      <c r="R884" t="str">
        <f t="shared" si="27"/>
        <v>Sim</v>
      </c>
      <c r="S884" t="s">
        <v>1602</v>
      </c>
      <c r="T884" t="s">
        <v>30</v>
      </c>
      <c r="U884" t="s">
        <v>344</v>
      </c>
      <c r="V884" s="3">
        <v>-131.69999999999999</v>
      </c>
      <c r="W884" t="s">
        <v>1058</v>
      </c>
      <c r="X884" s="3">
        <v>-131.69999999999999</v>
      </c>
    </row>
    <row r="885" spans="1:24" s="2" customFormat="1" x14ac:dyDescent="0.2">
      <c r="A885">
        <v>885</v>
      </c>
      <c r="B885" t="s">
        <v>647</v>
      </c>
      <c r="C885" t="s">
        <v>648</v>
      </c>
      <c r="D885" t="s">
        <v>1603</v>
      </c>
      <c r="E885" t="s">
        <v>30</v>
      </c>
      <c r="F885" t="s">
        <v>63</v>
      </c>
      <c r="G885" t="s">
        <v>25</v>
      </c>
      <c r="H885" t="str">
        <f t="shared" si="26"/>
        <v xml:space="preserve">2/35 - DARF ISS 2/36 | Recorrência: | Observações: </v>
      </c>
      <c r="I885" t="s">
        <v>26</v>
      </c>
      <c r="J885" s="5">
        <v>-1084.77</v>
      </c>
      <c r="K885" s="4">
        <v>475210.22</v>
      </c>
      <c r="L885" t="s">
        <v>27</v>
      </c>
      <c r="M885" s="5">
        <v>-1084.77</v>
      </c>
      <c r="N885" s="3">
        <v>0</v>
      </c>
      <c r="O885" t="s">
        <v>1600</v>
      </c>
      <c r="P885" t="s">
        <v>1474</v>
      </c>
      <c r="Q885" t="s">
        <v>1591</v>
      </c>
      <c r="R885" t="str">
        <f t="shared" si="27"/>
        <v>Sim</v>
      </c>
      <c r="S885" t="s">
        <v>1591</v>
      </c>
      <c r="T885" t="s">
        <v>30</v>
      </c>
      <c r="U885" t="s">
        <v>1098</v>
      </c>
      <c r="V885" s="3">
        <v>-1084.77</v>
      </c>
      <c r="W885" t="s">
        <v>324</v>
      </c>
      <c r="X885" s="3">
        <v>-1084.77</v>
      </c>
    </row>
    <row r="886" spans="1:24" s="2" customFormat="1" x14ac:dyDescent="0.2">
      <c r="A886" s="2">
        <v>886</v>
      </c>
      <c r="B886" t="s">
        <v>1195</v>
      </c>
      <c r="C886" t="s">
        <v>1196</v>
      </c>
      <c r="D886" t="s">
        <v>1604</v>
      </c>
      <c r="E886" t="s">
        <v>30</v>
      </c>
      <c r="F886" t="s">
        <v>24</v>
      </c>
      <c r="G886" t="s">
        <v>25</v>
      </c>
      <c r="H886" t="str">
        <f t="shared" si="26"/>
        <v xml:space="preserve">RT PEDIDO 8041984 - LUCIENE GILMARCH | Recorrência: | Observações: </v>
      </c>
      <c r="I886" t="s">
        <v>491</v>
      </c>
      <c r="J886" s="4">
        <v>7778.61</v>
      </c>
      <c r="K886" s="4">
        <v>482988.83</v>
      </c>
      <c r="L886" t="s">
        <v>27</v>
      </c>
      <c r="M886" s="4">
        <v>7778.61</v>
      </c>
      <c r="N886" s="3">
        <v>0</v>
      </c>
      <c r="O886" t="s">
        <v>1600</v>
      </c>
      <c r="P886" t="s">
        <v>1605</v>
      </c>
      <c r="Q886" t="s">
        <v>1591</v>
      </c>
      <c r="R886" t="str">
        <f t="shared" si="27"/>
        <v>Sim</v>
      </c>
      <c r="S886" t="s">
        <v>1591</v>
      </c>
      <c r="T886" t="s">
        <v>30</v>
      </c>
      <c r="U886" t="s">
        <v>49</v>
      </c>
      <c r="V886" s="3">
        <v>7778.61</v>
      </c>
      <c r="W886" t="s">
        <v>494</v>
      </c>
      <c r="X886" s="3">
        <v>7778.61</v>
      </c>
    </row>
    <row r="887" spans="1:24" s="2" customFormat="1" x14ac:dyDescent="0.2">
      <c r="A887">
        <v>887</v>
      </c>
      <c r="B887" t="s">
        <v>1607</v>
      </c>
      <c r="C887" t="s">
        <v>1608</v>
      </c>
      <c r="D887" t="s">
        <v>1609</v>
      </c>
      <c r="E887" t="s">
        <v>30</v>
      </c>
      <c r="F887" t="s">
        <v>24</v>
      </c>
      <c r="G887" t="s">
        <v>25</v>
      </c>
      <c r="H887" t="str">
        <f t="shared" si="26"/>
        <v xml:space="preserve">RT PEDIDO GABRIELA BORGES | Recorrência: | Observações: Razão Social: Pendure &amp; Pronto Decorações Ltda - ME
CNPJ: 03.434.812/0001-33
Endereço: Av. Pe. Fábio Prado, 16 – Vla Mariana 
E-mail: contato@divetroklabin,com.br
Telefone: 011 – 5579-8736
</v>
      </c>
      <c r="I887" t="s">
        <v>491</v>
      </c>
      <c r="J887" s="4">
        <v>1000</v>
      </c>
      <c r="K887" s="4">
        <v>483988.83</v>
      </c>
      <c r="L887" t="s">
        <v>27</v>
      </c>
      <c r="M887" s="4">
        <v>1000</v>
      </c>
      <c r="N887" s="3">
        <v>0</v>
      </c>
      <c r="O887" t="s">
        <v>1606</v>
      </c>
      <c r="P887" t="s">
        <v>1555</v>
      </c>
      <c r="Q887" t="s">
        <v>1606</v>
      </c>
      <c r="R887" t="str">
        <f t="shared" si="27"/>
        <v>Sim</v>
      </c>
      <c r="S887" t="s">
        <v>1606</v>
      </c>
      <c r="T887" t="s">
        <v>1610</v>
      </c>
      <c r="U887" t="s">
        <v>49</v>
      </c>
      <c r="V887" s="3">
        <v>1000</v>
      </c>
      <c r="W887" t="s">
        <v>494</v>
      </c>
      <c r="X887" s="3">
        <v>1000</v>
      </c>
    </row>
    <row r="888" spans="1:24" s="2" customFormat="1" x14ac:dyDescent="0.2">
      <c r="A888" s="2">
        <v>888</v>
      </c>
      <c r="B888" t="s">
        <v>647</v>
      </c>
      <c r="C888" t="s">
        <v>648</v>
      </c>
      <c r="D888" t="s">
        <v>1544</v>
      </c>
      <c r="E888" t="s">
        <v>398</v>
      </c>
      <c r="F888" t="s">
        <v>63</v>
      </c>
      <c r="G888" t="s">
        <v>25</v>
      </c>
      <c r="H888" t="str">
        <f t="shared" si="26"/>
        <v xml:space="preserve">HONORARIOS CONTABEIS | Recorrência:2/12 | Observações: </v>
      </c>
      <c r="I888" t="s">
        <v>26</v>
      </c>
      <c r="J888" s="5">
        <v>-925</v>
      </c>
      <c r="K888" s="4">
        <v>483063.83</v>
      </c>
      <c r="L888" t="s">
        <v>27</v>
      </c>
      <c r="M888" s="5">
        <v>-925</v>
      </c>
      <c r="N888" s="3">
        <v>0</v>
      </c>
      <c r="O888" t="s">
        <v>1534</v>
      </c>
      <c r="P888" t="s">
        <v>1592</v>
      </c>
      <c r="Q888" t="s">
        <v>1606</v>
      </c>
      <c r="R888" t="str">
        <f t="shared" si="27"/>
        <v>Sim</v>
      </c>
      <c r="S888" t="s">
        <v>1606</v>
      </c>
      <c r="T888" t="s">
        <v>30</v>
      </c>
      <c r="U888" t="s">
        <v>608</v>
      </c>
      <c r="V888" s="3">
        <v>-925</v>
      </c>
      <c r="W888" t="s">
        <v>297</v>
      </c>
      <c r="X888" s="3">
        <v>-925</v>
      </c>
    </row>
    <row r="889" spans="1:24" s="2" customFormat="1" x14ac:dyDescent="0.2">
      <c r="A889">
        <v>889</v>
      </c>
      <c r="B889"/>
      <c r="C889" t="s">
        <v>1611</v>
      </c>
      <c r="D889" t="s">
        <v>1612</v>
      </c>
      <c r="E889" t="s">
        <v>30</v>
      </c>
      <c r="F889" t="s">
        <v>24</v>
      </c>
      <c r="G889" t="s">
        <v>25</v>
      </c>
      <c r="H889" t="str">
        <f t="shared" si="26"/>
        <v xml:space="preserve">1/2 - PROJETO QUARTO BEBÊ E HALL DE ENTRADA | Recorrência: | Observações: </v>
      </c>
      <c r="I889" t="s">
        <v>491</v>
      </c>
      <c r="J889" s="4">
        <v>3500</v>
      </c>
      <c r="K889" s="4">
        <v>486563.83</v>
      </c>
      <c r="L889" t="s">
        <v>27</v>
      </c>
      <c r="M889" s="4">
        <v>3500</v>
      </c>
      <c r="N889" s="3">
        <v>0</v>
      </c>
      <c r="O889" t="s">
        <v>1534</v>
      </c>
      <c r="P889" t="s">
        <v>1534</v>
      </c>
      <c r="Q889" t="s">
        <v>1613</v>
      </c>
      <c r="R889" t="str">
        <f t="shared" si="27"/>
        <v>Sim</v>
      </c>
      <c r="S889" t="s">
        <v>1613</v>
      </c>
      <c r="T889" t="s">
        <v>30</v>
      </c>
      <c r="U889" t="s">
        <v>31</v>
      </c>
      <c r="V889" s="3">
        <v>3500</v>
      </c>
      <c r="W889" t="s">
        <v>32</v>
      </c>
      <c r="X889" s="3">
        <v>3500</v>
      </c>
    </row>
    <row r="890" spans="1:24" s="2" customFormat="1" x14ac:dyDescent="0.2">
      <c r="A890" s="2">
        <v>890</v>
      </c>
      <c r="B890" t="s">
        <v>1186</v>
      </c>
      <c r="C890" t="s">
        <v>1187</v>
      </c>
      <c r="D890" t="s">
        <v>1614</v>
      </c>
      <c r="E890" t="s">
        <v>30</v>
      </c>
      <c r="F890" t="s">
        <v>24</v>
      </c>
      <c r="G890" t="s">
        <v>25</v>
      </c>
      <c r="H890" t="str">
        <f t="shared" si="26"/>
        <v xml:space="preserve">RT PEDIDO 5404 - DIOGO SCUTA | Recorrência: | Observações: </v>
      </c>
      <c r="I890" t="s">
        <v>491</v>
      </c>
      <c r="J890" s="4">
        <v>566.20000000000005</v>
      </c>
      <c r="K890" s="4">
        <v>487130.03</v>
      </c>
      <c r="L890" t="s">
        <v>27</v>
      </c>
      <c r="M890" s="4">
        <v>566.20000000000005</v>
      </c>
      <c r="N890" s="3">
        <v>0</v>
      </c>
      <c r="O890" t="s">
        <v>1534</v>
      </c>
      <c r="P890" t="s">
        <v>1555</v>
      </c>
      <c r="Q890" t="s">
        <v>1534</v>
      </c>
      <c r="R890" t="str">
        <f t="shared" si="27"/>
        <v>Sim</v>
      </c>
      <c r="S890" t="s">
        <v>1534</v>
      </c>
      <c r="T890" t="s">
        <v>30</v>
      </c>
      <c r="U890" t="s">
        <v>49</v>
      </c>
      <c r="V890" s="3">
        <v>566.20000000000005</v>
      </c>
      <c r="W890" t="s">
        <v>494</v>
      </c>
      <c r="X890" s="3">
        <v>566.20000000000005</v>
      </c>
    </row>
    <row r="891" spans="1:24" s="2" customFormat="1" x14ac:dyDescent="0.2">
      <c r="A891">
        <v>891</v>
      </c>
      <c r="B891" t="s">
        <v>647</v>
      </c>
      <c r="C891" t="s">
        <v>648</v>
      </c>
      <c r="D891" t="s">
        <v>1615</v>
      </c>
      <c r="E891" t="s">
        <v>30</v>
      </c>
      <c r="F891" t="s">
        <v>63</v>
      </c>
      <c r="G891" t="s">
        <v>25</v>
      </c>
      <c r="H891" t="str">
        <f t="shared" si="26"/>
        <v xml:space="preserve">1/12 - DARF IRPJ 1/12 | Recorrência: | Observações: </v>
      </c>
      <c r="I891" t="s">
        <v>26</v>
      </c>
      <c r="J891" s="5">
        <v>-2668.44</v>
      </c>
      <c r="K891" s="4">
        <v>484461.59</v>
      </c>
      <c r="L891" t="s">
        <v>27</v>
      </c>
      <c r="M891" s="5">
        <v>-2668.44</v>
      </c>
      <c r="N891" s="3">
        <v>0</v>
      </c>
      <c r="O891" t="s">
        <v>1557</v>
      </c>
      <c r="P891" t="s">
        <v>1392</v>
      </c>
      <c r="Q891" t="s">
        <v>1555</v>
      </c>
      <c r="R891" t="str">
        <f t="shared" si="27"/>
        <v>Sim</v>
      </c>
      <c r="S891" t="s">
        <v>1555</v>
      </c>
      <c r="T891" t="s">
        <v>30</v>
      </c>
      <c r="U891" t="s">
        <v>1508</v>
      </c>
      <c r="V891" s="3">
        <v>-2668.44</v>
      </c>
      <c r="W891" t="s">
        <v>1115</v>
      </c>
      <c r="X891" s="3">
        <v>-2668.44</v>
      </c>
    </row>
    <row r="892" spans="1:24" s="2" customFormat="1" x14ac:dyDescent="0.2">
      <c r="A892" s="2">
        <v>892</v>
      </c>
      <c r="B892" t="s">
        <v>647</v>
      </c>
      <c r="C892" t="s">
        <v>648</v>
      </c>
      <c r="D892" t="s">
        <v>1616</v>
      </c>
      <c r="E892" t="s">
        <v>30</v>
      </c>
      <c r="F892" t="s">
        <v>63</v>
      </c>
      <c r="G892" t="s">
        <v>25</v>
      </c>
      <c r="H892" t="str">
        <f t="shared" si="26"/>
        <v xml:space="preserve">DARF CSLL | Recorrência: | Observações: </v>
      </c>
      <c r="I892" t="s">
        <v>26</v>
      </c>
      <c r="J892" s="5">
        <v>-1614.71</v>
      </c>
      <c r="K892" s="4">
        <v>482846.88</v>
      </c>
      <c r="L892" t="s">
        <v>27</v>
      </c>
      <c r="M892" s="5">
        <v>-1614.71</v>
      </c>
      <c r="N892" s="3">
        <v>0</v>
      </c>
      <c r="O892" t="s">
        <v>1557</v>
      </c>
      <c r="P892" t="s">
        <v>1617</v>
      </c>
      <c r="Q892" t="s">
        <v>1555</v>
      </c>
      <c r="R892" t="str">
        <f t="shared" si="27"/>
        <v>Sim</v>
      </c>
      <c r="S892" t="s">
        <v>1555</v>
      </c>
      <c r="T892" t="s">
        <v>30</v>
      </c>
      <c r="U892" t="s">
        <v>280</v>
      </c>
      <c r="V892" s="3">
        <v>-1614.71</v>
      </c>
      <c r="W892" t="s">
        <v>1058</v>
      </c>
      <c r="X892" s="3">
        <v>-1614.71</v>
      </c>
    </row>
    <row r="893" spans="1:24" s="2" customFormat="1" x14ac:dyDescent="0.2">
      <c r="A893">
        <v>893</v>
      </c>
      <c r="B893" t="s">
        <v>1536</v>
      </c>
      <c r="C893" t="s">
        <v>666</v>
      </c>
      <c r="D893" t="s">
        <v>667</v>
      </c>
      <c r="E893" t="s">
        <v>398</v>
      </c>
      <c r="F893" t="s">
        <v>63</v>
      </c>
      <c r="G893" t="s">
        <v>25</v>
      </c>
      <c r="H893" t="str">
        <f t="shared" si="26"/>
        <v xml:space="preserve">TELEFONIA E INTERNET | Recorrência:2/12 | Observações: </v>
      </c>
      <c r="I893" t="s">
        <v>26</v>
      </c>
      <c r="J893" s="5">
        <v>-109.39</v>
      </c>
      <c r="K893" s="4">
        <v>482737.49</v>
      </c>
      <c r="L893" t="s">
        <v>27</v>
      </c>
      <c r="M893" s="5">
        <v>-109.39</v>
      </c>
      <c r="N893" s="3">
        <v>0</v>
      </c>
      <c r="O893" t="s">
        <v>1557</v>
      </c>
      <c r="P893" t="s">
        <v>1535</v>
      </c>
      <c r="Q893" t="s">
        <v>1534</v>
      </c>
      <c r="R893" t="str">
        <f t="shared" si="27"/>
        <v>Sim</v>
      </c>
      <c r="S893" t="s">
        <v>1534</v>
      </c>
      <c r="T893" t="s">
        <v>30</v>
      </c>
      <c r="U893" t="s">
        <v>670</v>
      </c>
      <c r="V893" s="3">
        <v>-109.39</v>
      </c>
      <c r="W893" t="s">
        <v>324</v>
      </c>
      <c r="X893" s="3">
        <v>-109.39</v>
      </c>
    </row>
    <row r="894" spans="1:24" s="2" customFormat="1" x14ac:dyDescent="0.2">
      <c r="A894" s="2">
        <v>894</v>
      </c>
      <c r="B894"/>
      <c r="C894" t="s">
        <v>1562</v>
      </c>
      <c r="D894" t="s">
        <v>1146</v>
      </c>
      <c r="E894" t="s">
        <v>30</v>
      </c>
      <c r="F894" t="s">
        <v>24</v>
      </c>
      <c r="G894" t="s">
        <v>25</v>
      </c>
      <c r="H894" t="str">
        <f t="shared" si="26"/>
        <v xml:space="preserve">2/2 - PROJETO 2/2 | Recorrência: | Observações: </v>
      </c>
      <c r="I894" t="s">
        <v>491</v>
      </c>
      <c r="J894" s="4">
        <v>3500</v>
      </c>
      <c r="K894" s="4">
        <v>486237.49</v>
      </c>
      <c r="L894" t="s">
        <v>27</v>
      </c>
      <c r="M894" s="4">
        <v>3500</v>
      </c>
      <c r="N894" s="3">
        <v>0</v>
      </c>
      <c r="O894" t="s">
        <v>1591</v>
      </c>
      <c r="P894" t="s">
        <v>1541</v>
      </c>
      <c r="Q894" t="s">
        <v>1618</v>
      </c>
      <c r="R894" t="str">
        <f t="shared" si="27"/>
        <v>Sim</v>
      </c>
      <c r="S894" t="s">
        <v>1618</v>
      </c>
      <c r="T894" t="s">
        <v>30</v>
      </c>
      <c r="U894" t="s">
        <v>31</v>
      </c>
      <c r="V894" s="3">
        <v>3500</v>
      </c>
    </row>
    <row r="895" spans="1:24" s="2" customFormat="1" x14ac:dyDescent="0.2">
      <c r="A895">
        <v>895</v>
      </c>
      <c r="B895" t="s">
        <v>1619</v>
      </c>
      <c r="C895" t="s">
        <v>112</v>
      </c>
      <c r="D895" t="s">
        <v>1620</v>
      </c>
      <c r="E895" t="s">
        <v>30</v>
      </c>
      <c r="F895" t="s">
        <v>24</v>
      </c>
      <c r="G895" t="s">
        <v>25</v>
      </c>
      <c r="H895" t="str">
        <f t="shared" si="26"/>
        <v xml:space="preserve">RT PEDIDO 581 - RONEI GOMES | Recorrência: | Observações: </v>
      </c>
      <c r="I895" t="s">
        <v>491</v>
      </c>
      <c r="J895" s="4">
        <v>1250</v>
      </c>
      <c r="K895" s="4">
        <v>487487.49</v>
      </c>
      <c r="L895" t="s">
        <v>27</v>
      </c>
      <c r="M895" s="4">
        <v>1250</v>
      </c>
      <c r="N895" s="3">
        <v>0</v>
      </c>
      <c r="O895" t="s">
        <v>1591</v>
      </c>
      <c r="P895" t="s">
        <v>1591</v>
      </c>
      <c r="Q895" t="s">
        <v>1613</v>
      </c>
      <c r="R895" t="str">
        <f t="shared" si="27"/>
        <v>Sim</v>
      </c>
      <c r="S895" t="s">
        <v>1613</v>
      </c>
      <c r="T895" t="s">
        <v>30</v>
      </c>
      <c r="U895" t="s">
        <v>49</v>
      </c>
      <c r="V895" s="3">
        <v>1250</v>
      </c>
      <c r="W895" t="s">
        <v>494</v>
      </c>
      <c r="X895" s="3">
        <v>1250</v>
      </c>
    </row>
    <row r="896" spans="1:24" s="2" customFormat="1" x14ac:dyDescent="0.2">
      <c r="A896" s="2">
        <v>896</v>
      </c>
      <c r="B896" t="s">
        <v>1619</v>
      </c>
      <c r="C896" t="s">
        <v>112</v>
      </c>
      <c r="D896" t="s">
        <v>1621</v>
      </c>
      <c r="E896" t="s">
        <v>30</v>
      </c>
      <c r="F896" t="s">
        <v>24</v>
      </c>
      <c r="G896" t="s">
        <v>25</v>
      </c>
      <c r="H896" t="str">
        <f t="shared" si="26"/>
        <v xml:space="preserve">RT PEDIDO 565 - DANIELLE E DANTE_COPAN | Recorrência: | Observações: </v>
      </c>
      <c r="I896" t="s">
        <v>491</v>
      </c>
      <c r="J896" s="4">
        <v>450</v>
      </c>
      <c r="K896" s="4">
        <v>487937.49</v>
      </c>
      <c r="L896" t="s">
        <v>27</v>
      </c>
      <c r="M896" s="4">
        <v>450</v>
      </c>
      <c r="N896" s="3">
        <v>0</v>
      </c>
      <c r="O896" t="s">
        <v>1591</v>
      </c>
      <c r="P896" t="s">
        <v>1591</v>
      </c>
      <c r="Q896" t="s">
        <v>1613</v>
      </c>
      <c r="R896" t="str">
        <f t="shared" si="27"/>
        <v>Sim</v>
      </c>
      <c r="S896" t="s">
        <v>1613</v>
      </c>
      <c r="T896" t="s">
        <v>30</v>
      </c>
      <c r="U896" t="s">
        <v>49</v>
      </c>
      <c r="V896" s="3">
        <v>450</v>
      </c>
      <c r="W896" t="s">
        <v>494</v>
      </c>
      <c r="X896" s="3">
        <v>450</v>
      </c>
    </row>
    <row r="897" spans="1:24" s="2" customFormat="1" x14ac:dyDescent="0.2">
      <c r="A897">
        <v>897</v>
      </c>
      <c r="B897" t="s">
        <v>1195</v>
      </c>
      <c r="C897" t="s">
        <v>1196</v>
      </c>
      <c r="D897" t="s">
        <v>1622</v>
      </c>
      <c r="E897" t="s">
        <v>30</v>
      </c>
      <c r="F897" t="s">
        <v>24</v>
      </c>
      <c r="G897" t="s">
        <v>25</v>
      </c>
      <c r="H897" t="str">
        <f t="shared" si="26"/>
        <v xml:space="preserve">RT PEDIDO 8042479 - LUCIENE GILMARCH | Recorrência: | Observações: </v>
      </c>
      <c r="I897" t="s">
        <v>491</v>
      </c>
      <c r="J897" s="4">
        <v>993.53</v>
      </c>
      <c r="K897" s="4">
        <v>488931.02</v>
      </c>
      <c r="L897" t="s">
        <v>27</v>
      </c>
      <c r="M897" s="4">
        <v>993.53</v>
      </c>
      <c r="N897" s="3">
        <v>0</v>
      </c>
      <c r="O897" t="s">
        <v>1591</v>
      </c>
      <c r="P897" t="s">
        <v>1605</v>
      </c>
      <c r="Q897" t="s">
        <v>1591</v>
      </c>
      <c r="R897" t="str">
        <f t="shared" si="27"/>
        <v>Sim</v>
      </c>
      <c r="S897" t="s">
        <v>1591</v>
      </c>
      <c r="T897" t="s">
        <v>30</v>
      </c>
      <c r="U897" t="s">
        <v>49</v>
      </c>
      <c r="V897" s="3">
        <v>993.53</v>
      </c>
      <c r="W897" t="s">
        <v>494</v>
      </c>
      <c r="X897" s="3">
        <v>993.53</v>
      </c>
    </row>
    <row r="898" spans="1:24" s="2" customFormat="1" x14ac:dyDescent="0.2">
      <c r="A898" s="2">
        <v>898</v>
      </c>
      <c r="B898"/>
      <c r="C898" t="s">
        <v>917</v>
      </c>
      <c r="D898" t="s">
        <v>986</v>
      </c>
      <c r="E898" t="s">
        <v>30</v>
      </c>
      <c r="F898" t="s">
        <v>24</v>
      </c>
      <c r="G898" t="s">
        <v>25</v>
      </c>
      <c r="H898" t="str">
        <f t="shared" si="26"/>
        <v>RT - GENIO DO MARMORE | Recorrência: | Observações: PREVISÃO PARA RT SOMENTE APÓS A INSTALAÇÃO QUE ESTÁ PROGRAMADO &gt;&gt;&gt;&gt;&gt;&gt; dezembro (20)</v>
      </c>
      <c r="I898" t="s">
        <v>491</v>
      </c>
      <c r="J898" s="4">
        <v>1250</v>
      </c>
      <c r="K898" s="4">
        <v>490181.02</v>
      </c>
      <c r="L898" t="s">
        <v>27</v>
      </c>
      <c r="M898" s="4">
        <v>1250</v>
      </c>
      <c r="N898" s="3">
        <v>0</v>
      </c>
      <c r="O898" t="s">
        <v>1591</v>
      </c>
      <c r="P898" t="s">
        <v>922</v>
      </c>
      <c r="Q898" t="s">
        <v>1591</v>
      </c>
      <c r="R898" t="str">
        <f t="shared" si="27"/>
        <v>Sim</v>
      </c>
      <c r="S898" t="s">
        <v>1591</v>
      </c>
      <c r="T898" t="s">
        <v>1623</v>
      </c>
      <c r="U898" t="s">
        <v>49</v>
      </c>
      <c r="V898" s="3">
        <v>1250</v>
      </c>
      <c r="W898" t="s">
        <v>494</v>
      </c>
      <c r="X898" s="3">
        <v>1250</v>
      </c>
    </row>
    <row r="899" spans="1:24" s="2" customFormat="1" x14ac:dyDescent="0.2">
      <c r="A899">
        <v>899</v>
      </c>
      <c r="B899" t="s">
        <v>1373</v>
      </c>
      <c r="C899" t="s">
        <v>1374</v>
      </c>
      <c r="D899" t="s">
        <v>1491</v>
      </c>
      <c r="E899" t="s">
        <v>148</v>
      </c>
      <c r="F899" t="s">
        <v>24</v>
      </c>
      <c r="G899" t="s">
        <v>25</v>
      </c>
      <c r="H899" t="str">
        <f t="shared" ref="H899:H962" si="28">D899&amp;" | "&amp;$E$1&amp;E899&amp;" | Observações: "&amp;T899</f>
        <v xml:space="preserve">PROJETO -  MANDARIM | Recorrência:3/3 | Observações: </v>
      </c>
      <c r="I899" t="s">
        <v>491</v>
      </c>
      <c r="J899" s="4">
        <v>3240</v>
      </c>
      <c r="K899" s="4">
        <v>493421.02</v>
      </c>
      <c r="L899" t="s">
        <v>27</v>
      </c>
      <c r="M899" s="4">
        <v>3240</v>
      </c>
      <c r="N899" s="3">
        <v>0</v>
      </c>
      <c r="O899" t="s">
        <v>1624</v>
      </c>
      <c r="P899" t="s">
        <v>1478</v>
      </c>
      <c r="Q899" t="s">
        <v>1624</v>
      </c>
      <c r="R899" t="str">
        <f t="shared" ref="R899:R962" si="29">IF(Q899=S899,"Sim","nao")</f>
        <v>Sim</v>
      </c>
      <c r="S899" t="s">
        <v>1624</v>
      </c>
      <c r="T899" t="s">
        <v>30</v>
      </c>
      <c r="U899" t="s">
        <v>31</v>
      </c>
      <c r="V899" s="3">
        <v>3240</v>
      </c>
      <c r="W899" t="s">
        <v>32</v>
      </c>
      <c r="X899" s="3">
        <v>3240</v>
      </c>
    </row>
    <row r="900" spans="1:24" s="2" customFormat="1" x14ac:dyDescent="0.2">
      <c r="A900" s="2">
        <v>900</v>
      </c>
      <c r="B900" t="s">
        <v>647</v>
      </c>
      <c r="C900" t="s">
        <v>648</v>
      </c>
      <c r="D900" t="s">
        <v>1556</v>
      </c>
      <c r="E900" t="s">
        <v>398</v>
      </c>
      <c r="F900" t="s">
        <v>63</v>
      </c>
      <c r="G900" t="s">
        <v>25</v>
      </c>
      <c r="H900" t="str">
        <f t="shared" si="28"/>
        <v xml:space="preserve">DARF PREVIDÊNCIARIO | Recorrência:2/12 | Observações: </v>
      </c>
      <c r="I900" t="s">
        <v>26</v>
      </c>
      <c r="J900" s="5">
        <v>-1424.08</v>
      </c>
      <c r="K900" s="4">
        <v>491996.94</v>
      </c>
      <c r="L900" t="s">
        <v>27</v>
      </c>
      <c r="M900" s="5">
        <v>-1424.08</v>
      </c>
      <c r="N900" s="3">
        <v>0</v>
      </c>
      <c r="O900" t="s">
        <v>1625</v>
      </c>
      <c r="P900" t="s">
        <v>1626</v>
      </c>
      <c r="Q900" t="s">
        <v>1559</v>
      </c>
      <c r="R900" t="str">
        <f t="shared" si="29"/>
        <v>Sim</v>
      </c>
      <c r="S900" t="s">
        <v>1559</v>
      </c>
      <c r="T900" t="s">
        <v>30</v>
      </c>
      <c r="U900" t="s">
        <v>601</v>
      </c>
      <c r="V900" s="3">
        <v>-1424.08</v>
      </c>
      <c r="W900" t="s">
        <v>376</v>
      </c>
      <c r="X900" s="3">
        <v>-1424.08</v>
      </c>
    </row>
    <row r="901" spans="1:24" s="2" customFormat="1" x14ac:dyDescent="0.2">
      <c r="A901">
        <v>901</v>
      </c>
      <c r="B901"/>
      <c r="C901" t="s">
        <v>153</v>
      </c>
      <c r="D901" t="s">
        <v>1627</v>
      </c>
      <c r="E901" t="s">
        <v>30</v>
      </c>
      <c r="F901" t="s">
        <v>63</v>
      </c>
      <c r="G901" t="s">
        <v>25</v>
      </c>
      <c r="H901" t="str">
        <f t="shared" si="28"/>
        <v xml:space="preserve">CIA BRASILEIRA DE DISTRIBUIÇÃO - MATERIAIS DE LIMPEZA E HIGIENE | Recorrência: | Observações: RECIBO ESCANEADO E </v>
      </c>
      <c r="I901" t="s">
        <v>1072</v>
      </c>
      <c r="J901" s="5">
        <v>-222.43</v>
      </c>
      <c r="K901" s="4">
        <v>491774.51</v>
      </c>
      <c r="L901" t="s">
        <v>27</v>
      </c>
      <c r="M901" s="5">
        <v>-222.43</v>
      </c>
      <c r="N901" s="3">
        <v>0</v>
      </c>
      <c r="O901" t="s">
        <v>1625</v>
      </c>
      <c r="P901" t="s">
        <v>1625</v>
      </c>
      <c r="Q901" t="s">
        <v>1625</v>
      </c>
      <c r="R901" t="str">
        <f t="shared" si="29"/>
        <v>Sim</v>
      </c>
      <c r="S901" t="s">
        <v>1625</v>
      </c>
      <c r="T901" t="s">
        <v>1628</v>
      </c>
      <c r="U901" t="s">
        <v>1127</v>
      </c>
      <c r="V901" s="3">
        <v>-222.43</v>
      </c>
      <c r="W901" t="s">
        <v>1058</v>
      </c>
      <c r="X901" s="3">
        <v>-222.43</v>
      </c>
    </row>
    <row r="902" spans="1:24" s="2" customFormat="1" x14ac:dyDescent="0.2">
      <c r="A902" s="2">
        <v>902</v>
      </c>
      <c r="B902" t="s">
        <v>1629</v>
      </c>
      <c r="C902" t="s">
        <v>1630</v>
      </c>
      <c r="D902" t="s">
        <v>1631</v>
      </c>
      <c r="E902" t="s">
        <v>30</v>
      </c>
      <c r="F902" t="s">
        <v>24</v>
      </c>
      <c r="G902" t="s">
        <v>25</v>
      </c>
      <c r="H902" t="str">
        <f t="shared" si="28"/>
        <v xml:space="preserve">RT - Elaine Viollini Pedido 01483 | Recorrência: | Observações: Razão Social: BeOnline Elab de Sites e Comércio de Decoração Eirelle
CNPJ: 27.355.342/0001-80
Inscrição Est.: 141.865.790.114
Inscr. Municipal -  isento
Endereço: R. Dr. Diogo de Faria, 1158 - Vila Clementino, São Paulo - SP, 04037-002
E-mail: financeiro@designsupplier.com.br
Telefone: 011 – 96369-1252 - Vanessa
</v>
      </c>
      <c r="I902" t="s">
        <v>491</v>
      </c>
      <c r="J902" s="4">
        <v>356.1</v>
      </c>
      <c r="K902" s="4">
        <v>492130.61</v>
      </c>
      <c r="L902" t="s">
        <v>27</v>
      </c>
      <c r="M902" s="4">
        <v>356.1</v>
      </c>
      <c r="N902" s="3">
        <v>0</v>
      </c>
      <c r="O902" t="s">
        <v>1625</v>
      </c>
      <c r="P902" t="s">
        <v>1557</v>
      </c>
      <c r="Q902" t="s">
        <v>1625</v>
      </c>
      <c r="R902" t="str">
        <f t="shared" si="29"/>
        <v>Sim</v>
      </c>
      <c r="S902" t="s">
        <v>1625</v>
      </c>
      <c r="T902" t="s">
        <v>1632</v>
      </c>
      <c r="U902" t="s">
        <v>49</v>
      </c>
      <c r="V902" s="3">
        <v>356.1</v>
      </c>
      <c r="W902" t="s">
        <v>494</v>
      </c>
      <c r="X902" s="3">
        <v>356.1</v>
      </c>
    </row>
    <row r="903" spans="1:24" s="2" customFormat="1" x14ac:dyDescent="0.2">
      <c r="A903">
        <v>903</v>
      </c>
      <c r="B903"/>
      <c r="C903" t="s">
        <v>153</v>
      </c>
      <c r="D903" t="s">
        <v>1634</v>
      </c>
      <c r="E903" t="s">
        <v>30</v>
      </c>
      <c r="F903" t="s">
        <v>63</v>
      </c>
      <c r="G903" t="s">
        <v>25</v>
      </c>
      <c r="H903" t="str">
        <f t="shared" si="28"/>
        <v xml:space="preserve">DARF IRRF  - LILIAN PIMENTA_NF 248 / PATCHOULY_NF 250 | Recorrência: | Observações: </v>
      </c>
      <c r="I903" t="s">
        <v>26</v>
      </c>
      <c r="J903" s="5">
        <v>-39.43</v>
      </c>
      <c r="K903" s="4">
        <v>492091.18</v>
      </c>
      <c r="L903" t="s">
        <v>27</v>
      </c>
      <c r="M903" s="5">
        <v>-39.43</v>
      </c>
      <c r="N903" s="3">
        <v>0</v>
      </c>
      <c r="O903" t="s">
        <v>1633</v>
      </c>
      <c r="P903" t="s">
        <v>1618</v>
      </c>
      <c r="Q903" t="s">
        <v>1633</v>
      </c>
      <c r="R903" t="str">
        <f t="shared" si="29"/>
        <v>Sim</v>
      </c>
      <c r="S903" t="s">
        <v>1633</v>
      </c>
      <c r="T903" t="s">
        <v>30</v>
      </c>
      <c r="U903" t="s">
        <v>483</v>
      </c>
      <c r="V903" s="3">
        <v>-39.43</v>
      </c>
      <c r="W903" t="s">
        <v>494</v>
      </c>
      <c r="X903" s="3">
        <v>-39.43</v>
      </c>
    </row>
    <row r="904" spans="1:24" s="2" customFormat="1" x14ac:dyDescent="0.2">
      <c r="A904" s="2">
        <v>904</v>
      </c>
      <c r="B904" t="s">
        <v>1607</v>
      </c>
      <c r="C904" t="s">
        <v>1608</v>
      </c>
      <c r="D904" t="s">
        <v>1635</v>
      </c>
      <c r="E904" t="s">
        <v>30</v>
      </c>
      <c r="F904" t="s">
        <v>24</v>
      </c>
      <c r="G904" t="s">
        <v>25</v>
      </c>
      <c r="H904" t="str">
        <f t="shared" si="28"/>
        <v xml:space="preserve">RT RONEI | Recorrência: | Observações: </v>
      </c>
      <c r="I904" t="s">
        <v>491</v>
      </c>
      <c r="J904" s="4">
        <v>35</v>
      </c>
      <c r="K904" s="4">
        <v>492126.18</v>
      </c>
      <c r="L904" t="s">
        <v>27</v>
      </c>
      <c r="M904" s="4">
        <v>35</v>
      </c>
      <c r="N904" s="3">
        <v>0</v>
      </c>
      <c r="O904" t="s">
        <v>1633</v>
      </c>
      <c r="P904" t="s">
        <v>1618</v>
      </c>
      <c r="Q904" t="s">
        <v>1633</v>
      </c>
      <c r="R904" t="str">
        <f t="shared" si="29"/>
        <v>Sim</v>
      </c>
      <c r="S904" t="s">
        <v>1633</v>
      </c>
      <c r="T904" t="s">
        <v>30</v>
      </c>
      <c r="U904" t="s">
        <v>49</v>
      </c>
      <c r="V904" s="3">
        <v>35</v>
      </c>
      <c r="W904" t="s">
        <v>494</v>
      </c>
      <c r="X904" s="3">
        <v>35</v>
      </c>
    </row>
    <row r="905" spans="1:24" s="2" customFormat="1" x14ac:dyDescent="0.2">
      <c r="A905">
        <v>905</v>
      </c>
      <c r="B905" t="s">
        <v>1636</v>
      </c>
      <c r="C905" t="s">
        <v>1637</v>
      </c>
      <c r="D905" t="s">
        <v>1638</v>
      </c>
      <c r="E905" t="s">
        <v>30</v>
      </c>
      <c r="F905" t="s">
        <v>24</v>
      </c>
      <c r="G905" t="s">
        <v>25</v>
      </c>
      <c r="H905" t="str">
        <f t="shared" si="28"/>
        <v xml:space="preserve">RT FAUSTO VARGAS BOLDRINI - PEDIDO FC05/12/22 | Recorrência: | Observações: Dados para emissão da nota fiscal:
Razão Social: FRANCCINO MOVEIS LTDA
Endereço: Av. Quinca do Dede, 40 - Bairro: São Francisco 
Cidade: Cláudio/MG – CEP: 35530-000
CNPJ: 04.244.807/0001-20
Inscrição Estadual: 166.112.231.0060
</v>
      </c>
      <c r="I905" t="s">
        <v>491</v>
      </c>
      <c r="J905" s="4">
        <v>380.55</v>
      </c>
      <c r="K905" s="4">
        <v>492506.73</v>
      </c>
      <c r="L905" t="s">
        <v>27</v>
      </c>
      <c r="M905" s="4">
        <v>380.55</v>
      </c>
      <c r="N905" s="3">
        <v>0</v>
      </c>
      <c r="O905" t="s">
        <v>1618</v>
      </c>
      <c r="P905" t="s">
        <v>1557</v>
      </c>
      <c r="Q905" t="s">
        <v>1639</v>
      </c>
      <c r="R905" t="str">
        <f t="shared" si="29"/>
        <v>Sim</v>
      </c>
      <c r="S905" t="s">
        <v>1639</v>
      </c>
      <c r="T905" t="s">
        <v>1640</v>
      </c>
      <c r="U905" t="s">
        <v>49</v>
      </c>
      <c r="V905" s="3">
        <v>380.55</v>
      </c>
      <c r="W905" t="s">
        <v>494</v>
      </c>
      <c r="X905" s="3">
        <v>380.55</v>
      </c>
    </row>
    <row r="906" spans="1:24" s="2" customFormat="1" x14ac:dyDescent="0.2">
      <c r="A906" s="2">
        <v>906</v>
      </c>
      <c r="B906" t="s">
        <v>647</v>
      </c>
      <c r="C906" t="s">
        <v>648</v>
      </c>
      <c r="D906" t="s">
        <v>1641</v>
      </c>
      <c r="E906" t="s">
        <v>320</v>
      </c>
      <c r="F906" t="s">
        <v>63</v>
      </c>
      <c r="G906" t="s">
        <v>25</v>
      </c>
      <c r="H906" t="str">
        <f t="shared" si="28"/>
        <v xml:space="preserve">DARF PIS - RECALCULADO APURAÇÃO&gt;&gt; 12/2022 – Vencimento: 01/2023 | Recorrência:1/12 | Observações: </v>
      </c>
      <c r="I906" t="s">
        <v>26</v>
      </c>
      <c r="J906" s="5">
        <v>-40.020000000000003</v>
      </c>
      <c r="K906" s="4">
        <v>492466.71</v>
      </c>
      <c r="L906" t="s">
        <v>27</v>
      </c>
      <c r="M906" s="5">
        <v>-40.020000000000003</v>
      </c>
      <c r="N906" s="3">
        <v>0</v>
      </c>
      <c r="O906" t="s">
        <v>1492</v>
      </c>
      <c r="P906" t="s">
        <v>1500</v>
      </c>
      <c r="Q906" t="s">
        <v>1564</v>
      </c>
      <c r="R906" t="str">
        <f t="shared" si="29"/>
        <v>nao</v>
      </c>
      <c r="S906" t="s">
        <v>1518</v>
      </c>
      <c r="T906" t="s">
        <v>30</v>
      </c>
      <c r="U906" t="s">
        <v>1508</v>
      </c>
      <c r="V906" s="3">
        <v>-40.020000000000003</v>
      </c>
      <c r="W906" t="s">
        <v>297</v>
      </c>
      <c r="X906" s="3">
        <v>-40.020000000000003</v>
      </c>
    </row>
    <row r="907" spans="1:24" s="2" customFormat="1" x14ac:dyDescent="0.2">
      <c r="A907">
        <v>907</v>
      </c>
      <c r="B907" t="s">
        <v>647</v>
      </c>
      <c r="C907" t="s">
        <v>648</v>
      </c>
      <c r="D907" t="s">
        <v>1642</v>
      </c>
      <c r="E907" t="s">
        <v>398</v>
      </c>
      <c r="F907" t="s">
        <v>63</v>
      </c>
      <c r="G907" t="s">
        <v>25</v>
      </c>
      <c r="H907" t="str">
        <f t="shared" si="28"/>
        <v xml:space="preserve">DARF PIS_APURAÇÃO JANEIRO/23 | Recorrência:2/12 | Observações: </v>
      </c>
      <c r="I907" t="s">
        <v>26</v>
      </c>
      <c r="J907" s="5">
        <v>-59.21</v>
      </c>
      <c r="K907" s="4">
        <v>492407.5</v>
      </c>
      <c r="L907" t="s">
        <v>27</v>
      </c>
      <c r="M907" s="5">
        <v>-59.21</v>
      </c>
      <c r="N907" s="3">
        <v>0</v>
      </c>
      <c r="O907" t="s">
        <v>1492</v>
      </c>
      <c r="P907" t="s">
        <v>1584</v>
      </c>
      <c r="Q907" t="s">
        <v>1643</v>
      </c>
      <c r="R907" t="str">
        <f t="shared" si="29"/>
        <v>Sim</v>
      </c>
      <c r="S907" t="s">
        <v>1643</v>
      </c>
      <c r="T907" t="s">
        <v>30</v>
      </c>
      <c r="U907" t="s">
        <v>1508</v>
      </c>
      <c r="V907" s="3">
        <v>-59.21</v>
      </c>
      <c r="W907" t="s">
        <v>297</v>
      </c>
      <c r="X907" s="3">
        <v>-59.21</v>
      </c>
    </row>
    <row r="908" spans="1:24" s="2" customFormat="1" x14ac:dyDescent="0.2">
      <c r="A908" s="2">
        <v>908</v>
      </c>
      <c r="B908" t="s">
        <v>647</v>
      </c>
      <c r="C908" t="s">
        <v>648</v>
      </c>
      <c r="D908" t="s">
        <v>1644</v>
      </c>
      <c r="E908" t="s">
        <v>398</v>
      </c>
      <c r="F908" t="s">
        <v>63</v>
      </c>
      <c r="G908" t="s">
        <v>25</v>
      </c>
      <c r="H908" t="str">
        <f t="shared" si="28"/>
        <v xml:space="preserve">DARF COFINS - APURAÇÃO JAN/2023 | Recorrência:2/12 | Observações: </v>
      </c>
      <c r="I908" t="s">
        <v>26</v>
      </c>
      <c r="J908" s="5">
        <v>-273.26</v>
      </c>
      <c r="K908" s="4">
        <v>492134.24</v>
      </c>
      <c r="L908" t="s">
        <v>27</v>
      </c>
      <c r="M908" s="5">
        <v>-273.26</v>
      </c>
      <c r="N908" s="3">
        <v>0</v>
      </c>
      <c r="O908" t="s">
        <v>1492</v>
      </c>
      <c r="P908" t="s">
        <v>1471</v>
      </c>
      <c r="Q908" t="s">
        <v>1492</v>
      </c>
      <c r="R908" t="str">
        <f t="shared" si="29"/>
        <v>Sim</v>
      </c>
      <c r="S908" t="s">
        <v>1492</v>
      </c>
      <c r="T908" t="s">
        <v>30</v>
      </c>
      <c r="U908" t="s">
        <v>1508</v>
      </c>
      <c r="V908" s="3">
        <v>-273.26</v>
      </c>
      <c r="W908" t="s">
        <v>297</v>
      </c>
      <c r="X908" s="3">
        <v>-273.26</v>
      </c>
    </row>
    <row r="909" spans="1:24" s="2" customFormat="1" x14ac:dyDescent="0.2">
      <c r="A909">
        <v>909</v>
      </c>
      <c r="B909" t="s">
        <v>1393</v>
      </c>
      <c r="C909" t="s">
        <v>1394</v>
      </c>
      <c r="D909" t="s">
        <v>1645</v>
      </c>
      <c r="E909" t="s">
        <v>30</v>
      </c>
      <c r="F909" t="s">
        <v>24</v>
      </c>
      <c r="G909" t="s">
        <v>25</v>
      </c>
      <c r="H909" t="str">
        <f t="shared" si="28"/>
        <v xml:space="preserve">RT - LUCIENE MARCHI/RICARDO GALVÃO/CONSUMIDOR FINAL | Recorrência: | Observações: </v>
      </c>
      <c r="I909" t="s">
        <v>491</v>
      </c>
      <c r="J909" s="4">
        <v>1582.57</v>
      </c>
      <c r="K909" s="4">
        <v>493716.81</v>
      </c>
      <c r="L909" t="s">
        <v>27</v>
      </c>
      <c r="M909" s="4">
        <v>1582.57</v>
      </c>
      <c r="N909" s="3">
        <v>0</v>
      </c>
      <c r="O909" t="s">
        <v>1492</v>
      </c>
      <c r="P909" t="s">
        <v>1625</v>
      </c>
      <c r="Q909" t="s">
        <v>1639</v>
      </c>
      <c r="R909" t="str">
        <f t="shared" si="29"/>
        <v>nao</v>
      </c>
      <c r="S909" t="s">
        <v>1646</v>
      </c>
      <c r="T909" t="s">
        <v>30</v>
      </c>
      <c r="U909" t="s">
        <v>49</v>
      </c>
      <c r="V909" s="3">
        <v>1582.57</v>
      </c>
      <c r="W909" t="s">
        <v>128</v>
      </c>
      <c r="X909" s="3">
        <v>1582.57</v>
      </c>
    </row>
    <row r="910" spans="1:24" s="2" customFormat="1" x14ac:dyDescent="0.2">
      <c r="A910" s="2">
        <v>910</v>
      </c>
      <c r="B910" t="s">
        <v>1088</v>
      </c>
      <c r="C910" t="s">
        <v>1089</v>
      </c>
      <c r="D910" t="s">
        <v>1648</v>
      </c>
      <c r="E910" t="s">
        <v>30</v>
      </c>
      <c r="F910" t="s">
        <v>24</v>
      </c>
      <c r="G910" t="s">
        <v>25</v>
      </c>
      <c r="H910" t="str">
        <f t="shared" si="28"/>
        <v xml:space="preserve">RT DIANA E DIOGO - MANDARIM | Recorrência: | Observações: </v>
      </c>
      <c r="I910" t="s">
        <v>491</v>
      </c>
      <c r="J910" s="4">
        <v>622.5</v>
      </c>
      <c r="K910" s="4">
        <v>494339.31</v>
      </c>
      <c r="L910" t="s">
        <v>27</v>
      </c>
      <c r="M910" s="4">
        <v>622.5</v>
      </c>
      <c r="N910" s="3">
        <v>0</v>
      </c>
      <c r="O910" t="s">
        <v>1647</v>
      </c>
      <c r="P910" t="s">
        <v>1647</v>
      </c>
      <c r="Q910" t="s">
        <v>1647</v>
      </c>
      <c r="R910" t="str">
        <f t="shared" si="29"/>
        <v>Sim</v>
      </c>
      <c r="S910" t="s">
        <v>1647</v>
      </c>
      <c r="T910" t="s">
        <v>30</v>
      </c>
      <c r="U910" t="s">
        <v>49</v>
      </c>
      <c r="V910" s="3">
        <v>622.5</v>
      </c>
      <c r="W910" t="s">
        <v>494</v>
      </c>
      <c r="X910" s="3">
        <v>622.5</v>
      </c>
    </row>
    <row r="911" spans="1:24" s="2" customFormat="1" x14ac:dyDescent="0.2">
      <c r="A911">
        <v>911</v>
      </c>
      <c r="B911" t="s">
        <v>1088</v>
      </c>
      <c r="C911" t="s">
        <v>1089</v>
      </c>
      <c r="D911" t="s">
        <v>1649</v>
      </c>
      <c r="E911" t="s">
        <v>30</v>
      </c>
      <c r="F911" t="s">
        <v>24</v>
      </c>
      <c r="G911" t="s">
        <v>25</v>
      </c>
      <c r="H911" t="str">
        <f t="shared" si="28"/>
        <v xml:space="preserve">RT - LUCIENE GIL MARCHI | Recorrência: | Observações: </v>
      </c>
      <c r="I911" t="s">
        <v>491</v>
      </c>
      <c r="J911" s="4">
        <v>2641</v>
      </c>
      <c r="K911" s="4">
        <v>496980.31</v>
      </c>
      <c r="L911" t="s">
        <v>27</v>
      </c>
      <c r="M911" s="4">
        <v>2641</v>
      </c>
      <c r="N911" s="3">
        <v>0</v>
      </c>
      <c r="O911" t="s">
        <v>1647</v>
      </c>
      <c r="P911" t="s">
        <v>1647</v>
      </c>
      <c r="Q911" t="s">
        <v>1647</v>
      </c>
      <c r="R911" t="str">
        <f t="shared" si="29"/>
        <v>Sim</v>
      </c>
      <c r="S911" t="s">
        <v>1647</v>
      </c>
      <c r="T911" t="s">
        <v>30</v>
      </c>
      <c r="U911" t="s">
        <v>49</v>
      </c>
      <c r="V911" s="3">
        <v>2641</v>
      </c>
      <c r="W911" t="s">
        <v>494</v>
      </c>
      <c r="X911" s="3">
        <v>2641</v>
      </c>
    </row>
    <row r="912" spans="1:24" s="2" customFormat="1" x14ac:dyDescent="0.2">
      <c r="A912" s="2">
        <v>912</v>
      </c>
      <c r="B912" t="s">
        <v>1088</v>
      </c>
      <c r="C912" t="s">
        <v>1089</v>
      </c>
      <c r="D912" t="s">
        <v>1650</v>
      </c>
      <c r="E912" t="s">
        <v>30</v>
      </c>
      <c r="F912" t="s">
        <v>24</v>
      </c>
      <c r="G912" t="s">
        <v>25</v>
      </c>
      <c r="H912" t="str">
        <f t="shared" si="28"/>
        <v xml:space="preserve">RT - DANIELLE E DANTE - SUITE DA MARINA | Recorrência: | Observações: </v>
      </c>
      <c r="I912" t="s">
        <v>491</v>
      </c>
      <c r="J912" s="4">
        <v>328</v>
      </c>
      <c r="K912" s="4">
        <v>497308.31</v>
      </c>
      <c r="L912" t="s">
        <v>27</v>
      </c>
      <c r="M912" s="4">
        <v>328</v>
      </c>
      <c r="N912" s="3">
        <v>0</v>
      </c>
      <c r="O912" t="s">
        <v>1647</v>
      </c>
      <c r="P912" t="s">
        <v>1647</v>
      </c>
      <c r="Q912" t="s">
        <v>1647</v>
      </c>
      <c r="R912" t="str">
        <f t="shared" si="29"/>
        <v>Sim</v>
      </c>
      <c r="S912" t="s">
        <v>1647</v>
      </c>
      <c r="T912" t="s">
        <v>30</v>
      </c>
      <c r="U912" t="s">
        <v>49</v>
      </c>
      <c r="V912" s="3">
        <v>328</v>
      </c>
      <c r="W912" t="s">
        <v>494</v>
      </c>
      <c r="X912" s="3">
        <v>328</v>
      </c>
    </row>
    <row r="913" spans="1:24" s="2" customFormat="1" x14ac:dyDescent="0.2">
      <c r="A913">
        <v>913</v>
      </c>
      <c r="B913" t="s">
        <v>1088</v>
      </c>
      <c r="C913" t="s">
        <v>1089</v>
      </c>
      <c r="D913" t="s">
        <v>1651</v>
      </c>
      <c r="E913" t="s">
        <v>30</v>
      </c>
      <c r="F913" t="s">
        <v>24</v>
      </c>
      <c r="G913" t="s">
        <v>25</v>
      </c>
      <c r="H913" t="str">
        <f t="shared" si="28"/>
        <v xml:space="preserve">RT - ADELINA MATAVELLI | Recorrência: | Observações: </v>
      </c>
      <c r="I913" t="s">
        <v>491</v>
      </c>
      <c r="J913" s="4">
        <v>420</v>
      </c>
      <c r="K913" s="4">
        <v>497728.31</v>
      </c>
      <c r="L913" t="s">
        <v>27</v>
      </c>
      <c r="M913" s="4">
        <v>420</v>
      </c>
      <c r="N913" s="3">
        <v>0</v>
      </c>
      <c r="O913" t="s">
        <v>1647</v>
      </c>
      <c r="P913" t="s">
        <v>1647</v>
      </c>
      <c r="Q913" t="s">
        <v>1647</v>
      </c>
      <c r="R913" t="str">
        <f t="shared" si="29"/>
        <v>Sim</v>
      </c>
      <c r="S913" t="s">
        <v>1647</v>
      </c>
      <c r="T913" t="s">
        <v>30</v>
      </c>
      <c r="U913" t="s">
        <v>49</v>
      </c>
      <c r="V913" s="3">
        <v>420</v>
      </c>
      <c r="W913" t="s">
        <v>494</v>
      </c>
      <c r="X913" s="3">
        <v>420</v>
      </c>
    </row>
    <row r="914" spans="1:24" s="2" customFormat="1" x14ac:dyDescent="0.2">
      <c r="A914" s="2">
        <v>914</v>
      </c>
      <c r="B914"/>
      <c r="C914" t="s">
        <v>828</v>
      </c>
      <c r="D914" t="s">
        <v>830</v>
      </c>
      <c r="E914" t="s">
        <v>1652</v>
      </c>
      <c r="F914" t="s">
        <v>63</v>
      </c>
      <c r="G914" t="s">
        <v>25</v>
      </c>
      <c r="H914" t="str">
        <f t="shared" si="28"/>
        <v xml:space="preserve">PREFEITURA DO MUNICIPIO DE BERTIOGA | Recorrência:12/41 | Observações: REF.02 PAGAMENTOS </v>
      </c>
      <c r="I914" t="s">
        <v>26</v>
      </c>
      <c r="J914" s="5">
        <v>-228.16</v>
      </c>
      <c r="K914" s="4">
        <v>497500.15</v>
      </c>
      <c r="L914" t="s">
        <v>27</v>
      </c>
      <c r="M914" s="5">
        <v>-228.16</v>
      </c>
      <c r="N914" s="3">
        <v>0</v>
      </c>
      <c r="O914" t="s">
        <v>1639</v>
      </c>
      <c r="P914" t="s">
        <v>1653</v>
      </c>
      <c r="Q914" t="s">
        <v>1639</v>
      </c>
      <c r="R914" t="str">
        <f t="shared" si="29"/>
        <v>Sim</v>
      </c>
      <c r="S914" t="s">
        <v>1639</v>
      </c>
      <c r="T914" t="s">
        <v>831</v>
      </c>
      <c r="U914" t="s">
        <v>832</v>
      </c>
      <c r="V914" s="3">
        <v>-228.16</v>
      </c>
    </row>
    <row r="915" spans="1:24" s="2" customFormat="1" x14ac:dyDescent="0.2">
      <c r="A915">
        <v>915</v>
      </c>
      <c r="B915" t="s">
        <v>1654</v>
      </c>
      <c r="C915" t="s">
        <v>1655</v>
      </c>
      <c r="D915" t="s">
        <v>1656</v>
      </c>
      <c r="E915" t="s">
        <v>30</v>
      </c>
      <c r="F915" t="s">
        <v>24</v>
      </c>
      <c r="G915" t="s">
        <v>25</v>
      </c>
      <c r="H915" t="str">
        <f t="shared" si="28"/>
        <v>RT PEDIDO 0798 - MARIA ADELINA MATAVELLI | Recorrência: | Observações: Conta para Depósito:
Banco Santander
Agência: 2178 // C/C.: 13000415-8
Favorecido: COMERCIO TAPECARIA E COLCHOES ARTACHOS LTDA
CNPJ: 00.748.261/0001-94 (chave pix)</v>
      </c>
      <c r="I915" t="s">
        <v>491</v>
      </c>
      <c r="J915" s="4">
        <v>1200</v>
      </c>
      <c r="K915" s="4">
        <v>498700.15</v>
      </c>
      <c r="L915" t="s">
        <v>27</v>
      </c>
      <c r="M915" s="4">
        <v>1200</v>
      </c>
      <c r="N915" s="3">
        <v>0</v>
      </c>
      <c r="O915" t="s">
        <v>1639</v>
      </c>
      <c r="P915" t="s">
        <v>1490</v>
      </c>
      <c r="Q915" t="s">
        <v>1657</v>
      </c>
      <c r="R915" t="str">
        <f t="shared" si="29"/>
        <v>Sim</v>
      </c>
      <c r="S915" t="s">
        <v>1657</v>
      </c>
      <c r="T915" t="s">
        <v>1658</v>
      </c>
      <c r="U915" t="s">
        <v>49</v>
      </c>
      <c r="V915" s="3">
        <v>1200</v>
      </c>
      <c r="W915" t="s">
        <v>494</v>
      </c>
      <c r="X915" s="3">
        <v>1200</v>
      </c>
    </row>
    <row r="916" spans="1:24" s="2" customFormat="1" x14ac:dyDescent="0.2">
      <c r="A916" s="2">
        <v>916</v>
      </c>
      <c r="B916"/>
      <c r="C916" t="s">
        <v>153</v>
      </c>
      <c r="D916" t="s">
        <v>1659</v>
      </c>
      <c r="E916" t="s">
        <v>30</v>
      </c>
      <c r="F916" t="s">
        <v>63</v>
      </c>
      <c r="G916" t="s">
        <v>25</v>
      </c>
      <c r="H916" t="str">
        <f t="shared" si="28"/>
        <v xml:space="preserve">3/7 - SALÁRIO MARCELA S CAVALCANTE 3/12 | Recorrência: | Observações: </v>
      </c>
      <c r="I916" t="s">
        <v>991</v>
      </c>
      <c r="J916" s="5">
        <v>-3018.46</v>
      </c>
      <c r="K916" s="4">
        <v>495681.69</v>
      </c>
      <c r="L916" t="s">
        <v>27</v>
      </c>
      <c r="M916" s="5">
        <v>-3018.46</v>
      </c>
      <c r="N916" s="3">
        <v>0</v>
      </c>
      <c r="O916" t="s">
        <v>1657</v>
      </c>
      <c r="P916" t="s">
        <v>1095</v>
      </c>
      <c r="Q916" t="s">
        <v>1660</v>
      </c>
      <c r="R916" t="str">
        <f t="shared" si="29"/>
        <v>Sim</v>
      </c>
      <c r="S916" t="s">
        <v>1660</v>
      </c>
      <c r="T916" t="s">
        <v>30</v>
      </c>
      <c r="U916" t="s">
        <v>323</v>
      </c>
      <c r="V916" s="3">
        <v>-3018.46</v>
      </c>
      <c r="W916" t="s">
        <v>1164</v>
      </c>
      <c r="X916" s="3">
        <v>-3018.46</v>
      </c>
    </row>
    <row r="917" spans="1:24" s="2" customFormat="1" x14ac:dyDescent="0.2">
      <c r="A917">
        <v>917</v>
      </c>
      <c r="B917"/>
      <c r="C917" t="s">
        <v>153</v>
      </c>
      <c r="D917" t="s">
        <v>1661</v>
      </c>
      <c r="E917" t="s">
        <v>30</v>
      </c>
      <c r="F917" t="s">
        <v>63</v>
      </c>
      <c r="G917" t="s">
        <v>25</v>
      </c>
      <c r="H917" t="str">
        <f t="shared" si="28"/>
        <v xml:space="preserve">3/11 - SALÁRIO - JULYA 3/12 | Recorrência: | Observações: </v>
      </c>
      <c r="I917" t="s">
        <v>991</v>
      </c>
      <c r="J917" s="5">
        <v>-4052.54</v>
      </c>
      <c r="K917" s="4">
        <v>491629.15</v>
      </c>
      <c r="L917" t="s">
        <v>27</v>
      </c>
      <c r="M917" s="5">
        <v>-4052.54</v>
      </c>
      <c r="N917" s="3">
        <v>0</v>
      </c>
      <c r="O917" t="s">
        <v>1657</v>
      </c>
      <c r="P917" t="s">
        <v>1457</v>
      </c>
      <c r="Q917" t="s">
        <v>1657</v>
      </c>
      <c r="R917" t="str">
        <f t="shared" si="29"/>
        <v>nao</v>
      </c>
      <c r="S917" t="s">
        <v>1580</v>
      </c>
      <c r="T917" t="s">
        <v>30</v>
      </c>
      <c r="U917" t="s">
        <v>323</v>
      </c>
      <c r="V917" s="3">
        <v>-4052.54</v>
      </c>
      <c r="W917" t="s">
        <v>1164</v>
      </c>
      <c r="X917" s="3">
        <v>-4052.54</v>
      </c>
    </row>
    <row r="918" spans="1:24" s="2" customFormat="1" x14ac:dyDescent="0.2">
      <c r="A918" s="2">
        <v>918</v>
      </c>
      <c r="B918"/>
      <c r="C918" t="s">
        <v>153</v>
      </c>
      <c r="D918" t="s">
        <v>1662</v>
      </c>
      <c r="E918" t="s">
        <v>30</v>
      </c>
      <c r="F918" t="s">
        <v>63</v>
      </c>
      <c r="G918" t="s">
        <v>25</v>
      </c>
      <c r="H918" t="str">
        <f t="shared" si="28"/>
        <v xml:space="preserve">3/4 - FELIPE - SALÁRIO 3/12 | Recorrência: | Observações: </v>
      </c>
      <c r="I918" t="s">
        <v>991</v>
      </c>
      <c r="J918" s="5">
        <v>-3038.3</v>
      </c>
      <c r="K918" s="4">
        <v>488590.85</v>
      </c>
      <c r="L918" t="s">
        <v>27</v>
      </c>
      <c r="M918" s="5">
        <v>-3038.3</v>
      </c>
      <c r="N918" s="3">
        <v>0</v>
      </c>
      <c r="O918" t="s">
        <v>1657</v>
      </c>
      <c r="P918" t="s">
        <v>1457</v>
      </c>
      <c r="Q918" t="s">
        <v>1660</v>
      </c>
      <c r="R918" t="str">
        <f t="shared" si="29"/>
        <v>Sim</v>
      </c>
      <c r="S918" t="s">
        <v>1660</v>
      </c>
      <c r="T918" t="s">
        <v>30</v>
      </c>
      <c r="U918" t="s">
        <v>323</v>
      </c>
      <c r="V918" s="3">
        <v>-3038.3</v>
      </c>
      <c r="W918" t="s">
        <v>1164</v>
      </c>
      <c r="X918" s="3">
        <v>-3038.3</v>
      </c>
    </row>
    <row r="919" spans="1:24" s="2" customFormat="1" x14ac:dyDescent="0.2">
      <c r="A919">
        <v>919</v>
      </c>
      <c r="B919"/>
      <c r="C919" t="s">
        <v>153</v>
      </c>
      <c r="D919" t="s">
        <v>1585</v>
      </c>
      <c r="E919" t="s">
        <v>398</v>
      </c>
      <c r="F919" t="s">
        <v>63</v>
      </c>
      <c r="G919" t="s">
        <v>25</v>
      </c>
      <c r="H919" t="str">
        <f t="shared" si="28"/>
        <v xml:space="preserve">SODEXO - ELIANE | Recorrência:2/12 | Observações: </v>
      </c>
      <c r="I919" t="s">
        <v>26</v>
      </c>
      <c r="J919" s="5">
        <v>-668.15</v>
      </c>
      <c r="K919" s="4">
        <v>487922.7</v>
      </c>
      <c r="L919" t="s">
        <v>27</v>
      </c>
      <c r="M919" s="5">
        <v>-668.15</v>
      </c>
      <c r="N919" s="3">
        <v>0</v>
      </c>
      <c r="O919" t="s">
        <v>1657</v>
      </c>
      <c r="P919" t="s">
        <v>1639</v>
      </c>
      <c r="Q919" t="s">
        <v>1657</v>
      </c>
      <c r="R919" t="str">
        <f t="shared" si="29"/>
        <v>Sim</v>
      </c>
      <c r="S919" t="s">
        <v>1657</v>
      </c>
      <c r="T919" t="s">
        <v>30</v>
      </c>
      <c r="U919" t="s">
        <v>93</v>
      </c>
      <c r="V919" s="3">
        <v>-668.15</v>
      </c>
      <c r="W919" t="s">
        <v>331</v>
      </c>
      <c r="X919" s="3">
        <v>-668.15</v>
      </c>
    </row>
    <row r="920" spans="1:24" s="2" customFormat="1" x14ac:dyDescent="0.2">
      <c r="A920" s="2">
        <v>920</v>
      </c>
      <c r="B920"/>
      <c r="C920" t="s">
        <v>153</v>
      </c>
      <c r="D920" t="s">
        <v>1663</v>
      </c>
      <c r="E920" t="s">
        <v>30</v>
      </c>
      <c r="F920" t="s">
        <v>63</v>
      </c>
      <c r="G920" t="s">
        <v>25</v>
      </c>
      <c r="H920" t="str">
        <f t="shared" si="28"/>
        <v xml:space="preserve">3/10 - ELIANE - VALE TRANSPORTE  referente março | Recorrência: | Observações: </v>
      </c>
      <c r="I920" t="s">
        <v>991</v>
      </c>
      <c r="J920" s="5">
        <v>-404.8</v>
      </c>
      <c r="K920" s="4">
        <v>487517.9</v>
      </c>
      <c r="L920" t="s">
        <v>27</v>
      </c>
      <c r="M920" s="5">
        <v>-404.8</v>
      </c>
      <c r="N920" s="3">
        <v>0</v>
      </c>
      <c r="O920" t="s">
        <v>1657</v>
      </c>
      <c r="P920" t="s">
        <v>1500</v>
      </c>
      <c r="Q920" t="s">
        <v>1657</v>
      </c>
      <c r="R920" t="str">
        <f t="shared" si="29"/>
        <v>Sim</v>
      </c>
      <c r="S920" t="s">
        <v>1657</v>
      </c>
      <c r="T920" t="s">
        <v>30</v>
      </c>
      <c r="U920" t="s">
        <v>698</v>
      </c>
      <c r="V920" s="3">
        <v>-404.8</v>
      </c>
      <c r="W920" t="s">
        <v>698</v>
      </c>
      <c r="X920" s="3">
        <v>-404.8</v>
      </c>
    </row>
    <row r="921" spans="1:24" s="2" customFormat="1" x14ac:dyDescent="0.2">
      <c r="A921">
        <v>921</v>
      </c>
      <c r="B921"/>
      <c r="C921" t="s">
        <v>153</v>
      </c>
      <c r="D921" t="s">
        <v>1579</v>
      </c>
      <c r="E921" t="s">
        <v>471</v>
      </c>
      <c r="F921" t="s">
        <v>63</v>
      </c>
      <c r="G921" t="s">
        <v>25</v>
      </c>
      <c r="H921" t="str">
        <f t="shared" si="28"/>
        <v xml:space="preserve">SALÁRIO ELIANE  | Recorrência:3/12 | Observações: </v>
      </c>
      <c r="I921" t="s">
        <v>491</v>
      </c>
      <c r="J921" s="5">
        <v>-1614.96</v>
      </c>
      <c r="K921" s="4">
        <v>485902.94</v>
      </c>
      <c r="L921" t="s">
        <v>27</v>
      </c>
      <c r="M921" s="5">
        <v>-1614.96</v>
      </c>
      <c r="N921" s="3">
        <v>0</v>
      </c>
      <c r="O921" t="s">
        <v>1657</v>
      </c>
      <c r="P921" t="s">
        <v>1664</v>
      </c>
      <c r="Q921" t="s">
        <v>1657</v>
      </c>
      <c r="R921" t="str">
        <f t="shared" si="29"/>
        <v>Sim</v>
      </c>
      <c r="S921" t="s">
        <v>1657</v>
      </c>
      <c r="T921" t="s">
        <v>30</v>
      </c>
      <c r="U921" t="s">
        <v>323</v>
      </c>
      <c r="V921" s="3">
        <v>-1614.96</v>
      </c>
      <c r="W921" t="s">
        <v>1164</v>
      </c>
      <c r="X921" s="3">
        <v>-1614.96</v>
      </c>
    </row>
    <row r="922" spans="1:24" s="2" customFormat="1" x14ac:dyDescent="0.2">
      <c r="A922" s="2">
        <v>922</v>
      </c>
      <c r="B922"/>
      <c r="C922" t="s">
        <v>153</v>
      </c>
      <c r="D922" t="s">
        <v>1665</v>
      </c>
      <c r="E922" t="s">
        <v>30</v>
      </c>
      <c r="F922" t="s">
        <v>63</v>
      </c>
      <c r="G922" t="s">
        <v>25</v>
      </c>
      <c r="H922" t="str">
        <f t="shared" si="28"/>
        <v xml:space="preserve">3/12 - PRÓ LABORE MAYARA 3/12 | Recorrência: | Observações: </v>
      </c>
      <c r="I922" t="s">
        <v>491</v>
      </c>
      <c r="J922" s="5">
        <v>-15000</v>
      </c>
      <c r="K922" s="4">
        <v>470902.94</v>
      </c>
      <c r="L922" t="s">
        <v>27</v>
      </c>
      <c r="M922" s="5">
        <v>-15000</v>
      </c>
      <c r="N922" s="3">
        <v>0</v>
      </c>
      <c r="O922" t="s">
        <v>1657</v>
      </c>
      <c r="P922" t="s">
        <v>1457</v>
      </c>
      <c r="Q922" t="s">
        <v>1660</v>
      </c>
      <c r="R922" t="str">
        <f t="shared" si="29"/>
        <v>Sim</v>
      </c>
      <c r="S922" t="s">
        <v>1660</v>
      </c>
      <c r="T922" t="s">
        <v>30</v>
      </c>
      <c r="U922" t="s">
        <v>631</v>
      </c>
      <c r="V922" s="3">
        <v>-15000</v>
      </c>
      <c r="W922" t="s">
        <v>1164</v>
      </c>
      <c r="X922" s="3">
        <v>-15000</v>
      </c>
    </row>
    <row r="923" spans="1:24" s="2" customFormat="1" x14ac:dyDescent="0.2">
      <c r="A923">
        <v>923</v>
      </c>
      <c r="B923"/>
      <c r="C923" t="s">
        <v>153</v>
      </c>
      <c r="D923" t="s">
        <v>1666</v>
      </c>
      <c r="E923" t="s">
        <v>30</v>
      </c>
      <c r="F923" t="s">
        <v>63</v>
      </c>
      <c r="G923" t="s">
        <v>25</v>
      </c>
      <c r="H923" t="str">
        <f t="shared" si="28"/>
        <v xml:space="preserve">3/12 - PRÓ LABORE - NATASHA 3/12 | Recorrência: | Observações: </v>
      </c>
      <c r="I923" t="s">
        <v>491</v>
      </c>
      <c r="J923" s="5">
        <v>-15000</v>
      </c>
      <c r="K923" s="4">
        <v>455902.94</v>
      </c>
      <c r="L923" t="s">
        <v>27</v>
      </c>
      <c r="M923" s="5">
        <v>-15000</v>
      </c>
      <c r="N923" s="3">
        <v>0</v>
      </c>
      <c r="O923" t="s">
        <v>1657</v>
      </c>
      <c r="P923" t="s">
        <v>1457</v>
      </c>
      <c r="Q923" t="s">
        <v>1660</v>
      </c>
      <c r="R923" t="str">
        <f t="shared" si="29"/>
        <v>Sim</v>
      </c>
      <c r="S923" t="s">
        <v>1660</v>
      </c>
      <c r="T923" t="s">
        <v>30</v>
      </c>
      <c r="U923" t="s">
        <v>631</v>
      </c>
      <c r="V923" s="3">
        <v>-15000</v>
      </c>
      <c r="W923" t="s">
        <v>1164</v>
      </c>
      <c r="X923" s="3">
        <v>-15000</v>
      </c>
    </row>
    <row r="924" spans="1:24" s="2" customFormat="1" x14ac:dyDescent="0.2">
      <c r="A924" s="2">
        <v>924</v>
      </c>
      <c r="B924"/>
      <c r="C924" t="s">
        <v>153</v>
      </c>
      <c r="D924" t="s">
        <v>1667</v>
      </c>
      <c r="E924" t="s">
        <v>398</v>
      </c>
      <c r="F924" t="s">
        <v>63</v>
      </c>
      <c r="G924" t="s">
        <v>25</v>
      </c>
      <c r="H924" t="str">
        <f t="shared" si="28"/>
        <v>DIÁRIAS  JULIANA SOARES - REFERENTE FEVEREIRO | Recorrência:2/12 | Observações: DIÁRIAS: 03-11-18 E 26 JANEIRO</v>
      </c>
      <c r="I924" t="s">
        <v>491</v>
      </c>
      <c r="J924" s="5">
        <v>-480</v>
      </c>
      <c r="K924" s="4">
        <v>455422.94</v>
      </c>
      <c r="L924" t="s">
        <v>27</v>
      </c>
      <c r="M924" s="5">
        <v>-480</v>
      </c>
      <c r="N924" s="3">
        <v>0</v>
      </c>
      <c r="O924" t="s">
        <v>1657</v>
      </c>
      <c r="P924" t="s">
        <v>1572</v>
      </c>
      <c r="Q924" t="s">
        <v>1639</v>
      </c>
      <c r="R924" t="str">
        <f t="shared" si="29"/>
        <v>Sim</v>
      </c>
      <c r="S924" t="s">
        <v>1639</v>
      </c>
      <c r="T924" t="s">
        <v>1668</v>
      </c>
      <c r="U924" t="s">
        <v>691</v>
      </c>
      <c r="V924" s="3">
        <v>-480</v>
      </c>
      <c r="W924" t="s">
        <v>1058</v>
      </c>
      <c r="X924" s="3">
        <v>-480</v>
      </c>
    </row>
    <row r="925" spans="1:24" s="2" customFormat="1" x14ac:dyDescent="0.2">
      <c r="A925">
        <v>925</v>
      </c>
      <c r="B925"/>
      <c r="C925" t="s">
        <v>917</v>
      </c>
      <c r="D925" t="s">
        <v>1669</v>
      </c>
      <c r="E925" t="s">
        <v>30</v>
      </c>
      <c r="F925" t="s">
        <v>24</v>
      </c>
      <c r="G925" t="s">
        <v>25</v>
      </c>
      <c r="H925" t="str">
        <f t="shared" si="28"/>
        <v xml:space="preserve">GERENCIAMENTO DE PROJETO | Recorrência: | Observações: </v>
      </c>
      <c r="I925" t="s">
        <v>491</v>
      </c>
      <c r="J925" s="4">
        <v>4000</v>
      </c>
      <c r="K925" s="4">
        <v>459422.94</v>
      </c>
      <c r="L925" t="s">
        <v>27</v>
      </c>
      <c r="M925" s="4">
        <v>4000</v>
      </c>
      <c r="N925" s="3">
        <v>0</v>
      </c>
      <c r="O925" t="s">
        <v>1580</v>
      </c>
      <c r="P925" t="s">
        <v>1657</v>
      </c>
      <c r="Q925" t="s">
        <v>1580</v>
      </c>
      <c r="R925" t="str">
        <f t="shared" si="29"/>
        <v>Sim</v>
      </c>
      <c r="S925" t="s">
        <v>1580</v>
      </c>
      <c r="T925" t="s">
        <v>30</v>
      </c>
      <c r="U925" t="s">
        <v>274</v>
      </c>
      <c r="V925" s="3">
        <v>4000</v>
      </c>
      <c r="W925" t="s">
        <v>166</v>
      </c>
      <c r="X925" s="3">
        <v>4000</v>
      </c>
    </row>
    <row r="926" spans="1:24" s="2" customFormat="1" x14ac:dyDescent="0.2">
      <c r="A926" s="2">
        <v>926</v>
      </c>
      <c r="B926" t="s">
        <v>1581</v>
      </c>
      <c r="C926" t="s">
        <v>1582</v>
      </c>
      <c r="D926" t="s">
        <v>1670</v>
      </c>
      <c r="E926" t="s">
        <v>30</v>
      </c>
      <c r="F926" t="s">
        <v>24</v>
      </c>
      <c r="G926" t="s">
        <v>25</v>
      </c>
      <c r="H926" t="str">
        <f t="shared" si="28"/>
        <v xml:space="preserve">2/2 - PROJETO | Recorrência: | Observações: </v>
      </c>
      <c r="I926" t="s">
        <v>491</v>
      </c>
      <c r="J926" s="4">
        <v>3000</v>
      </c>
      <c r="K926" s="4">
        <v>462422.94</v>
      </c>
      <c r="L926" t="s">
        <v>27</v>
      </c>
      <c r="M926" s="4">
        <v>3000</v>
      </c>
      <c r="N926" s="3">
        <v>0</v>
      </c>
      <c r="O926" t="s">
        <v>1660</v>
      </c>
      <c r="P926" t="s">
        <v>1471</v>
      </c>
      <c r="Q926" t="s">
        <v>1657</v>
      </c>
      <c r="R926" t="str">
        <f t="shared" si="29"/>
        <v>Sim</v>
      </c>
      <c r="S926" t="s">
        <v>1657</v>
      </c>
      <c r="T926" t="s">
        <v>30</v>
      </c>
      <c r="U926" t="s">
        <v>31</v>
      </c>
      <c r="V926" s="3">
        <v>3000</v>
      </c>
      <c r="W926" t="s">
        <v>32</v>
      </c>
      <c r="X926" s="3">
        <v>3000</v>
      </c>
    </row>
    <row r="927" spans="1:24" s="2" customFormat="1" x14ac:dyDescent="0.2">
      <c r="A927">
        <v>927</v>
      </c>
      <c r="B927" t="s">
        <v>1048</v>
      </c>
      <c r="C927" t="s">
        <v>1049</v>
      </c>
      <c r="D927" t="s">
        <v>1595</v>
      </c>
      <c r="E927" t="s">
        <v>195</v>
      </c>
      <c r="F927" t="s">
        <v>24</v>
      </c>
      <c r="G927" t="s">
        <v>25</v>
      </c>
      <c r="H927" t="str">
        <f t="shared" si="28"/>
        <v xml:space="preserve">RT - LUCIENE GILMARCH | Recorrência:2/3 | Observações: </v>
      </c>
      <c r="I927" t="s">
        <v>491</v>
      </c>
      <c r="J927" s="4">
        <v>1500</v>
      </c>
      <c r="K927" s="4">
        <v>463922.94</v>
      </c>
      <c r="L927" t="s">
        <v>27</v>
      </c>
      <c r="M927" s="4">
        <v>1500</v>
      </c>
      <c r="N927" s="3">
        <v>0</v>
      </c>
      <c r="O927" t="s">
        <v>1660</v>
      </c>
      <c r="P927" t="s">
        <v>1660</v>
      </c>
      <c r="Q927" t="s">
        <v>1671</v>
      </c>
      <c r="R927" t="str">
        <f t="shared" si="29"/>
        <v>Sim</v>
      </c>
      <c r="S927" t="s">
        <v>1671</v>
      </c>
      <c r="T927" t="s">
        <v>30</v>
      </c>
      <c r="U927" t="s">
        <v>49</v>
      </c>
      <c r="V927" s="3">
        <v>1500</v>
      </c>
      <c r="W927" t="s">
        <v>494</v>
      </c>
      <c r="X927" s="3">
        <v>1500</v>
      </c>
    </row>
    <row r="928" spans="1:24" s="2" customFormat="1" x14ac:dyDescent="0.2">
      <c r="A928" s="2">
        <v>928</v>
      </c>
      <c r="B928" t="s">
        <v>1061</v>
      </c>
      <c r="C928" t="s">
        <v>1062</v>
      </c>
      <c r="D928" t="s">
        <v>1672</v>
      </c>
      <c r="E928" t="s">
        <v>30</v>
      </c>
      <c r="F928" t="s">
        <v>24</v>
      </c>
      <c r="G928" t="s">
        <v>25</v>
      </c>
      <c r="H928" t="str">
        <f t="shared" si="28"/>
        <v xml:space="preserve">RT GABRIELA BORGES - PEDIDO 169493 | Recorrência: | Observações: </v>
      </c>
      <c r="I928" t="s">
        <v>491</v>
      </c>
      <c r="J928" s="4">
        <v>1549.5</v>
      </c>
      <c r="K928" s="4">
        <v>465472.44</v>
      </c>
      <c r="L928" t="s">
        <v>27</v>
      </c>
      <c r="M928" s="4">
        <v>1549.5</v>
      </c>
      <c r="N928" s="3">
        <v>0</v>
      </c>
      <c r="O928" t="s">
        <v>1660</v>
      </c>
      <c r="P928" t="s">
        <v>1639</v>
      </c>
      <c r="Q928" t="s">
        <v>1660</v>
      </c>
      <c r="R928" t="str">
        <f t="shared" si="29"/>
        <v>Sim</v>
      </c>
      <c r="S928" t="s">
        <v>1660</v>
      </c>
      <c r="T928" t="s">
        <v>30</v>
      </c>
      <c r="U928" t="s">
        <v>49</v>
      </c>
      <c r="V928" s="3">
        <v>1549.5</v>
      </c>
      <c r="W928" t="s">
        <v>494</v>
      </c>
      <c r="X928" s="3">
        <v>1549.5</v>
      </c>
    </row>
    <row r="929" spans="1:24" s="2" customFormat="1" x14ac:dyDescent="0.2">
      <c r="A929">
        <v>929</v>
      </c>
      <c r="B929" t="s">
        <v>1673</v>
      </c>
      <c r="C929" t="s">
        <v>1674</v>
      </c>
      <c r="D929" t="s">
        <v>1675</v>
      </c>
      <c r="E929" t="s">
        <v>30</v>
      </c>
      <c r="F929" t="s">
        <v>24</v>
      </c>
      <c r="G929" t="s">
        <v>25</v>
      </c>
      <c r="H929" t="str">
        <f t="shared" si="28"/>
        <v xml:space="preserve">RT PEDIDO 23970323 - TIAGO KOCH | Recorrência: | Observações: RT 10% &gt; NF opcional </v>
      </c>
      <c r="I929" t="s">
        <v>1113</v>
      </c>
      <c r="J929" s="4">
        <v>2062</v>
      </c>
      <c r="K929" s="4">
        <v>467534.44</v>
      </c>
      <c r="L929" t="s">
        <v>27</v>
      </c>
      <c r="M929" s="4">
        <v>2062</v>
      </c>
      <c r="N929" s="3">
        <v>0</v>
      </c>
      <c r="O929" t="s">
        <v>1660</v>
      </c>
      <c r="P929" t="s">
        <v>1660</v>
      </c>
      <c r="Q929" t="s">
        <v>1660</v>
      </c>
      <c r="R929" t="str">
        <f t="shared" si="29"/>
        <v>Sim</v>
      </c>
      <c r="S929" t="s">
        <v>1660</v>
      </c>
      <c r="T929" t="s">
        <v>1676</v>
      </c>
      <c r="U929" t="s">
        <v>49</v>
      </c>
      <c r="V929" s="3">
        <v>2062</v>
      </c>
      <c r="W929" t="s">
        <v>494</v>
      </c>
      <c r="X929" s="3">
        <v>2062</v>
      </c>
    </row>
    <row r="930" spans="1:24" s="2" customFormat="1" x14ac:dyDescent="0.2">
      <c r="A930" s="2">
        <v>930</v>
      </c>
      <c r="B930" t="s">
        <v>1677</v>
      </c>
      <c r="C930" t="s">
        <v>1678</v>
      </c>
      <c r="D930" t="s">
        <v>1679</v>
      </c>
      <c r="E930" t="s">
        <v>67</v>
      </c>
      <c r="F930" t="s">
        <v>24</v>
      </c>
      <c r="G930" t="s">
        <v>25</v>
      </c>
      <c r="H930" t="str">
        <f t="shared" si="28"/>
        <v xml:space="preserve">PROJETO - QUARTOS_FILHOS | Recorrência:1/2 | Observações: </v>
      </c>
      <c r="I930" t="s">
        <v>991</v>
      </c>
      <c r="J930" s="4">
        <v>3500</v>
      </c>
      <c r="K930" s="4">
        <v>471034.44</v>
      </c>
      <c r="L930" t="s">
        <v>27</v>
      </c>
      <c r="M930" s="4">
        <v>3500</v>
      </c>
      <c r="N930" s="3">
        <v>0</v>
      </c>
      <c r="O930" t="s">
        <v>1660</v>
      </c>
      <c r="P930" t="s">
        <v>1657</v>
      </c>
      <c r="Q930" t="s">
        <v>1660</v>
      </c>
      <c r="R930" t="str">
        <f t="shared" si="29"/>
        <v>Sim</v>
      </c>
      <c r="S930" t="s">
        <v>1660</v>
      </c>
      <c r="T930" t="s">
        <v>30</v>
      </c>
      <c r="U930" t="s">
        <v>31</v>
      </c>
      <c r="V930" s="3">
        <v>3500</v>
      </c>
      <c r="W930" t="s">
        <v>32</v>
      </c>
      <c r="X930" s="3">
        <v>3500</v>
      </c>
    </row>
    <row r="931" spans="1:24" s="2" customFormat="1" x14ac:dyDescent="0.2">
      <c r="A931">
        <v>931</v>
      </c>
      <c r="B931"/>
      <c r="C931" t="s">
        <v>574</v>
      </c>
      <c r="D931" t="s">
        <v>1533</v>
      </c>
      <c r="E931" t="s">
        <v>471</v>
      </c>
      <c r="F931" t="s">
        <v>63</v>
      </c>
      <c r="G931" t="s">
        <v>25</v>
      </c>
      <c r="H931" t="str">
        <f t="shared" si="28"/>
        <v xml:space="preserve">CONDOMINIO + ALUGUEL | Recorrência:3/12 | Observações: </v>
      </c>
      <c r="I931" t="s">
        <v>26</v>
      </c>
      <c r="J931" s="5">
        <v>-5295.56</v>
      </c>
      <c r="K931" s="4">
        <v>465738.88</v>
      </c>
      <c r="L931" t="s">
        <v>27</v>
      </c>
      <c r="M931" s="5">
        <v>-5295.56</v>
      </c>
      <c r="N931" s="3">
        <v>0</v>
      </c>
      <c r="O931" t="s">
        <v>1680</v>
      </c>
      <c r="P931" t="s">
        <v>1681</v>
      </c>
      <c r="Q931" t="s">
        <v>1680</v>
      </c>
      <c r="R931" t="str">
        <f t="shared" si="29"/>
        <v>Sim</v>
      </c>
      <c r="S931" t="s">
        <v>1680</v>
      </c>
      <c r="T931" t="s">
        <v>30</v>
      </c>
      <c r="U931" t="s">
        <v>571</v>
      </c>
      <c r="V931" s="3">
        <v>-5295.56</v>
      </c>
      <c r="W931" t="s">
        <v>1058</v>
      </c>
      <c r="X931" s="3">
        <v>-5295.56</v>
      </c>
    </row>
    <row r="932" spans="1:24" s="2" customFormat="1" x14ac:dyDescent="0.2">
      <c r="A932" s="2">
        <v>932</v>
      </c>
      <c r="B932"/>
      <c r="C932" t="s">
        <v>153</v>
      </c>
      <c r="D932" t="s">
        <v>1682</v>
      </c>
      <c r="E932" t="s">
        <v>38</v>
      </c>
      <c r="F932" t="s">
        <v>63</v>
      </c>
      <c r="G932" t="s">
        <v>25</v>
      </c>
      <c r="H932" t="str">
        <f t="shared" si="28"/>
        <v xml:space="preserve">BIANCA SANTOS DE FREITAS - CHAVE PIX  23717205854 | Recorrência:1/3 | Observações: </v>
      </c>
      <c r="I932" t="s">
        <v>491</v>
      </c>
      <c r="J932" s="5">
        <v>-1000</v>
      </c>
      <c r="K932" s="4">
        <v>464738.88</v>
      </c>
      <c r="L932" t="s">
        <v>27</v>
      </c>
      <c r="M932" s="5">
        <v>-1000</v>
      </c>
      <c r="N932" s="3">
        <v>0</v>
      </c>
      <c r="O932" t="s">
        <v>1671</v>
      </c>
      <c r="P932" t="s">
        <v>1671</v>
      </c>
      <c r="Q932" t="s">
        <v>1671</v>
      </c>
      <c r="R932" t="str">
        <f t="shared" si="29"/>
        <v>Sim</v>
      </c>
      <c r="S932" t="s">
        <v>1671</v>
      </c>
      <c r="T932" t="s">
        <v>30</v>
      </c>
      <c r="U932" t="s">
        <v>344</v>
      </c>
      <c r="V932" s="3">
        <v>-1000</v>
      </c>
      <c r="W932" t="s">
        <v>1058</v>
      </c>
      <c r="X932" s="3">
        <v>-1000</v>
      </c>
    </row>
    <row r="933" spans="1:24" s="2" customFormat="1" x14ac:dyDescent="0.2">
      <c r="A933">
        <v>933</v>
      </c>
      <c r="B933" t="s">
        <v>647</v>
      </c>
      <c r="C933" t="s">
        <v>648</v>
      </c>
      <c r="D933" t="s">
        <v>1683</v>
      </c>
      <c r="E933" t="s">
        <v>30</v>
      </c>
      <c r="F933" t="s">
        <v>63</v>
      </c>
      <c r="G933" t="s">
        <v>25</v>
      </c>
      <c r="H933" t="str">
        <f t="shared" si="28"/>
        <v xml:space="preserve">3/12 - FGTS 3/12 | Recorrência: | Observações: </v>
      </c>
      <c r="I933" t="s">
        <v>26</v>
      </c>
      <c r="J933" s="5">
        <v>-140.25</v>
      </c>
      <c r="K933" s="4">
        <v>464598.63</v>
      </c>
      <c r="L933" t="s">
        <v>27</v>
      </c>
      <c r="M933" s="5">
        <v>-140.25</v>
      </c>
      <c r="N933" s="3">
        <v>0</v>
      </c>
      <c r="O933" t="s">
        <v>1671</v>
      </c>
      <c r="P933" t="s">
        <v>1469</v>
      </c>
      <c r="Q933" t="s">
        <v>1671</v>
      </c>
      <c r="R933" t="str">
        <f t="shared" si="29"/>
        <v>Sim</v>
      </c>
      <c r="S933" t="s">
        <v>1671</v>
      </c>
      <c r="T933" t="s">
        <v>30</v>
      </c>
      <c r="U933" t="s">
        <v>1531</v>
      </c>
      <c r="V933" s="3">
        <v>-140.25</v>
      </c>
    </row>
    <row r="934" spans="1:24" s="2" customFormat="1" x14ac:dyDescent="0.2">
      <c r="A934" s="2">
        <v>934</v>
      </c>
      <c r="B934"/>
      <c r="C934" t="s">
        <v>1141</v>
      </c>
      <c r="D934" t="s">
        <v>1669</v>
      </c>
      <c r="E934" t="s">
        <v>38</v>
      </c>
      <c r="F934" t="s">
        <v>24</v>
      </c>
      <c r="G934" t="s">
        <v>25</v>
      </c>
      <c r="H934" t="str">
        <f t="shared" si="28"/>
        <v xml:space="preserve">GERENCIAMENTO DE PROJETO | Recorrência:1/3 | Observações: </v>
      </c>
      <c r="I934" t="s">
        <v>491</v>
      </c>
      <c r="J934" s="4">
        <v>2000</v>
      </c>
      <c r="K934" s="4">
        <v>466598.63</v>
      </c>
      <c r="L934" t="s">
        <v>27</v>
      </c>
      <c r="M934" s="4">
        <v>2000</v>
      </c>
      <c r="N934" s="3">
        <v>0</v>
      </c>
      <c r="O934" t="s">
        <v>1684</v>
      </c>
      <c r="P934" t="s">
        <v>1684</v>
      </c>
      <c r="Q934" t="s">
        <v>1684</v>
      </c>
      <c r="R934" t="str">
        <f t="shared" si="29"/>
        <v>Sim</v>
      </c>
      <c r="S934" t="s">
        <v>1684</v>
      </c>
      <c r="T934" t="s">
        <v>30</v>
      </c>
      <c r="U934" t="s">
        <v>274</v>
      </c>
      <c r="V934" s="3">
        <v>2000</v>
      </c>
      <c r="W934" t="s">
        <v>166</v>
      </c>
      <c r="X934" s="3">
        <v>2000</v>
      </c>
    </row>
    <row r="935" spans="1:24" s="2" customFormat="1" x14ac:dyDescent="0.2">
      <c r="A935">
        <v>935</v>
      </c>
      <c r="B935" t="s">
        <v>1304</v>
      </c>
      <c r="C935" t="s">
        <v>1305</v>
      </c>
      <c r="D935" t="s">
        <v>1685</v>
      </c>
      <c r="E935" t="s">
        <v>73</v>
      </c>
      <c r="F935" t="s">
        <v>24</v>
      </c>
      <c r="G935" t="s">
        <v>25</v>
      </c>
      <c r="H935" t="str">
        <f t="shared" si="28"/>
        <v xml:space="preserve">RT PROJETO TIAGO KOCHI - ORÇ 0115/22 | Recorrência:1/5 | Observações: </v>
      </c>
      <c r="I935" t="s">
        <v>491</v>
      </c>
      <c r="J935" s="4">
        <v>7116</v>
      </c>
      <c r="K935" s="4">
        <v>473714.63</v>
      </c>
      <c r="L935" t="s">
        <v>27</v>
      </c>
      <c r="M935" s="4">
        <v>7116</v>
      </c>
      <c r="N935" s="3">
        <v>0</v>
      </c>
      <c r="O935" t="s">
        <v>1684</v>
      </c>
      <c r="P935" t="s">
        <v>1684</v>
      </c>
      <c r="Q935" t="s">
        <v>1684</v>
      </c>
      <c r="R935" t="str">
        <f t="shared" si="29"/>
        <v>Sim</v>
      </c>
      <c r="S935" t="s">
        <v>1684</v>
      </c>
      <c r="T935" t="s">
        <v>30</v>
      </c>
      <c r="U935" t="s">
        <v>49</v>
      </c>
      <c r="V935" s="3">
        <v>7116</v>
      </c>
      <c r="W935" t="s">
        <v>494</v>
      </c>
      <c r="X935" s="3">
        <v>7116</v>
      </c>
    </row>
    <row r="936" spans="1:24" s="2" customFormat="1" x14ac:dyDescent="0.2">
      <c r="A936" s="2">
        <v>936</v>
      </c>
      <c r="B936" t="s">
        <v>1607</v>
      </c>
      <c r="C936" t="s">
        <v>1608</v>
      </c>
      <c r="D936" t="s">
        <v>1686</v>
      </c>
      <c r="E936" t="s">
        <v>30</v>
      </c>
      <c r="F936" t="s">
        <v>24</v>
      </c>
      <c r="G936" t="s">
        <v>25</v>
      </c>
      <c r="H936" t="str">
        <f t="shared" si="28"/>
        <v xml:space="preserve">RT PEDIDO 6866 - LUCIENE GIL MARCHI | Recorrência: | Observações: </v>
      </c>
      <c r="I936" t="s">
        <v>491</v>
      </c>
      <c r="J936" s="4">
        <v>454.2</v>
      </c>
      <c r="K936" s="4">
        <v>474168.83</v>
      </c>
      <c r="L936" t="s">
        <v>27</v>
      </c>
      <c r="M936" s="4">
        <v>454.2</v>
      </c>
      <c r="N936" s="3">
        <v>0</v>
      </c>
      <c r="O936" t="s">
        <v>1599</v>
      </c>
      <c r="P936" t="s">
        <v>1687</v>
      </c>
      <c r="Q936" t="s">
        <v>1599</v>
      </c>
      <c r="R936" t="str">
        <f t="shared" si="29"/>
        <v>Sim</v>
      </c>
      <c r="S936" t="s">
        <v>1599</v>
      </c>
      <c r="T936" t="s">
        <v>30</v>
      </c>
      <c r="U936" t="s">
        <v>49</v>
      </c>
      <c r="V936" s="3">
        <v>454.2</v>
      </c>
      <c r="W936" t="s">
        <v>494</v>
      </c>
      <c r="X936" s="3">
        <v>454.2</v>
      </c>
    </row>
    <row r="937" spans="1:24" s="2" customFormat="1" x14ac:dyDescent="0.2">
      <c r="A937">
        <v>937</v>
      </c>
      <c r="B937" t="s">
        <v>1536</v>
      </c>
      <c r="C937" t="s">
        <v>666</v>
      </c>
      <c r="D937" t="s">
        <v>667</v>
      </c>
      <c r="E937" t="s">
        <v>471</v>
      </c>
      <c r="F937" t="s">
        <v>63</v>
      </c>
      <c r="G937" t="s">
        <v>25</v>
      </c>
      <c r="H937" t="str">
        <f t="shared" si="28"/>
        <v xml:space="preserve">TELEFONIA E INTERNET | Recorrência:3/12 | Observações: </v>
      </c>
      <c r="I937" t="s">
        <v>26</v>
      </c>
      <c r="J937" s="5">
        <v>-130.09</v>
      </c>
      <c r="K937" s="4">
        <v>474038.74</v>
      </c>
      <c r="L937" t="s">
        <v>27</v>
      </c>
      <c r="M937" s="5">
        <v>-130.09</v>
      </c>
      <c r="N937" s="3">
        <v>0</v>
      </c>
      <c r="O937" t="s">
        <v>1599</v>
      </c>
      <c r="P937" t="s">
        <v>1557</v>
      </c>
      <c r="Q937" t="s">
        <v>1599</v>
      </c>
      <c r="R937" t="str">
        <f t="shared" si="29"/>
        <v>Sim</v>
      </c>
      <c r="S937" t="s">
        <v>1599</v>
      </c>
      <c r="T937" t="s">
        <v>30</v>
      </c>
      <c r="U937" t="s">
        <v>670</v>
      </c>
      <c r="V937" s="3">
        <v>-130.09</v>
      </c>
      <c r="W937" t="s">
        <v>324</v>
      </c>
      <c r="X937" s="3">
        <v>-130.09</v>
      </c>
    </row>
    <row r="938" spans="1:24" s="2" customFormat="1" x14ac:dyDescent="0.2">
      <c r="A938" s="2">
        <v>938</v>
      </c>
      <c r="B938" t="s">
        <v>647</v>
      </c>
      <c r="C938" t="s">
        <v>648</v>
      </c>
      <c r="D938" t="s">
        <v>1688</v>
      </c>
      <c r="E938" t="s">
        <v>30</v>
      </c>
      <c r="F938" t="s">
        <v>63</v>
      </c>
      <c r="G938" t="s">
        <v>25</v>
      </c>
      <c r="H938" t="str">
        <f t="shared" si="28"/>
        <v xml:space="preserve">3/35 - DARF ISS 3/36 | Recorrência: | Observações: </v>
      </c>
      <c r="I938" t="s">
        <v>26</v>
      </c>
      <c r="J938" s="5">
        <v>-446.24</v>
      </c>
      <c r="K938" s="4">
        <v>473592.5</v>
      </c>
      <c r="L938" t="s">
        <v>27</v>
      </c>
      <c r="M938" s="5">
        <v>-446.24</v>
      </c>
      <c r="N938" s="3">
        <v>0</v>
      </c>
      <c r="O938" t="s">
        <v>1646</v>
      </c>
      <c r="P938" t="s">
        <v>1474</v>
      </c>
      <c r="Q938" t="s">
        <v>1646</v>
      </c>
      <c r="R938" t="str">
        <f t="shared" si="29"/>
        <v>Sim</v>
      </c>
      <c r="S938" t="s">
        <v>1646</v>
      </c>
      <c r="T938" t="s">
        <v>30</v>
      </c>
      <c r="U938" t="s">
        <v>1098</v>
      </c>
      <c r="V938" s="3">
        <v>-446.24</v>
      </c>
      <c r="W938" t="s">
        <v>324</v>
      </c>
      <c r="X938" s="3">
        <v>-446.24</v>
      </c>
    </row>
    <row r="939" spans="1:24" s="2" customFormat="1" x14ac:dyDescent="0.2">
      <c r="A939">
        <v>939</v>
      </c>
      <c r="B939" t="s">
        <v>647</v>
      </c>
      <c r="C939" t="s">
        <v>648</v>
      </c>
      <c r="D939" t="s">
        <v>1544</v>
      </c>
      <c r="E939" t="s">
        <v>471</v>
      </c>
      <c r="F939" t="s">
        <v>63</v>
      </c>
      <c r="G939" t="s">
        <v>25</v>
      </c>
      <c r="H939" t="str">
        <f t="shared" si="28"/>
        <v xml:space="preserve">HONORARIOS CONTABEIS | Recorrência:3/12 | Observações: </v>
      </c>
      <c r="I939" t="s">
        <v>26</v>
      </c>
      <c r="J939" s="5">
        <v>-925</v>
      </c>
      <c r="K939" s="4">
        <v>472667.5</v>
      </c>
      <c r="L939" t="s">
        <v>27</v>
      </c>
      <c r="M939" s="5">
        <v>-925</v>
      </c>
      <c r="N939" s="3">
        <v>0</v>
      </c>
      <c r="O939" t="s">
        <v>1646</v>
      </c>
      <c r="P939" t="s">
        <v>1660</v>
      </c>
      <c r="Q939" t="s">
        <v>1646</v>
      </c>
      <c r="R939" t="str">
        <f t="shared" si="29"/>
        <v>Sim</v>
      </c>
      <c r="S939" t="s">
        <v>1646</v>
      </c>
      <c r="T939" t="s">
        <v>30</v>
      </c>
      <c r="U939" t="s">
        <v>608</v>
      </c>
      <c r="V939" s="3">
        <v>-925</v>
      </c>
      <c r="W939" t="s">
        <v>297</v>
      </c>
      <c r="X939" s="3">
        <v>-925</v>
      </c>
    </row>
    <row r="940" spans="1:24" s="2" customFormat="1" x14ac:dyDescent="0.2">
      <c r="A940" s="2">
        <v>940</v>
      </c>
      <c r="B940"/>
      <c r="C940" t="s">
        <v>710</v>
      </c>
      <c r="D940" t="s">
        <v>1689</v>
      </c>
      <c r="E940" t="s">
        <v>910</v>
      </c>
      <c r="F940" t="s">
        <v>63</v>
      </c>
      <c r="G940" t="s">
        <v>25</v>
      </c>
      <c r="H940" t="str">
        <f t="shared" si="28"/>
        <v>ELETROPAULO_ENERGIA _REFERENTE NOVEMBRO 2022 | Recorrência:10/12 | Observações: PENDENTE&gt;AGUARDANDO ANÁLISE DA ENEL &gt; PAGO DIA 10/03 REFERENTE A CONTA DO MÊS DE  NOVEMBRO/22 &gt; APÓS CONTESTAÇÃO DE VALORES RECEBIDOS COM PREÇOS ABUSIVOS</v>
      </c>
      <c r="I940" t="s">
        <v>26</v>
      </c>
      <c r="J940" s="5">
        <v>-385.55</v>
      </c>
      <c r="K940" s="4">
        <v>472281.95</v>
      </c>
      <c r="L940" t="s">
        <v>27</v>
      </c>
      <c r="M940" s="5">
        <v>-385.55</v>
      </c>
      <c r="N940" s="3">
        <v>0</v>
      </c>
      <c r="O940" t="s">
        <v>1646</v>
      </c>
      <c r="P940" t="s">
        <v>1269</v>
      </c>
      <c r="Q940" t="s">
        <v>1454</v>
      </c>
      <c r="R940" t="str">
        <f t="shared" si="29"/>
        <v>Sim</v>
      </c>
      <c r="S940" t="s">
        <v>1454</v>
      </c>
      <c r="T940" t="s">
        <v>1690</v>
      </c>
      <c r="U940" t="s">
        <v>125</v>
      </c>
      <c r="V940" s="3">
        <v>-385.55</v>
      </c>
      <c r="W940" t="s">
        <v>324</v>
      </c>
      <c r="X940" s="3">
        <v>-385.55</v>
      </c>
    </row>
    <row r="941" spans="1:24" s="2" customFormat="1" x14ac:dyDescent="0.2">
      <c r="A941">
        <v>941</v>
      </c>
      <c r="B941" t="s">
        <v>1088</v>
      </c>
      <c r="C941" t="s">
        <v>1089</v>
      </c>
      <c r="D941" t="s">
        <v>1691</v>
      </c>
      <c r="E941" t="s">
        <v>30</v>
      </c>
      <c r="F941" t="s">
        <v>24</v>
      </c>
      <c r="G941" t="s">
        <v>25</v>
      </c>
      <c r="H941" t="str">
        <f t="shared" si="28"/>
        <v xml:space="preserve">RT GABRIEL FIGUEIRA SOLLERO | Recorrência: | Observações: </v>
      </c>
      <c r="I941" t="s">
        <v>491</v>
      </c>
      <c r="J941" s="4">
        <v>1060</v>
      </c>
      <c r="K941" s="4">
        <v>473341.95</v>
      </c>
      <c r="L941" t="s">
        <v>27</v>
      </c>
      <c r="M941" s="4">
        <v>1060</v>
      </c>
      <c r="N941" s="3">
        <v>0</v>
      </c>
      <c r="O941" t="s">
        <v>1646</v>
      </c>
      <c r="P941" t="s">
        <v>1599</v>
      </c>
      <c r="Q941" t="s">
        <v>1646</v>
      </c>
      <c r="R941" t="str">
        <f t="shared" si="29"/>
        <v>Sim</v>
      </c>
      <c r="S941" t="s">
        <v>1646</v>
      </c>
      <c r="T941" t="s">
        <v>30</v>
      </c>
      <c r="U941" t="s">
        <v>49</v>
      </c>
      <c r="V941" s="3">
        <v>1060</v>
      </c>
      <c r="W941" t="s">
        <v>494</v>
      </c>
      <c r="X941" s="3">
        <v>1060</v>
      </c>
    </row>
    <row r="942" spans="1:24" s="2" customFormat="1" x14ac:dyDescent="0.2">
      <c r="A942" s="2">
        <v>942</v>
      </c>
      <c r="B942"/>
      <c r="C942" t="s">
        <v>710</v>
      </c>
      <c r="D942" t="s">
        <v>1692</v>
      </c>
      <c r="E942" t="s">
        <v>398</v>
      </c>
      <c r="F942" t="s">
        <v>63</v>
      </c>
      <c r="G942" t="s">
        <v>25</v>
      </c>
      <c r="H942" t="str">
        <f t="shared" si="28"/>
        <v xml:space="preserve">ENÉRGIA ELETRICA - REF A FEVEREIRO/2023 | Recorrência:2/12 | Observações: </v>
      </c>
      <c r="I942" t="s">
        <v>26</v>
      </c>
      <c r="J942" s="5">
        <v>-265.36</v>
      </c>
      <c r="K942" s="4">
        <v>473076.59</v>
      </c>
      <c r="L942" t="s">
        <v>27</v>
      </c>
      <c r="M942" s="5">
        <v>-265.36</v>
      </c>
      <c r="N942" s="3">
        <v>0</v>
      </c>
      <c r="O942" t="s">
        <v>1646</v>
      </c>
      <c r="P942" t="s">
        <v>1625</v>
      </c>
      <c r="Q942" t="s">
        <v>1580</v>
      </c>
      <c r="R942" t="str">
        <f t="shared" si="29"/>
        <v>nao</v>
      </c>
      <c r="S942" t="s">
        <v>1572</v>
      </c>
      <c r="T942" t="s">
        <v>30</v>
      </c>
      <c r="U942" t="s">
        <v>125</v>
      </c>
      <c r="V942" s="3">
        <v>-265.36</v>
      </c>
      <c r="W942" t="s">
        <v>125</v>
      </c>
      <c r="X942" s="3">
        <v>-265.36</v>
      </c>
    </row>
    <row r="943" spans="1:24" s="2" customFormat="1" x14ac:dyDescent="0.2">
      <c r="A943">
        <v>943</v>
      </c>
      <c r="B943"/>
      <c r="C943" t="s">
        <v>710</v>
      </c>
      <c r="D943" t="s">
        <v>1693</v>
      </c>
      <c r="E943" t="s">
        <v>955</v>
      </c>
      <c r="F943" t="s">
        <v>63</v>
      </c>
      <c r="G943" t="s">
        <v>25</v>
      </c>
      <c r="H943" t="str">
        <f t="shared" si="28"/>
        <v xml:space="preserve">ENERGIA ELÉTRICA REF NOVEMBRO 2022 | Recorrência:11/12 | Observações: </v>
      </c>
      <c r="I943" t="s">
        <v>26</v>
      </c>
      <c r="J943" s="5">
        <v>-385.55</v>
      </c>
      <c r="K943" s="4">
        <v>472691.04</v>
      </c>
      <c r="L943" t="s">
        <v>27</v>
      </c>
      <c r="M943" s="5">
        <v>-385.55</v>
      </c>
      <c r="N943" s="3">
        <v>0</v>
      </c>
      <c r="O943" t="s">
        <v>1646</v>
      </c>
      <c r="P943" t="s">
        <v>1319</v>
      </c>
      <c r="Q943" t="s">
        <v>1684</v>
      </c>
      <c r="R943" t="str">
        <f t="shared" si="29"/>
        <v>nao</v>
      </c>
      <c r="S943" t="s">
        <v>1694</v>
      </c>
      <c r="T943" t="s">
        <v>30</v>
      </c>
      <c r="U943" t="s">
        <v>125</v>
      </c>
      <c r="V943" s="3">
        <v>-385.55</v>
      </c>
      <c r="W943" t="s">
        <v>324</v>
      </c>
      <c r="X943" s="3">
        <v>-385.55</v>
      </c>
    </row>
    <row r="944" spans="1:24" s="2" customFormat="1" x14ac:dyDescent="0.2">
      <c r="A944" s="2">
        <v>944</v>
      </c>
      <c r="B944" t="s">
        <v>1227</v>
      </c>
      <c r="C944" t="s">
        <v>849</v>
      </c>
      <c r="D944" t="s">
        <v>1695</v>
      </c>
      <c r="E944" t="s">
        <v>30</v>
      </c>
      <c r="F944" t="s">
        <v>24</v>
      </c>
      <c r="G944" t="s">
        <v>25</v>
      </c>
      <c r="H944" t="str">
        <f t="shared" si="28"/>
        <v>RT PEDIDO 007213 - ELAINE VIOLINI | Recorrência: | Observações: RT 10% - PAGA-SE NO ULTIMO MÊS SUSEQUENTE  NA DATA DO PEDIDO 
Razão Social: CODEX HOME - DECOTAÇÃO LTDA 
CNPJ: 20.033.995/0001-02
Inscr. Municipal: 4.956.646-6
Endereço: AL. GABRIEL MONTEIRO DA SILVA, 338 - JD. AMÉRICA - SÃO PAULO-SP - CEP: 01442-000
Celular: 011 - 93200-0822 - Bruno (financeiro)
E-mail: codex@codexhome.com.br</v>
      </c>
      <c r="I944" t="s">
        <v>491</v>
      </c>
      <c r="J944" s="4">
        <v>183</v>
      </c>
      <c r="K944" s="4">
        <v>472874.04</v>
      </c>
      <c r="L944" t="s">
        <v>27</v>
      </c>
      <c r="M944" s="4">
        <v>183</v>
      </c>
      <c r="N944" s="3">
        <v>0</v>
      </c>
      <c r="O944" t="s">
        <v>1646</v>
      </c>
      <c r="P944" t="s">
        <v>1497</v>
      </c>
      <c r="Q944" t="s">
        <v>1646</v>
      </c>
      <c r="R944" t="str">
        <f t="shared" si="29"/>
        <v>nao</v>
      </c>
      <c r="S944" t="s">
        <v>1639</v>
      </c>
      <c r="T944" t="s">
        <v>1696</v>
      </c>
      <c r="U944" t="s">
        <v>49</v>
      </c>
      <c r="V944" s="3">
        <v>183</v>
      </c>
      <c r="W944" t="s">
        <v>494</v>
      </c>
      <c r="X944" s="3">
        <v>183</v>
      </c>
    </row>
    <row r="945" spans="1:24" s="2" customFormat="1" x14ac:dyDescent="0.2">
      <c r="A945">
        <v>945</v>
      </c>
      <c r="B945" t="s">
        <v>1048</v>
      </c>
      <c r="C945" t="s">
        <v>1049</v>
      </c>
      <c r="D945" t="s">
        <v>1697</v>
      </c>
      <c r="E945" t="s">
        <v>22</v>
      </c>
      <c r="F945" t="s">
        <v>24</v>
      </c>
      <c r="G945" t="s">
        <v>25</v>
      </c>
      <c r="H945" t="str">
        <f t="shared" si="28"/>
        <v>RT - ORÇ 0115122 - TIAGO KOCH | Recorrência:1/4 | Observações: PAGAMENTO RT SERÁ REALIZADO MEDIANTE AS CONDIÇÕES DE PAGAMENTO DO CLIENTE</v>
      </c>
      <c r="I945" t="s">
        <v>491</v>
      </c>
      <c r="J945" s="4">
        <v>4687.25</v>
      </c>
      <c r="K945" s="4">
        <v>477561.29</v>
      </c>
      <c r="L945" t="s">
        <v>27</v>
      </c>
      <c r="M945" s="4">
        <v>4687.25</v>
      </c>
      <c r="N945" s="3">
        <v>0</v>
      </c>
      <c r="O945" t="s">
        <v>1646</v>
      </c>
      <c r="P945" t="s">
        <v>1646</v>
      </c>
      <c r="Q945" t="s">
        <v>1646</v>
      </c>
      <c r="R945" t="str">
        <f t="shared" si="29"/>
        <v>Sim</v>
      </c>
      <c r="S945" t="s">
        <v>1646</v>
      </c>
      <c r="T945" t="s">
        <v>1698</v>
      </c>
      <c r="U945" t="s">
        <v>49</v>
      </c>
      <c r="V945" s="3">
        <v>4687.25</v>
      </c>
      <c r="W945" t="s">
        <v>494</v>
      </c>
      <c r="X945" s="3">
        <v>4687.25</v>
      </c>
    </row>
    <row r="946" spans="1:24" s="2" customFormat="1" x14ac:dyDescent="0.2">
      <c r="A946" s="2">
        <v>946</v>
      </c>
      <c r="B946"/>
      <c r="C946" t="s">
        <v>1611</v>
      </c>
      <c r="D946" t="s">
        <v>1700</v>
      </c>
      <c r="E946" t="s">
        <v>30</v>
      </c>
      <c r="F946" t="s">
        <v>24</v>
      </c>
      <c r="G946" t="s">
        <v>25</v>
      </c>
      <c r="H946" t="str">
        <f t="shared" si="28"/>
        <v xml:space="preserve">2/2 - PROJETO QUARTO BEBÊ | Recorrência: | Observações: </v>
      </c>
      <c r="I946" t="s">
        <v>491</v>
      </c>
      <c r="J946" s="4">
        <v>3500</v>
      </c>
      <c r="K946" s="4">
        <v>481061.29</v>
      </c>
      <c r="L946" t="s">
        <v>27</v>
      </c>
      <c r="M946" s="4">
        <v>3500</v>
      </c>
      <c r="N946" s="3">
        <v>0</v>
      </c>
      <c r="O946" t="s">
        <v>1699</v>
      </c>
      <c r="P946" t="s">
        <v>1534</v>
      </c>
      <c r="Q946" t="s">
        <v>1699</v>
      </c>
      <c r="R946" t="str">
        <f t="shared" si="29"/>
        <v>Sim</v>
      </c>
      <c r="S946" t="s">
        <v>1699</v>
      </c>
      <c r="T946" t="s">
        <v>30</v>
      </c>
      <c r="U946" t="s">
        <v>31</v>
      </c>
      <c r="V946" s="3">
        <v>3500</v>
      </c>
      <c r="W946" t="s">
        <v>32</v>
      </c>
      <c r="X946" s="3">
        <v>3500</v>
      </c>
    </row>
    <row r="947" spans="1:24" s="2" customFormat="1" x14ac:dyDescent="0.2">
      <c r="A947">
        <v>947</v>
      </c>
      <c r="B947" t="s">
        <v>1701</v>
      </c>
      <c r="C947" t="s">
        <v>1702</v>
      </c>
      <c r="D947" t="s">
        <v>1703</v>
      </c>
      <c r="E947" t="s">
        <v>30</v>
      </c>
      <c r="F947" t="s">
        <v>24</v>
      </c>
      <c r="G947" t="s">
        <v>25</v>
      </c>
      <c r="H947" t="str">
        <f t="shared" si="28"/>
        <v xml:space="preserve">RT PEDIDO MM1612A - LUCIENE GIL MARCH | Recorrência: | Observações: </v>
      </c>
      <c r="I947" t="s">
        <v>491</v>
      </c>
      <c r="J947" s="4">
        <v>1154.92</v>
      </c>
      <c r="K947" s="4">
        <v>482216.21</v>
      </c>
      <c r="L947" t="s">
        <v>27</v>
      </c>
      <c r="M947" s="4">
        <v>1154.92</v>
      </c>
      <c r="N947" s="3">
        <v>0</v>
      </c>
      <c r="O947" t="s">
        <v>1493</v>
      </c>
      <c r="P947" t="s">
        <v>1625</v>
      </c>
      <c r="Q947" t="s">
        <v>1639</v>
      </c>
      <c r="R947" t="str">
        <f t="shared" si="29"/>
        <v>Sim</v>
      </c>
      <c r="S947" t="s">
        <v>1639</v>
      </c>
      <c r="T947" t="s">
        <v>30</v>
      </c>
      <c r="U947" t="s">
        <v>49</v>
      </c>
      <c r="V947" s="3">
        <v>1154.92</v>
      </c>
      <c r="W947" t="s">
        <v>494</v>
      </c>
      <c r="X947" s="3">
        <v>1154.92</v>
      </c>
    </row>
    <row r="948" spans="1:24" s="2" customFormat="1" x14ac:dyDescent="0.2">
      <c r="A948" s="2">
        <v>948</v>
      </c>
      <c r="B948" t="s">
        <v>1619</v>
      </c>
      <c r="C948" t="s">
        <v>112</v>
      </c>
      <c r="D948" t="s">
        <v>1705</v>
      </c>
      <c r="E948" t="s">
        <v>30</v>
      </c>
      <c r="F948" t="s">
        <v>24</v>
      </c>
      <c r="G948" t="s">
        <v>25</v>
      </c>
      <c r="H948" t="str">
        <f t="shared" si="28"/>
        <v xml:space="preserve">RT DANI MATAVELLI | Recorrência: | Observações: </v>
      </c>
      <c r="I948" t="s">
        <v>491</v>
      </c>
      <c r="J948" s="4">
        <v>450</v>
      </c>
      <c r="K948" s="4">
        <v>482666.21</v>
      </c>
      <c r="L948" t="s">
        <v>27</v>
      </c>
      <c r="M948" s="4">
        <v>450</v>
      </c>
      <c r="N948" s="3">
        <v>0</v>
      </c>
      <c r="O948" t="s">
        <v>1704</v>
      </c>
      <c r="P948" t="s">
        <v>1704</v>
      </c>
      <c r="Q948" t="s">
        <v>1591</v>
      </c>
      <c r="R948" t="str">
        <f t="shared" si="29"/>
        <v>Sim</v>
      </c>
      <c r="S948" t="s">
        <v>1591</v>
      </c>
      <c r="T948" t="s">
        <v>30</v>
      </c>
      <c r="U948" t="s">
        <v>49</v>
      </c>
      <c r="V948" s="3">
        <v>450</v>
      </c>
      <c r="W948" t="s">
        <v>494</v>
      </c>
      <c r="X948" s="3">
        <v>450</v>
      </c>
    </row>
    <row r="949" spans="1:24" s="2" customFormat="1" x14ac:dyDescent="0.2">
      <c r="A949">
        <v>949</v>
      </c>
      <c r="B949" t="s">
        <v>1707</v>
      </c>
      <c r="C949" t="s">
        <v>1708</v>
      </c>
      <c r="D949" t="s">
        <v>1709</v>
      </c>
      <c r="E949" t="s">
        <v>30</v>
      </c>
      <c r="F949" t="s">
        <v>24</v>
      </c>
      <c r="G949" t="s">
        <v>25</v>
      </c>
      <c r="H949" t="str">
        <f t="shared" si="28"/>
        <v>RT PEDIDO 4248 - NF 262 - TIAGO KOCH E JULIANA | Recorrência: | Observações: PEDIDO REALIZADO COM NOME DA JULIANA IWAMOTO 
10%RT - COM NOTA ç
BEL COLORE INTERIORES LTDA
CNPJ 46.095.940/0001-02
IE - 134.902.434.116</v>
      </c>
      <c r="I949" t="s">
        <v>491</v>
      </c>
      <c r="J949" s="4">
        <v>1357.6</v>
      </c>
      <c r="K949" s="4">
        <v>484023.81</v>
      </c>
      <c r="L949" t="s">
        <v>27</v>
      </c>
      <c r="M949" s="4">
        <v>1357.6</v>
      </c>
      <c r="N949" s="3">
        <v>0</v>
      </c>
      <c r="O949" t="s">
        <v>1706</v>
      </c>
      <c r="P949" t="s">
        <v>1493</v>
      </c>
      <c r="Q949" t="s">
        <v>1706</v>
      </c>
      <c r="R949" t="str">
        <f t="shared" si="29"/>
        <v>nao</v>
      </c>
      <c r="S949" t="s">
        <v>1710</v>
      </c>
      <c r="T949" t="s">
        <v>1711</v>
      </c>
      <c r="U949" t="s">
        <v>49</v>
      </c>
      <c r="V949" s="3">
        <v>1357.6</v>
      </c>
      <c r="W949" t="s">
        <v>494</v>
      </c>
      <c r="X949" s="3">
        <v>1357.6</v>
      </c>
    </row>
    <row r="950" spans="1:24" s="2" customFormat="1" x14ac:dyDescent="0.2">
      <c r="A950" s="2">
        <v>950</v>
      </c>
      <c r="B950" t="s">
        <v>647</v>
      </c>
      <c r="C950" t="s">
        <v>648</v>
      </c>
      <c r="D950" t="s">
        <v>1713</v>
      </c>
      <c r="E950" t="s">
        <v>471</v>
      </c>
      <c r="F950" t="s">
        <v>63</v>
      </c>
      <c r="G950" t="s">
        <v>25</v>
      </c>
      <c r="H950" t="str">
        <f t="shared" si="28"/>
        <v xml:space="preserve">DARF COFINS -  | Recorrência:3/12 | Observações: </v>
      </c>
      <c r="I950" t="s">
        <v>26</v>
      </c>
      <c r="J950" s="5">
        <v>-124.87</v>
      </c>
      <c r="K950" s="4">
        <v>483898.94</v>
      </c>
      <c r="L950" t="s">
        <v>27</v>
      </c>
      <c r="M950" s="5">
        <v>-124.87</v>
      </c>
      <c r="N950" s="3">
        <v>0</v>
      </c>
      <c r="O950" t="s">
        <v>1712</v>
      </c>
      <c r="P950" t="s">
        <v>1647</v>
      </c>
      <c r="Q950" t="s">
        <v>1714</v>
      </c>
      <c r="R950" t="str">
        <f t="shared" si="29"/>
        <v>nao</v>
      </c>
      <c r="S950" t="s">
        <v>1710</v>
      </c>
      <c r="T950" t="s">
        <v>30</v>
      </c>
      <c r="U950" t="s">
        <v>1508</v>
      </c>
      <c r="V950" s="3">
        <v>-124.87</v>
      </c>
      <c r="W950" t="s">
        <v>297</v>
      </c>
      <c r="X950" s="3">
        <v>-124.87</v>
      </c>
    </row>
    <row r="951" spans="1:24" s="2" customFormat="1" x14ac:dyDescent="0.2">
      <c r="A951">
        <v>951</v>
      </c>
      <c r="B951" t="s">
        <v>647</v>
      </c>
      <c r="C951" t="s">
        <v>648</v>
      </c>
      <c r="D951" t="s">
        <v>1715</v>
      </c>
      <c r="E951" t="s">
        <v>471</v>
      </c>
      <c r="F951" t="s">
        <v>63</v>
      </c>
      <c r="G951" t="s">
        <v>25</v>
      </c>
      <c r="H951" t="str">
        <f t="shared" si="28"/>
        <v xml:space="preserve">DARF PIS | Recorrência:3/12 | Observações: </v>
      </c>
      <c r="I951" t="s">
        <v>26</v>
      </c>
      <c r="J951" s="5">
        <v>-27.06</v>
      </c>
      <c r="K951" s="4">
        <v>483871.88</v>
      </c>
      <c r="L951" t="s">
        <v>27</v>
      </c>
      <c r="M951" s="5">
        <v>-27.06</v>
      </c>
      <c r="N951" s="3">
        <v>0</v>
      </c>
      <c r="O951" t="s">
        <v>1712</v>
      </c>
      <c r="P951" t="s">
        <v>1639</v>
      </c>
      <c r="Q951" t="s">
        <v>1710</v>
      </c>
      <c r="R951" t="str">
        <f t="shared" si="29"/>
        <v>nao</v>
      </c>
      <c r="S951" t="s">
        <v>1657</v>
      </c>
      <c r="T951" t="s">
        <v>30</v>
      </c>
      <c r="U951" t="s">
        <v>1508</v>
      </c>
      <c r="V951" s="3">
        <v>-27.06</v>
      </c>
      <c r="W951" t="s">
        <v>297</v>
      </c>
      <c r="X951" s="3">
        <v>-27.06</v>
      </c>
    </row>
    <row r="952" spans="1:24" s="2" customFormat="1" x14ac:dyDescent="0.2">
      <c r="A952" s="2">
        <v>952</v>
      </c>
      <c r="B952" t="s">
        <v>647</v>
      </c>
      <c r="C952" t="s">
        <v>648</v>
      </c>
      <c r="D952" t="s">
        <v>1556</v>
      </c>
      <c r="E952" t="s">
        <v>471</v>
      </c>
      <c r="F952" t="s">
        <v>63</v>
      </c>
      <c r="G952" t="s">
        <v>25</v>
      </c>
      <c r="H952" t="str">
        <f t="shared" si="28"/>
        <v xml:space="preserve">DARF PREVIDÊNCIARIO | Recorrência:3/12 | Observações: </v>
      </c>
      <c r="I952" t="s">
        <v>26</v>
      </c>
      <c r="J952" s="5">
        <v>-1424.08</v>
      </c>
      <c r="K952" s="4">
        <v>482447.8</v>
      </c>
      <c r="L952" t="s">
        <v>27</v>
      </c>
      <c r="M952" s="5">
        <v>-1424.08</v>
      </c>
      <c r="N952" s="3">
        <v>0</v>
      </c>
      <c r="O952" t="s">
        <v>1712</v>
      </c>
      <c r="P952" t="s">
        <v>1716</v>
      </c>
      <c r="Q952" t="s">
        <v>1712</v>
      </c>
      <c r="R952" t="str">
        <f t="shared" si="29"/>
        <v>nao</v>
      </c>
      <c r="S952" t="s">
        <v>1717</v>
      </c>
      <c r="T952" t="s">
        <v>30</v>
      </c>
      <c r="U952" t="s">
        <v>601</v>
      </c>
      <c r="V952" s="3">
        <v>-1424.08</v>
      </c>
      <c r="W952" t="s">
        <v>376</v>
      </c>
      <c r="X952" s="3">
        <v>-1424.08</v>
      </c>
    </row>
    <row r="953" spans="1:24" s="2" customFormat="1" x14ac:dyDescent="0.2">
      <c r="A953">
        <v>953</v>
      </c>
      <c r="B953" t="s">
        <v>1718</v>
      </c>
      <c r="C953" t="s">
        <v>1719</v>
      </c>
      <c r="D953" t="s">
        <v>1720</v>
      </c>
      <c r="E953" t="s">
        <v>67</v>
      </c>
      <c r="F953" t="s">
        <v>63</v>
      </c>
      <c r="G953" t="s">
        <v>25</v>
      </c>
      <c r="H953" t="str">
        <f t="shared" si="28"/>
        <v xml:space="preserve">PEDIDO&gt; MN ARQUITETURA E INTERIORES  | Recorrência:1/2 | Observações: </v>
      </c>
      <c r="I953" t="s">
        <v>26</v>
      </c>
      <c r="J953" s="5">
        <v>-800</v>
      </c>
      <c r="K953" s="4">
        <v>481647.8</v>
      </c>
      <c r="L953" t="s">
        <v>27</v>
      </c>
      <c r="M953" s="5">
        <v>-800</v>
      </c>
      <c r="N953" s="3">
        <v>0</v>
      </c>
      <c r="O953" t="s">
        <v>1712</v>
      </c>
      <c r="P953" t="s">
        <v>1721</v>
      </c>
      <c r="Q953" t="s">
        <v>1717</v>
      </c>
      <c r="R953" t="str">
        <f t="shared" si="29"/>
        <v>Sim</v>
      </c>
      <c r="S953" t="s">
        <v>1717</v>
      </c>
      <c r="T953" t="s">
        <v>30</v>
      </c>
      <c r="U953" t="s">
        <v>1371</v>
      </c>
      <c r="V953" s="3">
        <v>-800</v>
      </c>
      <c r="W953" t="s">
        <v>1722</v>
      </c>
      <c r="X953" s="3">
        <v>-800</v>
      </c>
    </row>
    <row r="954" spans="1:24" s="2" customFormat="1" x14ac:dyDescent="0.2">
      <c r="A954" s="2">
        <v>954</v>
      </c>
      <c r="B954"/>
      <c r="C954"/>
      <c r="D954" t="s">
        <v>1723</v>
      </c>
      <c r="E954" t="s">
        <v>30</v>
      </c>
      <c r="F954" t="s">
        <v>63</v>
      </c>
      <c r="G954" t="s">
        <v>25</v>
      </c>
      <c r="H954" t="str">
        <f t="shared" si="28"/>
        <v xml:space="preserve">FOTÓGRAFO - SUITE MARINA | Recorrência: | Observações: </v>
      </c>
      <c r="I954" t="s">
        <v>26</v>
      </c>
      <c r="J954" s="5">
        <v>-500</v>
      </c>
      <c r="K954" s="4">
        <v>481147.8</v>
      </c>
      <c r="L954" t="s">
        <v>27</v>
      </c>
      <c r="M954" s="5">
        <v>-500</v>
      </c>
      <c r="N954" s="3">
        <v>0</v>
      </c>
      <c r="O954" t="s">
        <v>1712</v>
      </c>
      <c r="P954" t="s">
        <v>1712</v>
      </c>
      <c r="Q954" t="s">
        <v>1712</v>
      </c>
      <c r="R954" t="str">
        <f t="shared" si="29"/>
        <v>Sim</v>
      </c>
      <c r="S954" t="s">
        <v>1712</v>
      </c>
      <c r="T954" t="s">
        <v>30</v>
      </c>
      <c r="U954" t="s">
        <v>344</v>
      </c>
      <c r="V954" s="3">
        <v>-500</v>
      </c>
      <c r="W954" t="s">
        <v>344</v>
      </c>
      <c r="X954" s="3">
        <v>-500</v>
      </c>
    </row>
    <row r="955" spans="1:24" s="2" customFormat="1" x14ac:dyDescent="0.2">
      <c r="A955">
        <v>955</v>
      </c>
      <c r="B955" t="s">
        <v>1724</v>
      </c>
      <c r="C955" t="s">
        <v>1725</v>
      </c>
      <c r="D955" t="s">
        <v>1723</v>
      </c>
      <c r="E955" t="s">
        <v>30</v>
      </c>
      <c r="F955" t="s">
        <v>63</v>
      </c>
      <c r="G955" t="s">
        <v>25</v>
      </c>
      <c r="H955" t="str">
        <f t="shared" si="28"/>
        <v xml:space="preserve">FOTÓGRAFO - SUITE MARINA | Recorrência: | Observações: </v>
      </c>
      <c r="I955" t="s">
        <v>491</v>
      </c>
      <c r="J955" s="5">
        <v>-500</v>
      </c>
      <c r="K955" s="4">
        <v>480647.8</v>
      </c>
      <c r="L955" t="s">
        <v>27</v>
      </c>
      <c r="M955" s="5">
        <v>-500</v>
      </c>
      <c r="N955" s="3">
        <v>0</v>
      </c>
      <c r="O955" t="s">
        <v>1712</v>
      </c>
      <c r="P955" t="s">
        <v>1712</v>
      </c>
      <c r="Q955" t="s">
        <v>1712</v>
      </c>
      <c r="R955" t="str">
        <f t="shared" si="29"/>
        <v>Sim</v>
      </c>
      <c r="S955" t="s">
        <v>1712</v>
      </c>
      <c r="T955" t="s">
        <v>30</v>
      </c>
      <c r="U955" t="s">
        <v>344</v>
      </c>
      <c r="V955" s="3">
        <v>-500</v>
      </c>
      <c r="W955" t="s">
        <v>1058</v>
      </c>
      <c r="X955" s="3">
        <v>-500</v>
      </c>
    </row>
    <row r="956" spans="1:24" s="2" customFormat="1" x14ac:dyDescent="0.2">
      <c r="A956" s="2">
        <v>956</v>
      </c>
      <c r="B956" t="s">
        <v>1726</v>
      </c>
      <c r="C956" t="s">
        <v>1727</v>
      </c>
      <c r="D956" t="s">
        <v>1728</v>
      </c>
      <c r="E956" t="s">
        <v>30</v>
      </c>
      <c r="F956" t="s">
        <v>24</v>
      </c>
      <c r="G956" t="s">
        <v>25</v>
      </c>
      <c r="H956" t="str">
        <f t="shared" si="28"/>
        <v xml:space="preserve">RT PEDIDO LUCIENE GIL MARCHI | Recorrência: | Observações: </v>
      </c>
      <c r="I956" t="s">
        <v>491</v>
      </c>
      <c r="J956" s="4">
        <v>453</v>
      </c>
      <c r="K956" s="4">
        <v>481100.79999999999</v>
      </c>
      <c r="L956" t="s">
        <v>27</v>
      </c>
      <c r="M956" s="4">
        <v>453</v>
      </c>
      <c r="N956" s="3">
        <v>0</v>
      </c>
      <c r="O956" t="s">
        <v>1687</v>
      </c>
      <c r="P956" t="s">
        <v>1687</v>
      </c>
      <c r="Q956" t="s">
        <v>1646</v>
      </c>
      <c r="R956" t="str">
        <f t="shared" si="29"/>
        <v>Sim</v>
      </c>
      <c r="S956" t="s">
        <v>1646</v>
      </c>
      <c r="T956" t="s">
        <v>30</v>
      </c>
      <c r="U956" t="s">
        <v>49</v>
      </c>
      <c r="V956" s="3">
        <v>453</v>
      </c>
      <c r="W956" t="s">
        <v>494</v>
      </c>
      <c r="X956" s="3">
        <v>453</v>
      </c>
    </row>
    <row r="957" spans="1:24" s="2" customFormat="1" x14ac:dyDescent="0.2">
      <c r="A957">
        <v>957</v>
      </c>
      <c r="B957" t="s">
        <v>1393</v>
      </c>
      <c r="C957" t="s">
        <v>1394</v>
      </c>
      <c r="D957" t="s">
        <v>1730</v>
      </c>
      <c r="E957" t="s">
        <v>30</v>
      </c>
      <c r="F957" t="s">
        <v>24</v>
      </c>
      <c r="G957" t="s">
        <v>25</v>
      </c>
      <c r="H957" t="str">
        <f t="shared" si="28"/>
        <v xml:space="preserve">RESGATE DE PONTOS - PEDIDO 264780 - LUCIENE GIL MARCHI | Recorrência: | Observações: </v>
      </c>
      <c r="I957" t="s">
        <v>491</v>
      </c>
      <c r="J957" s="4">
        <v>185.46</v>
      </c>
      <c r="K957" s="4">
        <v>481286.26</v>
      </c>
      <c r="L957" t="s">
        <v>27</v>
      </c>
      <c r="M957" s="4">
        <v>185.46</v>
      </c>
      <c r="N957" s="3">
        <v>0</v>
      </c>
      <c r="O957" t="s">
        <v>1729</v>
      </c>
      <c r="P957" t="s">
        <v>1704</v>
      </c>
      <c r="Q957" t="s">
        <v>1731</v>
      </c>
      <c r="R957" t="str">
        <f t="shared" si="29"/>
        <v>Sim</v>
      </c>
      <c r="S957" t="s">
        <v>1731</v>
      </c>
      <c r="T957" t="s">
        <v>30</v>
      </c>
      <c r="U957" t="s">
        <v>49</v>
      </c>
      <c r="V957" s="3">
        <v>185.46</v>
      </c>
      <c r="W957" t="s">
        <v>128</v>
      </c>
      <c r="X957" s="3">
        <v>185.46</v>
      </c>
    </row>
    <row r="958" spans="1:24" s="2" customFormat="1" x14ac:dyDescent="0.2">
      <c r="A958" s="2">
        <v>958</v>
      </c>
      <c r="B958" t="s">
        <v>1565</v>
      </c>
      <c r="C958" t="s">
        <v>1566</v>
      </c>
      <c r="D958" t="s">
        <v>1571</v>
      </c>
      <c r="E958" t="s">
        <v>30</v>
      </c>
      <c r="F958" t="s">
        <v>24</v>
      </c>
      <c r="G958" t="s">
        <v>25</v>
      </c>
      <c r="H958" t="str">
        <f t="shared" si="28"/>
        <v xml:space="preserve">RT DANIELA CALITO | Recorrência: | Observações: </v>
      </c>
      <c r="I958" t="s">
        <v>491</v>
      </c>
      <c r="J958" s="4">
        <v>136</v>
      </c>
      <c r="K958" s="4">
        <v>481422.26</v>
      </c>
      <c r="L958" t="s">
        <v>27</v>
      </c>
      <c r="M958" s="4">
        <v>136</v>
      </c>
      <c r="N958" s="3">
        <v>0</v>
      </c>
      <c r="O958" t="s">
        <v>1717</v>
      </c>
      <c r="P958" t="s">
        <v>1717</v>
      </c>
      <c r="Q958" t="s">
        <v>1717</v>
      </c>
      <c r="R958" t="str">
        <f t="shared" si="29"/>
        <v>Sim</v>
      </c>
      <c r="S958" t="s">
        <v>1717</v>
      </c>
      <c r="T958" t="s">
        <v>30</v>
      </c>
      <c r="U958" t="s">
        <v>49</v>
      </c>
      <c r="V958" s="3">
        <v>136</v>
      </c>
      <c r="W958" t="s">
        <v>494</v>
      </c>
      <c r="X958" s="3">
        <v>136</v>
      </c>
    </row>
    <row r="959" spans="1:24" s="2" customFormat="1" x14ac:dyDescent="0.2">
      <c r="A959">
        <v>959</v>
      </c>
      <c r="B959" t="s">
        <v>1565</v>
      </c>
      <c r="C959" t="s">
        <v>1566</v>
      </c>
      <c r="D959" t="s">
        <v>1732</v>
      </c>
      <c r="E959" t="s">
        <v>30</v>
      </c>
      <c r="F959" t="s">
        <v>24</v>
      </c>
      <c r="G959" t="s">
        <v>25</v>
      </c>
      <c r="H959" t="str">
        <f t="shared" si="28"/>
        <v xml:space="preserve">RT MARIA ADELINA | Recorrência: | Observações: </v>
      </c>
      <c r="I959" t="s">
        <v>491</v>
      </c>
      <c r="J959" s="4">
        <v>110</v>
      </c>
      <c r="K959" s="4">
        <v>481532.26</v>
      </c>
      <c r="L959" t="s">
        <v>27</v>
      </c>
      <c r="M959" s="4">
        <v>110</v>
      </c>
      <c r="N959" s="3">
        <v>0</v>
      </c>
      <c r="O959" t="s">
        <v>1717</v>
      </c>
      <c r="P959" t="s">
        <v>1717</v>
      </c>
      <c r="Q959" t="s">
        <v>1717</v>
      </c>
      <c r="R959" t="str">
        <f t="shared" si="29"/>
        <v>Sim</v>
      </c>
      <c r="S959" t="s">
        <v>1717</v>
      </c>
      <c r="T959" t="s">
        <v>30</v>
      </c>
      <c r="U959" t="s">
        <v>49</v>
      </c>
      <c r="V959" s="3">
        <v>110</v>
      </c>
      <c r="W959" t="s">
        <v>494</v>
      </c>
      <c r="X959" s="3">
        <v>110</v>
      </c>
    </row>
    <row r="960" spans="1:24" s="2" customFormat="1" x14ac:dyDescent="0.2">
      <c r="A960" s="2">
        <v>960</v>
      </c>
      <c r="B960" t="s">
        <v>1130</v>
      </c>
      <c r="C960" t="s">
        <v>77</v>
      </c>
      <c r="D960" t="s">
        <v>1733</v>
      </c>
      <c r="E960" t="s">
        <v>30</v>
      </c>
      <c r="F960" t="s">
        <v>24</v>
      </c>
      <c r="G960" t="s">
        <v>25</v>
      </c>
      <c r="H960" t="str">
        <f t="shared" si="28"/>
        <v xml:space="preserve">RT - Pedido 14121534 -  GABRIEL SOLLERO FIGUEIRA | Recorrência: | Observações: </v>
      </c>
      <c r="I960" t="s">
        <v>491</v>
      </c>
      <c r="J960" s="4">
        <v>233.53</v>
      </c>
      <c r="K960" s="4">
        <v>481765.79</v>
      </c>
      <c r="L960" t="s">
        <v>27</v>
      </c>
      <c r="M960" s="4">
        <v>233.53</v>
      </c>
      <c r="N960" s="3">
        <v>0</v>
      </c>
      <c r="O960" t="s">
        <v>1710</v>
      </c>
      <c r="P960" t="s">
        <v>1712</v>
      </c>
      <c r="Q960" t="s">
        <v>1734</v>
      </c>
      <c r="R960" t="str">
        <f t="shared" si="29"/>
        <v>Sim</v>
      </c>
      <c r="S960" t="s">
        <v>1734</v>
      </c>
      <c r="T960" t="s">
        <v>30</v>
      </c>
      <c r="U960" t="s">
        <v>49</v>
      </c>
      <c r="V960" s="3">
        <v>233.53</v>
      </c>
      <c r="W960" t="s">
        <v>494</v>
      </c>
      <c r="X960" s="3">
        <v>233.53</v>
      </c>
    </row>
    <row r="961" spans="1:24" s="2" customFormat="1" x14ac:dyDescent="0.2">
      <c r="A961">
        <v>961</v>
      </c>
      <c r="B961" t="s">
        <v>1204</v>
      </c>
      <c r="C961" t="s">
        <v>1205</v>
      </c>
      <c r="D961" t="s">
        <v>1736</v>
      </c>
      <c r="E961" t="s">
        <v>30</v>
      </c>
      <c r="F961" t="s">
        <v>24</v>
      </c>
      <c r="G961" t="s">
        <v>25</v>
      </c>
      <c r="H961" t="str">
        <f t="shared" si="28"/>
        <v>RT - PEDIDO  DEZ/22 +FEV/23 | Recorrência: | Observações: RESERVA TÉCNICA DE DEZEMBRO E FEVEREIRO (TIAGO KOCH PEDIDO 329149 E 328967</v>
      </c>
      <c r="I961" t="s">
        <v>491</v>
      </c>
      <c r="J961" s="4">
        <v>5760.32</v>
      </c>
      <c r="K961" s="4">
        <v>487526.11</v>
      </c>
      <c r="L961" t="s">
        <v>27</v>
      </c>
      <c r="M961" s="4">
        <v>5760.32</v>
      </c>
      <c r="N961" s="3">
        <v>0</v>
      </c>
      <c r="O961" t="s">
        <v>1735</v>
      </c>
      <c r="P961" t="s">
        <v>1646</v>
      </c>
      <c r="Q961" t="s">
        <v>1735</v>
      </c>
      <c r="R961" t="str">
        <f t="shared" si="29"/>
        <v>Sim</v>
      </c>
      <c r="S961" t="s">
        <v>1735</v>
      </c>
      <c r="T961" t="s">
        <v>1737</v>
      </c>
      <c r="U961" t="s">
        <v>49</v>
      </c>
      <c r="V961" s="3">
        <v>5760.32</v>
      </c>
      <c r="W961" t="s">
        <v>494</v>
      </c>
      <c r="X961" s="3">
        <v>5760.32</v>
      </c>
    </row>
    <row r="962" spans="1:24" s="2" customFormat="1" x14ac:dyDescent="0.2">
      <c r="A962" s="2">
        <v>962</v>
      </c>
      <c r="B962"/>
      <c r="C962" t="s">
        <v>828</v>
      </c>
      <c r="D962" t="s">
        <v>830</v>
      </c>
      <c r="E962" t="s">
        <v>1738</v>
      </c>
      <c r="F962" t="s">
        <v>63</v>
      </c>
      <c r="G962" t="s">
        <v>25</v>
      </c>
      <c r="H962" t="str">
        <f t="shared" si="28"/>
        <v xml:space="preserve">PREFEITURA DO MUNICIPIO DE BERTIOGA | Recorrência:13/41 | Observações: REF.02 PAGAMENTOS </v>
      </c>
      <c r="I962" t="s">
        <v>26</v>
      </c>
      <c r="J962" s="5">
        <v>-229.49</v>
      </c>
      <c r="K962" s="4">
        <v>487296.62</v>
      </c>
      <c r="L962" t="s">
        <v>27</v>
      </c>
      <c r="M962" s="5">
        <v>-229.49</v>
      </c>
      <c r="N962" s="3">
        <v>0</v>
      </c>
      <c r="O962" t="s">
        <v>1731</v>
      </c>
      <c r="P962" t="s">
        <v>1739</v>
      </c>
      <c r="Q962" t="s">
        <v>1731</v>
      </c>
      <c r="R962" t="str">
        <f t="shared" si="29"/>
        <v>Sim</v>
      </c>
      <c r="S962" t="s">
        <v>1731</v>
      </c>
      <c r="T962" t="s">
        <v>831</v>
      </c>
      <c r="U962" t="s">
        <v>832</v>
      </c>
      <c r="V962" s="3">
        <v>-229.49</v>
      </c>
      <c r="W962" t="s">
        <v>376</v>
      </c>
      <c r="X962" s="3">
        <v>-229.49</v>
      </c>
    </row>
    <row r="963" spans="1:24" s="2" customFormat="1" x14ac:dyDescent="0.2">
      <c r="A963">
        <v>963</v>
      </c>
      <c r="B963"/>
      <c r="C963" t="s">
        <v>153</v>
      </c>
      <c r="D963" t="s">
        <v>1740</v>
      </c>
      <c r="E963" t="s">
        <v>30</v>
      </c>
      <c r="F963" t="s">
        <v>63</v>
      </c>
      <c r="G963" t="s">
        <v>25</v>
      </c>
      <c r="H963" t="str">
        <f t="shared" ref="H963:H1026" si="30">D963&amp;" | "&amp;$E$1&amp;E963&amp;" | Observações: "&amp;T963</f>
        <v xml:space="preserve">4/11 - SALÁRIO - JULYA 4/12 | Recorrência: | Observações: </v>
      </c>
      <c r="I963" t="s">
        <v>991</v>
      </c>
      <c r="J963" s="5">
        <v>-4598.0200000000004</v>
      </c>
      <c r="K963" s="4">
        <v>482698.6</v>
      </c>
      <c r="L963" t="s">
        <v>27</v>
      </c>
      <c r="M963" s="5">
        <v>-4598.0200000000004</v>
      </c>
      <c r="N963" s="3">
        <v>0</v>
      </c>
      <c r="O963" t="s">
        <v>1731</v>
      </c>
      <c r="P963" t="s">
        <v>1457</v>
      </c>
      <c r="Q963" t="s">
        <v>1741</v>
      </c>
      <c r="R963" t="str">
        <f t="shared" ref="R963:R1026" si="31">IF(Q963=S963,"Sim","nao")</f>
        <v>nao</v>
      </c>
      <c r="S963" t="s">
        <v>1742</v>
      </c>
      <c r="T963" t="s">
        <v>30</v>
      </c>
      <c r="U963" t="s">
        <v>323</v>
      </c>
      <c r="V963" s="3">
        <v>-4598.0200000000004</v>
      </c>
      <c r="W963" t="s">
        <v>1164</v>
      </c>
      <c r="X963" s="3">
        <v>-4598.0200000000004</v>
      </c>
    </row>
    <row r="964" spans="1:24" s="2" customFormat="1" x14ac:dyDescent="0.2">
      <c r="A964" s="2">
        <v>964</v>
      </c>
      <c r="B964"/>
      <c r="C964" t="s">
        <v>153</v>
      </c>
      <c r="D964" t="s">
        <v>1743</v>
      </c>
      <c r="E964" t="s">
        <v>30</v>
      </c>
      <c r="F964" t="s">
        <v>63</v>
      </c>
      <c r="G964" t="s">
        <v>25</v>
      </c>
      <c r="H964" t="str">
        <f t="shared" si="30"/>
        <v xml:space="preserve">4/7 - SALÁRIO MARCELA S CAVALCANTE 4/12 | Recorrência: | Observações: </v>
      </c>
      <c r="I964" t="s">
        <v>991</v>
      </c>
      <c r="J964" s="5">
        <v>-3060.25</v>
      </c>
      <c r="K964" s="4">
        <v>479638.35</v>
      </c>
      <c r="L964" t="s">
        <v>27</v>
      </c>
      <c r="M964" s="5">
        <v>-3060.25</v>
      </c>
      <c r="N964" s="3">
        <v>0</v>
      </c>
      <c r="O964" t="s">
        <v>1731</v>
      </c>
      <c r="P964" t="s">
        <v>1095</v>
      </c>
      <c r="Q964" t="s">
        <v>1741</v>
      </c>
      <c r="R964" t="str">
        <f t="shared" si="31"/>
        <v>nao</v>
      </c>
      <c r="S964" t="s">
        <v>1664</v>
      </c>
      <c r="T964" t="s">
        <v>30</v>
      </c>
      <c r="U964" t="s">
        <v>323</v>
      </c>
      <c r="V964" s="3">
        <v>-3060.25</v>
      </c>
      <c r="W964" t="s">
        <v>1164</v>
      </c>
      <c r="X964" s="3">
        <v>-3060.25</v>
      </c>
    </row>
    <row r="965" spans="1:24" s="2" customFormat="1" x14ac:dyDescent="0.2">
      <c r="A965">
        <v>965</v>
      </c>
      <c r="B965"/>
      <c r="C965" t="s">
        <v>153</v>
      </c>
      <c r="D965" t="s">
        <v>1579</v>
      </c>
      <c r="E965" t="s">
        <v>518</v>
      </c>
      <c r="F965" t="s">
        <v>63</v>
      </c>
      <c r="G965" t="s">
        <v>25</v>
      </c>
      <c r="H965" t="str">
        <f t="shared" si="30"/>
        <v xml:space="preserve">SALÁRIO ELIANE  | Recorrência:4/12 | Observações: </v>
      </c>
      <c r="I965" t="s">
        <v>491</v>
      </c>
      <c r="J965" s="5">
        <v>-1614.96</v>
      </c>
      <c r="K965" s="4">
        <v>478023.39</v>
      </c>
      <c r="L965" t="s">
        <v>27</v>
      </c>
      <c r="M965" s="5">
        <v>-1614.96</v>
      </c>
      <c r="N965" s="3">
        <v>0</v>
      </c>
      <c r="O965" t="s">
        <v>1731</v>
      </c>
      <c r="P965" t="s">
        <v>1744</v>
      </c>
      <c r="Q965" t="s">
        <v>1742</v>
      </c>
      <c r="R965" t="str">
        <f t="shared" si="31"/>
        <v>Sim</v>
      </c>
      <c r="S965" t="s">
        <v>1742</v>
      </c>
      <c r="T965" t="s">
        <v>30</v>
      </c>
      <c r="U965" t="s">
        <v>323</v>
      </c>
      <c r="V965" s="3">
        <v>-1614.96</v>
      </c>
      <c r="W965" t="s">
        <v>1164</v>
      </c>
      <c r="X965" s="3">
        <v>-1614.96</v>
      </c>
    </row>
    <row r="966" spans="1:24" s="2" customFormat="1" x14ac:dyDescent="0.2">
      <c r="A966" s="2">
        <v>966</v>
      </c>
      <c r="B966"/>
      <c r="C966" t="s">
        <v>153</v>
      </c>
      <c r="D966" t="s">
        <v>1585</v>
      </c>
      <c r="E966" t="s">
        <v>471</v>
      </c>
      <c r="F966" t="s">
        <v>63</v>
      </c>
      <c r="G966" t="s">
        <v>25</v>
      </c>
      <c r="H966" t="str">
        <f t="shared" si="30"/>
        <v xml:space="preserve">SODEXO - ELIANE | Recorrência:3/12 | Observações: </v>
      </c>
      <c r="I966" t="s">
        <v>26</v>
      </c>
      <c r="J966" s="5">
        <v>-522.9</v>
      </c>
      <c r="K966" s="4">
        <v>477500.49</v>
      </c>
      <c r="L966" t="s">
        <v>27</v>
      </c>
      <c r="M966" s="5">
        <v>-522.9</v>
      </c>
      <c r="N966" s="3">
        <v>0</v>
      </c>
      <c r="O966" t="s">
        <v>1731</v>
      </c>
      <c r="P966" t="s">
        <v>1734</v>
      </c>
      <c r="Q966" t="s">
        <v>1742</v>
      </c>
      <c r="R966" t="str">
        <f t="shared" si="31"/>
        <v>Sim</v>
      </c>
      <c r="S966" t="s">
        <v>1742</v>
      </c>
      <c r="T966" t="s">
        <v>30</v>
      </c>
      <c r="U966" t="s">
        <v>93</v>
      </c>
      <c r="V966" s="3">
        <v>-522.9</v>
      </c>
      <c r="W966" t="s">
        <v>331</v>
      </c>
      <c r="X966" s="3">
        <v>-522.9</v>
      </c>
    </row>
    <row r="967" spans="1:24" s="2" customFormat="1" x14ac:dyDescent="0.2">
      <c r="A967">
        <v>967</v>
      </c>
      <c r="B967"/>
      <c r="C967" t="s">
        <v>595</v>
      </c>
      <c r="D967" t="s">
        <v>1745</v>
      </c>
      <c r="E967" t="s">
        <v>30</v>
      </c>
      <c r="F967" t="s">
        <v>63</v>
      </c>
      <c r="G967" t="s">
        <v>25</v>
      </c>
      <c r="H967" t="str">
        <f t="shared" si="30"/>
        <v xml:space="preserve">PRESTAÇÃO SERVIÇOS | Recorrência: | Observações: </v>
      </c>
      <c r="I967" t="s">
        <v>491</v>
      </c>
      <c r="J967" s="5">
        <v>-880</v>
      </c>
      <c r="K967" s="4">
        <v>476620.49</v>
      </c>
      <c r="L967" t="s">
        <v>27</v>
      </c>
      <c r="M967" s="5">
        <v>-880</v>
      </c>
      <c r="N967" s="3">
        <v>0</v>
      </c>
      <c r="O967" t="s">
        <v>1731</v>
      </c>
      <c r="P967" t="s">
        <v>1731</v>
      </c>
      <c r="Q967" t="s">
        <v>1731</v>
      </c>
      <c r="R967" t="str">
        <f t="shared" si="31"/>
        <v>Sim</v>
      </c>
      <c r="S967" t="s">
        <v>1731</v>
      </c>
      <c r="T967" t="s">
        <v>30</v>
      </c>
      <c r="U967" t="s">
        <v>344</v>
      </c>
      <c r="V967" s="3">
        <v>-880</v>
      </c>
      <c r="W967" t="s">
        <v>1722</v>
      </c>
      <c r="X967" s="3">
        <v>-880</v>
      </c>
    </row>
    <row r="968" spans="1:24" s="2" customFormat="1" x14ac:dyDescent="0.2">
      <c r="A968" s="2">
        <v>968</v>
      </c>
      <c r="B968" t="s">
        <v>1088</v>
      </c>
      <c r="C968" t="s">
        <v>1089</v>
      </c>
      <c r="D968" t="s">
        <v>1746</v>
      </c>
      <c r="E968" t="s">
        <v>30</v>
      </c>
      <c r="F968" t="s">
        <v>24</v>
      </c>
      <c r="G968" t="s">
        <v>25</v>
      </c>
      <c r="H968" t="str">
        <f t="shared" si="30"/>
        <v xml:space="preserve">RT LUCIENE GIL MARCHI | Recorrência: | Observações: </v>
      </c>
      <c r="I968" t="s">
        <v>491</v>
      </c>
      <c r="J968" s="4">
        <v>2300</v>
      </c>
      <c r="K968" s="4">
        <v>478920.49</v>
      </c>
      <c r="L968" t="s">
        <v>27</v>
      </c>
      <c r="M968" s="4">
        <v>2300</v>
      </c>
      <c r="N968" s="3">
        <v>0</v>
      </c>
      <c r="O968" t="s">
        <v>1731</v>
      </c>
      <c r="P968" t="s">
        <v>1741</v>
      </c>
      <c r="Q968" t="s">
        <v>1731</v>
      </c>
      <c r="R968" t="str">
        <f t="shared" si="31"/>
        <v>Sim</v>
      </c>
      <c r="S968" t="s">
        <v>1731</v>
      </c>
      <c r="T968" t="s">
        <v>30</v>
      </c>
      <c r="U968" t="s">
        <v>49</v>
      </c>
      <c r="V968" s="3">
        <v>2300</v>
      </c>
      <c r="W968" t="s">
        <v>494</v>
      </c>
      <c r="X968" s="3">
        <v>2300</v>
      </c>
    </row>
    <row r="969" spans="1:24" s="2" customFormat="1" x14ac:dyDescent="0.2">
      <c r="A969">
        <v>969</v>
      </c>
      <c r="B969" t="s">
        <v>1088</v>
      </c>
      <c r="C969" t="s">
        <v>1089</v>
      </c>
      <c r="D969" t="s">
        <v>1747</v>
      </c>
      <c r="E969" t="s">
        <v>30</v>
      </c>
      <c r="F969" t="s">
        <v>24</v>
      </c>
      <c r="G969" t="s">
        <v>25</v>
      </c>
      <c r="H969" t="str">
        <f t="shared" si="30"/>
        <v xml:space="preserve">RT - DIANA_DIOGO &gt; ED MANDARIM | Recorrência: | Observações: </v>
      </c>
      <c r="I969" t="s">
        <v>491</v>
      </c>
      <c r="J969" s="4">
        <v>1325</v>
      </c>
      <c r="K969" s="4">
        <v>480245.49</v>
      </c>
      <c r="L969" t="s">
        <v>27</v>
      </c>
      <c r="M969" s="4">
        <v>1325</v>
      </c>
      <c r="N969" s="3">
        <v>0</v>
      </c>
      <c r="O969" t="s">
        <v>1731</v>
      </c>
      <c r="P969" t="s">
        <v>1741</v>
      </c>
      <c r="Q969" t="s">
        <v>1731</v>
      </c>
      <c r="R969" t="str">
        <f t="shared" si="31"/>
        <v>Sim</v>
      </c>
      <c r="S969" t="s">
        <v>1731</v>
      </c>
      <c r="T969" t="s">
        <v>30</v>
      </c>
      <c r="U969" t="s">
        <v>49</v>
      </c>
      <c r="V969" s="3">
        <v>1325</v>
      </c>
      <c r="W969" t="s">
        <v>494</v>
      </c>
      <c r="X969" s="3">
        <v>1325</v>
      </c>
    </row>
    <row r="970" spans="1:24" s="2" customFormat="1" x14ac:dyDescent="0.2">
      <c r="A970" s="2">
        <v>970</v>
      </c>
      <c r="B970" t="s">
        <v>1048</v>
      </c>
      <c r="C970" t="s">
        <v>1049</v>
      </c>
      <c r="D970" t="s">
        <v>1748</v>
      </c>
      <c r="E970" t="s">
        <v>30</v>
      </c>
      <c r="F970" t="s">
        <v>24</v>
      </c>
      <c r="G970" t="s">
        <v>25</v>
      </c>
      <c r="H970" t="str">
        <f t="shared" si="30"/>
        <v>RT - DIGO SCUTTA(COPAN) + GABRIEL SOLLERO | Recorrência: | Observações: PAGAMENTO RT REFERENTE
 COMPROVANTE - RT 
- DIOGO SCUTTA(THERA) - 232,00
- GABRIEL SOLLERO - 669,39
Totalizando 901,39</v>
      </c>
      <c r="I970" t="s">
        <v>491</v>
      </c>
      <c r="J970" s="4">
        <v>901.39</v>
      </c>
      <c r="K970" s="4">
        <v>481146.88</v>
      </c>
      <c r="L970" t="s">
        <v>27</v>
      </c>
      <c r="M970" s="4">
        <v>901.39</v>
      </c>
      <c r="N970" s="3">
        <v>0</v>
      </c>
      <c r="O970" t="s">
        <v>1731</v>
      </c>
      <c r="P970" t="s">
        <v>1749</v>
      </c>
      <c r="Q970" t="s">
        <v>1731</v>
      </c>
      <c r="R970" t="str">
        <f t="shared" si="31"/>
        <v>Sim</v>
      </c>
      <c r="S970" t="s">
        <v>1731</v>
      </c>
      <c r="T970" t="s">
        <v>1750</v>
      </c>
      <c r="U970" t="s">
        <v>49</v>
      </c>
      <c r="V970" s="3">
        <v>901.39</v>
      </c>
    </row>
    <row r="971" spans="1:24" s="2" customFormat="1" x14ac:dyDescent="0.2">
      <c r="A971">
        <v>971</v>
      </c>
      <c r="B971" t="s">
        <v>1373</v>
      </c>
      <c r="C971" t="s">
        <v>1374</v>
      </c>
      <c r="D971" t="s">
        <v>1751</v>
      </c>
      <c r="E971" t="s">
        <v>30</v>
      </c>
      <c r="F971" t="s">
        <v>24</v>
      </c>
      <c r="G971" t="s">
        <v>25</v>
      </c>
      <c r="H971" t="str">
        <f t="shared" si="30"/>
        <v>4/4 - PROJETO - O PARQUE | Recorrência: | Observações: DADOS PARA NF 
Pessoa Física
Nome Completo:  Diogo scuta Fagliari 
CPF: 333.824.408-81
Endereço: rua estuário 21 casa 4, chácara monte alegre , 04645-100
E-mail: Diogo.fagliari@terra.com.be
Telefone:+55 11 95593-1960</v>
      </c>
      <c r="I971" t="s">
        <v>491</v>
      </c>
      <c r="J971" s="4">
        <v>5175</v>
      </c>
      <c r="K971" s="4">
        <v>486321.88</v>
      </c>
      <c r="L971" t="s">
        <v>27</v>
      </c>
      <c r="M971" s="4">
        <v>5175</v>
      </c>
      <c r="N971" s="3">
        <v>0</v>
      </c>
      <c r="O971" t="s">
        <v>1731</v>
      </c>
      <c r="P971" t="s">
        <v>1376</v>
      </c>
      <c r="Q971" t="s">
        <v>1731</v>
      </c>
      <c r="R971" t="str">
        <f t="shared" si="31"/>
        <v>Sim</v>
      </c>
      <c r="S971" t="s">
        <v>1731</v>
      </c>
      <c r="T971" t="s">
        <v>1377</v>
      </c>
      <c r="U971" t="s">
        <v>31</v>
      </c>
      <c r="V971" s="3">
        <v>5175</v>
      </c>
      <c r="W971" t="s">
        <v>32</v>
      </c>
      <c r="X971" s="3">
        <v>5175</v>
      </c>
    </row>
    <row r="972" spans="1:24" s="2" customFormat="1" x14ac:dyDescent="0.2">
      <c r="A972" s="2">
        <v>972</v>
      </c>
      <c r="B972" t="s">
        <v>1373</v>
      </c>
      <c r="C972" t="s">
        <v>1374</v>
      </c>
      <c r="D972" t="s">
        <v>1752</v>
      </c>
      <c r="E972" t="s">
        <v>30</v>
      </c>
      <c r="F972" t="s">
        <v>24</v>
      </c>
      <c r="G972" t="s">
        <v>25</v>
      </c>
      <c r="H972" t="str">
        <f t="shared" si="30"/>
        <v xml:space="preserve">1/2 - PROJETO - QUAD STUDIO | Recorrência: | Observações: </v>
      </c>
      <c r="I972" t="s">
        <v>491</v>
      </c>
      <c r="J972" s="4">
        <v>3000</v>
      </c>
      <c r="K972" s="4">
        <v>489321.88</v>
      </c>
      <c r="L972" t="s">
        <v>27</v>
      </c>
      <c r="M972" s="4">
        <v>3000</v>
      </c>
      <c r="N972" s="3">
        <v>0</v>
      </c>
      <c r="O972" t="s">
        <v>1731</v>
      </c>
      <c r="P972" t="s">
        <v>1564</v>
      </c>
      <c r="Q972" t="s">
        <v>1731</v>
      </c>
      <c r="R972" t="str">
        <f t="shared" si="31"/>
        <v>Sim</v>
      </c>
      <c r="S972" t="s">
        <v>1731</v>
      </c>
      <c r="T972" t="s">
        <v>30</v>
      </c>
      <c r="U972" t="s">
        <v>31</v>
      </c>
      <c r="V972" s="3">
        <v>3000</v>
      </c>
      <c r="W972" t="s">
        <v>32</v>
      </c>
      <c r="X972" s="3">
        <v>3000</v>
      </c>
    </row>
    <row r="973" spans="1:24" s="2" customFormat="1" x14ac:dyDescent="0.2">
      <c r="A973">
        <v>973</v>
      </c>
      <c r="B973" t="s">
        <v>1373</v>
      </c>
      <c r="C973" t="s">
        <v>1374</v>
      </c>
      <c r="D973" t="s">
        <v>1753</v>
      </c>
      <c r="E973" t="s">
        <v>30</v>
      </c>
      <c r="F973" t="s">
        <v>24</v>
      </c>
      <c r="G973" t="s">
        <v>25</v>
      </c>
      <c r="H973" t="str">
        <f t="shared" si="30"/>
        <v xml:space="preserve">2/2 - PROJETO - QUAD STUDIO | Recorrência: | Observações: </v>
      </c>
      <c r="I973" t="s">
        <v>491</v>
      </c>
      <c r="J973" s="4">
        <v>3000</v>
      </c>
      <c r="K973" s="4">
        <v>492321.88</v>
      </c>
      <c r="L973" t="s">
        <v>27</v>
      </c>
      <c r="M973" s="4">
        <v>3000</v>
      </c>
      <c r="N973" s="3">
        <v>0</v>
      </c>
      <c r="O973" t="s">
        <v>1731</v>
      </c>
      <c r="P973" t="s">
        <v>1564</v>
      </c>
      <c r="Q973" t="s">
        <v>1731</v>
      </c>
      <c r="R973" t="str">
        <f t="shared" si="31"/>
        <v>Sim</v>
      </c>
      <c r="S973" t="s">
        <v>1731</v>
      </c>
      <c r="T973" t="s">
        <v>30</v>
      </c>
      <c r="U973" t="s">
        <v>31</v>
      </c>
      <c r="V973" s="3">
        <v>3000</v>
      </c>
      <c r="W973" t="s">
        <v>32</v>
      </c>
      <c r="X973" s="3">
        <v>3000</v>
      </c>
    </row>
    <row r="974" spans="1:24" s="2" customFormat="1" x14ac:dyDescent="0.2">
      <c r="A974" s="2">
        <v>974</v>
      </c>
      <c r="B974"/>
      <c r="C974" t="s">
        <v>153</v>
      </c>
      <c r="D974" t="s">
        <v>1754</v>
      </c>
      <c r="E974" t="s">
        <v>471</v>
      </c>
      <c r="F974" t="s">
        <v>63</v>
      </c>
      <c r="G974" t="s">
        <v>25</v>
      </c>
      <c r="H974" t="str">
        <f t="shared" si="30"/>
        <v xml:space="preserve">DIÁRIAS  JULIANA SOARES - REFERENTE MARÇO | Recorrência:3/12 | Observações: </v>
      </c>
      <c r="I974" t="s">
        <v>491</v>
      </c>
      <c r="J974" s="5">
        <v>-600</v>
      </c>
      <c r="K974" s="4">
        <v>491721.88</v>
      </c>
      <c r="L974" t="s">
        <v>27</v>
      </c>
      <c r="M974" s="5">
        <v>-600</v>
      </c>
      <c r="N974" s="3">
        <v>0</v>
      </c>
      <c r="O974" t="s">
        <v>1731</v>
      </c>
      <c r="P974" t="s">
        <v>1657</v>
      </c>
      <c r="Q974" t="s">
        <v>1657</v>
      </c>
      <c r="R974" t="str">
        <f t="shared" si="31"/>
        <v>Sim</v>
      </c>
      <c r="S974" t="s">
        <v>1657</v>
      </c>
      <c r="T974" t="s">
        <v>30</v>
      </c>
      <c r="U974" t="s">
        <v>691</v>
      </c>
      <c r="V974" s="3">
        <v>-600</v>
      </c>
      <c r="W974" t="s">
        <v>1058</v>
      </c>
      <c r="X974" s="3">
        <v>-600</v>
      </c>
    </row>
    <row r="975" spans="1:24" s="2" customFormat="1" x14ac:dyDescent="0.2">
      <c r="A975">
        <v>975</v>
      </c>
      <c r="B975"/>
      <c r="C975" t="s">
        <v>153</v>
      </c>
      <c r="D975" t="s">
        <v>1755</v>
      </c>
      <c r="E975" t="s">
        <v>30</v>
      </c>
      <c r="F975" t="s">
        <v>63</v>
      </c>
      <c r="G975" t="s">
        <v>25</v>
      </c>
      <c r="H975" t="str">
        <f t="shared" si="30"/>
        <v xml:space="preserve">4/12 - PRÓ LABORE MAYARA 4/12 | Recorrência: | Observações: </v>
      </c>
      <c r="I975" t="s">
        <v>491</v>
      </c>
      <c r="J975" s="5">
        <v>-15000</v>
      </c>
      <c r="K975" s="4">
        <v>476721.88</v>
      </c>
      <c r="L975" t="s">
        <v>27</v>
      </c>
      <c r="M975" s="5">
        <v>-15000</v>
      </c>
      <c r="N975" s="3">
        <v>0</v>
      </c>
      <c r="O975" t="s">
        <v>1664</v>
      </c>
      <c r="P975" t="s">
        <v>1457</v>
      </c>
      <c r="Q975" t="s">
        <v>1664</v>
      </c>
      <c r="R975" t="str">
        <f t="shared" si="31"/>
        <v>Sim</v>
      </c>
      <c r="S975" t="s">
        <v>1664</v>
      </c>
      <c r="T975" t="s">
        <v>30</v>
      </c>
      <c r="U975" t="s">
        <v>631</v>
      </c>
      <c r="V975" s="3">
        <v>-15000</v>
      </c>
      <c r="W975" t="s">
        <v>1164</v>
      </c>
      <c r="X975" s="3">
        <v>-15000</v>
      </c>
    </row>
    <row r="976" spans="1:24" s="2" customFormat="1" x14ac:dyDescent="0.2">
      <c r="A976" s="2">
        <v>976</v>
      </c>
      <c r="B976"/>
      <c r="C976" t="s">
        <v>153</v>
      </c>
      <c r="D976" t="s">
        <v>1756</v>
      </c>
      <c r="E976" t="s">
        <v>30</v>
      </c>
      <c r="F976" t="s">
        <v>63</v>
      </c>
      <c r="G976" t="s">
        <v>25</v>
      </c>
      <c r="H976" t="str">
        <f t="shared" si="30"/>
        <v xml:space="preserve">4/12 - PRÓ LABORE - NATASHA 4/12 | Recorrência: | Observações: </v>
      </c>
      <c r="I976" t="s">
        <v>491</v>
      </c>
      <c r="J976" s="5">
        <v>-15000</v>
      </c>
      <c r="K976" s="4">
        <v>461721.88</v>
      </c>
      <c r="L976" t="s">
        <v>27</v>
      </c>
      <c r="M976" s="5">
        <v>-15000</v>
      </c>
      <c r="N976" s="3">
        <v>0</v>
      </c>
      <c r="O976" t="s">
        <v>1664</v>
      </c>
      <c r="P976" t="s">
        <v>1457</v>
      </c>
      <c r="Q976" t="s">
        <v>1664</v>
      </c>
      <c r="R976" t="str">
        <f t="shared" si="31"/>
        <v>Sim</v>
      </c>
      <c r="S976" t="s">
        <v>1664</v>
      </c>
      <c r="T976" t="s">
        <v>30</v>
      </c>
      <c r="U976" t="s">
        <v>631</v>
      </c>
      <c r="V976" s="3">
        <v>-15000</v>
      </c>
      <c r="W976" t="s">
        <v>1164</v>
      </c>
      <c r="X976" s="3">
        <v>-15000</v>
      </c>
    </row>
    <row r="977" spans="1:24" s="2" customFormat="1" x14ac:dyDescent="0.2">
      <c r="A977">
        <v>977</v>
      </c>
      <c r="B977"/>
      <c r="C977" t="s">
        <v>153</v>
      </c>
      <c r="D977" t="s">
        <v>1757</v>
      </c>
      <c r="E977" t="s">
        <v>30</v>
      </c>
      <c r="F977" t="s">
        <v>63</v>
      </c>
      <c r="G977" t="s">
        <v>25</v>
      </c>
      <c r="H977" t="str">
        <f t="shared" si="30"/>
        <v xml:space="preserve">4/10 - ELIANE - VALE TRANSPORTE - referente abril | Recorrência: | Observações: </v>
      </c>
      <c r="I977" t="s">
        <v>991</v>
      </c>
      <c r="J977" s="5">
        <v>-352</v>
      </c>
      <c r="K977" s="4">
        <v>461369.88</v>
      </c>
      <c r="L977" t="s">
        <v>27</v>
      </c>
      <c r="M977" s="5">
        <v>-352</v>
      </c>
      <c r="N977" s="3">
        <v>0</v>
      </c>
      <c r="O977" t="s">
        <v>1664</v>
      </c>
      <c r="P977" t="s">
        <v>1500</v>
      </c>
      <c r="Q977" t="s">
        <v>1664</v>
      </c>
      <c r="R977" t="str">
        <f t="shared" si="31"/>
        <v>Sim</v>
      </c>
      <c r="S977" t="s">
        <v>1664</v>
      </c>
      <c r="T977" t="s">
        <v>30</v>
      </c>
      <c r="U977" t="s">
        <v>698</v>
      </c>
      <c r="V977" s="3">
        <v>-352</v>
      </c>
      <c r="W977" t="s">
        <v>698</v>
      </c>
      <c r="X977" s="3">
        <v>-352</v>
      </c>
    </row>
    <row r="978" spans="1:24" s="2" customFormat="1" x14ac:dyDescent="0.2">
      <c r="A978" s="2">
        <v>978</v>
      </c>
      <c r="B978" t="s">
        <v>1373</v>
      </c>
      <c r="C978" t="s">
        <v>1374</v>
      </c>
      <c r="D978" t="s">
        <v>1758</v>
      </c>
      <c r="E978" t="s">
        <v>38</v>
      </c>
      <c r="F978" t="s">
        <v>24</v>
      </c>
      <c r="G978" t="s">
        <v>25</v>
      </c>
      <c r="H978" t="str">
        <f t="shared" si="30"/>
        <v xml:space="preserve">GERENCIAMENTO - MANDARIM | Recorrência:1/3 | Observações: </v>
      </c>
      <c r="I978" t="s">
        <v>491</v>
      </c>
      <c r="J978" s="4">
        <v>2500</v>
      </c>
      <c r="K978" s="4">
        <v>463869.88</v>
      </c>
      <c r="L978" t="s">
        <v>27</v>
      </c>
      <c r="M978" s="4">
        <v>2500</v>
      </c>
      <c r="N978" s="3">
        <v>0</v>
      </c>
      <c r="O978" t="s">
        <v>1741</v>
      </c>
      <c r="P978" t="s">
        <v>1731</v>
      </c>
      <c r="Q978" t="s">
        <v>1741</v>
      </c>
      <c r="R978" t="str">
        <f t="shared" si="31"/>
        <v>Sim</v>
      </c>
      <c r="S978" t="s">
        <v>1741</v>
      </c>
      <c r="T978" t="s">
        <v>30</v>
      </c>
      <c r="U978" t="s">
        <v>274</v>
      </c>
      <c r="V978" s="3">
        <v>2500</v>
      </c>
      <c r="W978" t="s">
        <v>166</v>
      </c>
      <c r="X978" s="3">
        <v>2500</v>
      </c>
    </row>
    <row r="979" spans="1:24" s="2" customFormat="1" x14ac:dyDescent="0.2">
      <c r="A979">
        <v>979</v>
      </c>
      <c r="B979" t="s">
        <v>1373</v>
      </c>
      <c r="C979" t="s">
        <v>1374</v>
      </c>
      <c r="D979" t="s">
        <v>1759</v>
      </c>
      <c r="E979" t="s">
        <v>195</v>
      </c>
      <c r="F979" t="s">
        <v>24</v>
      </c>
      <c r="G979" t="s">
        <v>25</v>
      </c>
      <c r="H979" t="str">
        <f t="shared" si="30"/>
        <v xml:space="preserve">GERENCIAMENTO -  MANDARIM | Recorrência:2/3 | Observações: </v>
      </c>
      <c r="I979" t="s">
        <v>491</v>
      </c>
      <c r="J979" s="4">
        <v>2500</v>
      </c>
      <c r="K979" s="4">
        <v>466369.88</v>
      </c>
      <c r="L979" t="s">
        <v>27</v>
      </c>
      <c r="M979" s="4">
        <v>2500</v>
      </c>
      <c r="N979" s="3">
        <v>0</v>
      </c>
      <c r="O979" t="s">
        <v>1741</v>
      </c>
      <c r="P979" t="s">
        <v>1639</v>
      </c>
      <c r="Q979" t="s">
        <v>1741</v>
      </c>
      <c r="R979" t="str">
        <f t="shared" si="31"/>
        <v>Sim</v>
      </c>
      <c r="S979" t="s">
        <v>1741</v>
      </c>
      <c r="T979" t="s">
        <v>30</v>
      </c>
      <c r="U979" t="s">
        <v>274</v>
      </c>
      <c r="V979" s="3">
        <v>2500</v>
      </c>
      <c r="W979" t="s">
        <v>166</v>
      </c>
      <c r="X979" s="3">
        <v>2500</v>
      </c>
    </row>
    <row r="980" spans="1:24" s="2" customFormat="1" x14ac:dyDescent="0.2">
      <c r="A980" s="2">
        <v>980</v>
      </c>
      <c r="B980"/>
      <c r="C980" t="s">
        <v>153</v>
      </c>
      <c r="D980" t="s">
        <v>1761</v>
      </c>
      <c r="E980" t="s">
        <v>30</v>
      </c>
      <c r="F980" t="s">
        <v>63</v>
      </c>
      <c r="G980" t="s">
        <v>25</v>
      </c>
      <c r="H980" t="str">
        <f t="shared" si="30"/>
        <v xml:space="preserve">4/4 - FELIPE - SALÁRIO 4/12 | Recorrência: | Observações: </v>
      </c>
      <c r="I980" t="s">
        <v>991</v>
      </c>
      <c r="J980" s="5">
        <v>-3010.27</v>
      </c>
      <c r="K980" s="4">
        <v>463359.61</v>
      </c>
      <c r="L980" t="s">
        <v>27</v>
      </c>
      <c r="M980" s="5">
        <v>-3010.27</v>
      </c>
      <c r="N980" s="3">
        <v>0</v>
      </c>
      <c r="O980" t="s">
        <v>1760</v>
      </c>
      <c r="P980" t="s">
        <v>1457</v>
      </c>
      <c r="Q980" t="s">
        <v>1664</v>
      </c>
      <c r="R980" t="str">
        <f t="shared" si="31"/>
        <v>Sim</v>
      </c>
      <c r="S980" t="s">
        <v>1664</v>
      </c>
      <c r="T980" t="s">
        <v>30</v>
      </c>
      <c r="U980" t="s">
        <v>323</v>
      </c>
      <c r="V980" s="3">
        <v>-3010.27</v>
      </c>
      <c r="W980" t="s">
        <v>1164</v>
      </c>
      <c r="X980" s="3">
        <v>-3010.27</v>
      </c>
    </row>
    <row r="981" spans="1:24" s="2" customFormat="1" x14ac:dyDescent="0.2">
      <c r="A981">
        <v>981</v>
      </c>
      <c r="B981"/>
      <c r="C981" t="s">
        <v>153</v>
      </c>
      <c r="D981" t="s">
        <v>1762</v>
      </c>
      <c r="E981" t="s">
        <v>30</v>
      </c>
      <c r="F981" t="s">
        <v>63</v>
      </c>
      <c r="G981" t="s">
        <v>25</v>
      </c>
      <c r="H981" t="str">
        <f t="shared" si="30"/>
        <v xml:space="preserve">PRESTAÇÃO DE SERVIÇOS MIDIAS SOCIAIS - BIANCA SANTOS FREITAS | Recorrência: | Observações: </v>
      </c>
      <c r="I981" t="s">
        <v>991</v>
      </c>
      <c r="J981" s="5">
        <v>-1000</v>
      </c>
      <c r="K981" s="4">
        <v>462359.61</v>
      </c>
      <c r="L981" t="s">
        <v>27</v>
      </c>
      <c r="M981" s="5">
        <v>-1000</v>
      </c>
      <c r="N981" s="3">
        <v>0</v>
      </c>
      <c r="O981" t="s">
        <v>1760</v>
      </c>
      <c r="P981" t="s">
        <v>1760</v>
      </c>
      <c r="Q981" t="s">
        <v>1760</v>
      </c>
      <c r="R981" t="str">
        <f t="shared" si="31"/>
        <v>Sim</v>
      </c>
      <c r="S981" t="s">
        <v>1760</v>
      </c>
      <c r="T981" t="s">
        <v>30</v>
      </c>
      <c r="U981" t="s">
        <v>344</v>
      </c>
      <c r="V981" s="3">
        <v>-1000</v>
      </c>
      <c r="W981" t="s">
        <v>1722</v>
      </c>
      <c r="X981" s="3">
        <v>-1000</v>
      </c>
    </row>
    <row r="982" spans="1:24" s="2" customFormat="1" x14ac:dyDescent="0.2">
      <c r="A982" s="2">
        <v>982</v>
      </c>
      <c r="B982"/>
      <c r="C982" t="s">
        <v>574</v>
      </c>
      <c r="D982" t="s">
        <v>1533</v>
      </c>
      <c r="E982" t="s">
        <v>518</v>
      </c>
      <c r="F982" t="s">
        <v>63</v>
      </c>
      <c r="G982" t="s">
        <v>25</v>
      </c>
      <c r="H982" t="str">
        <f t="shared" si="30"/>
        <v xml:space="preserve">CONDOMINIO + ALUGUEL | Recorrência:4/12 | Observações: </v>
      </c>
      <c r="I982" t="s">
        <v>26</v>
      </c>
      <c r="J982" s="5">
        <v>-6197.36</v>
      </c>
      <c r="K982" s="4">
        <v>456162.25</v>
      </c>
      <c r="L982" t="s">
        <v>27</v>
      </c>
      <c r="M982" s="5">
        <v>-6197.36</v>
      </c>
      <c r="N982" s="3">
        <v>0</v>
      </c>
      <c r="O982" t="s">
        <v>1760</v>
      </c>
      <c r="P982" t="s">
        <v>1763</v>
      </c>
      <c r="Q982" t="s">
        <v>1764</v>
      </c>
      <c r="R982" t="str">
        <f t="shared" si="31"/>
        <v>Sim</v>
      </c>
      <c r="S982" t="s">
        <v>1764</v>
      </c>
      <c r="T982" t="s">
        <v>30</v>
      </c>
      <c r="U982" t="s">
        <v>571</v>
      </c>
      <c r="V982" s="3">
        <v>-6197.36</v>
      </c>
      <c r="W982" t="s">
        <v>1058</v>
      </c>
      <c r="X982" s="3">
        <v>-6197.36</v>
      </c>
    </row>
    <row r="983" spans="1:24" s="2" customFormat="1" x14ac:dyDescent="0.2">
      <c r="A983">
        <v>983</v>
      </c>
      <c r="B983" t="s">
        <v>647</v>
      </c>
      <c r="C983" t="s">
        <v>648</v>
      </c>
      <c r="D983" t="s">
        <v>1765</v>
      </c>
      <c r="E983" t="s">
        <v>30</v>
      </c>
      <c r="F983" t="s">
        <v>63</v>
      </c>
      <c r="G983" t="s">
        <v>25</v>
      </c>
      <c r="H983" t="str">
        <f t="shared" si="30"/>
        <v xml:space="preserve">4/12 - FGTS 4/12 | Recorrência: | Observações: </v>
      </c>
      <c r="I983" t="s">
        <v>26</v>
      </c>
      <c r="J983" s="5">
        <v>-140.25</v>
      </c>
      <c r="K983" s="4">
        <v>456022</v>
      </c>
      <c r="L983" t="s">
        <v>27</v>
      </c>
      <c r="M983" s="5">
        <v>-140.25</v>
      </c>
      <c r="N983" s="3">
        <v>0</v>
      </c>
      <c r="O983" t="s">
        <v>1760</v>
      </c>
      <c r="P983" t="s">
        <v>1469</v>
      </c>
      <c r="Q983" t="s">
        <v>1764</v>
      </c>
      <c r="R983" t="str">
        <f t="shared" si="31"/>
        <v>Sim</v>
      </c>
      <c r="S983" t="s">
        <v>1764</v>
      </c>
      <c r="T983" t="s">
        <v>30</v>
      </c>
      <c r="U983" t="s">
        <v>1531</v>
      </c>
      <c r="V983" s="3">
        <v>-140.25</v>
      </c>
    </row>
    <row r="984" spans="1:24" s="2" customFormat="1" x14ac:dyDescent="0.2">
      <c r="A984" s="2">
        <v>984</v>
      </c>
      <c r="B984"/>
      <c r="C984" t="s">
        <v>153</v>
      </c>
      <c r="D984" t="s">
        <v>1682</v>
      </c>
      <c r="E984" t="s">
        <v>195</v>
      </c>
      <c r="F984" t="s">
        <v>63</v>
      </c>
      <c r="G984" t="s">
        <v>25</v>
      </c>
      <c r="H984" t="str">
        <f t="shared" si="30"/>
        <v xml:space="preserve">BIANCA SANTOS DE FREITAS - CHAVE PIX  23717205854 | Recorrência:2/3 | Observações: </v>
      </c>
      <c r="I984" t="s">
        <v>491</v>
      </c>
      <c r="J984" s="5">
        <v>-1000</v>
      </c>
      <c r="K984" s="4">
        <v>455022</v>
      </c>
      <c r="L984" t="s">
        <v>27</v>
      </c>
      <c r="M984" s="5">
        <v>-1000</v>
      </c>
      <c r="N984" s="3">
        <v>0</v>
      </c>
      <c r="O984" t="s">
        <v>1760</v>
      </c>
      <c r="P984" t="s">
        <v>1766</v>
      </c>
      <c r="Q984" t="s">
        <v>1764</v>
      </c>
      <c r="R984" t="str">
        <f t="shared" si="31"/>
        <v>Sim</v>
      </c>
      <c r="S984" t="s">
        <v>1764</v>
      </c>
      <c r="T984" t="s">
        <v>30</v>
      </c>
      <c r="U984" t="s">
        <v>344</v>
      </c>
      <c r="V984" s="3">
        <v>-1000</v>
      </c>
      <c r="W984" t="s">
        <v>1058</v>
      </c>
      <c r="X984" s="3">
        <v>-1000</v>
      </c>
    </row>
    <row r="985" spans="1:24" s="2" customFormat="1" x14ac:dyDescent="0.2">
      <c r="A985">
        <v>985</v>
      </c>
      <c r="B985" t="s">
        <v>1536</v>
      </c>
      <c r="C985" t="s">
        <v>666</v>
      </c>
      <c r="D985" t="s">
        <v>667</v>
      </c>
      <c r="E985" t="s">
        <v>518</v>
      </c>
      <c r="F985" t="s">
        <v>63</v>
      </c>
      <c r="G985" t="s">
        <v>25</v>
      </c>
      <c r="H985" t="str">
        <f t="shared" si="30"/>
        <v xml:space="preserve">TELEFONIA E INTERNET | Recorrência:4/12 | Observações: </v>
      </c>
      <c r="I985" t="s">
        <v>26</v>
      </c>
      <c r="J985" s="5">
        <v>-126.95</v>
      </c>
      <c r="K985" s="4">
        <v>454895.05</v>
      </c>
      <c r="L985" t="s">
        <v>27</v>
      </c>
      <c r="M985" s="5">
        <v>-126.95</v>
      </c>
      <c r="N985" s="3">
        <v>0</v>
      </c>
      <c r="O985" t="s">
        <v>1764</v>
      </c>
      <c r="P985" t="s">
        <v>1626</v>
      </c>
      <c r="Q985" t="s">
        <v>1681</v>
      </c>
      <c r="R985" t="str">
        <f t="shared" si="31"/>
        <v>Sim</v>
      </c>
      <c r="S985" t="s">
        <v>1681</v>
      </c>
      <c r="T985" t="s">
        <v>30</v>
      </c>
      <c r="U985" t="s">
        <v>670</v>
      </c>
      <c r="V985" s="3">
        <v>-126.95</v>
      </c>
      <c r="W985" t="s">
        <v>324</v>
      </c>
      <c r="X985" s="3">
        <v>-126.95</v>
      </c>
    </row>
    <row r="986" spans="1:24" s="2" customFormat="1" x14ac:dyDescent="0.2">
      <c r="A986" s="2">
        <v>986</v>
      </c>
      <c r="B986" t="s">
        <v>1767</v>
      </c>
      <c r="C986" t="s">
        <v>1768</v>
      </c>
      <c r="D986" t="s">
        <v>1769</v>
      </c>
      <c r="E986" t="s">
        <v>30</v>
      </c>
      <c r="F986" t="s">
        <v>24</v>
      </c>
      <c r="G986" t="s">
        <v>25</v>
      </c>
      <c r="H986" t="str">
        <f t="shared" si="30"/>
        <v>RT PEDIDO 1531 - GABRIEL FIGUEIRA SOLLERO | Recorrência: | Observações: RT 10% COM NF
APÓS PAGAMENTO DO CLIENTE A RT É LIBERADO E SERÁ PAGO APÓS 10 DIAS DO ENVIO DA NF
CASO CLIENTE PARCELAR DEVERÁ CONTAR A LIBERAÇÃO APÓS FINALLIZAÇÃO DO PAGAMENTO INDEPENDENTE DA FORMA( BOLETO OU CRÉDITO)</v>
      </c>
      <c r="I986" t="s">
        <v>491</v>
      </c>
      <c r="J986" s="4">
        <v>416.24</v>
      </c>
      <c r="K986" s="4">
        <v>455311.29</v>
      </c>
      <c r="L986" t="s">
        <v>27</v>
      </c>
      <c r="M986" s="4">
        <v>416.24</v>
      </c>
      <c r="N986" s="3">
        <v>0</v>
      </c>
      <c r="O986" t="s">
        <v>1764</v>
      </c>
      <c r="P986" t="s">
        <v>1704</v>
      </c>
      <c r="Q986" t="s">
        <v>1764</v>
      </c>
      <c r="R986" t="str">
        <f t="shared" si="31"/>
        <v>Sim</v>
      </c>
      <c r="S986" t="s">
        <v>1764</v>
      </c>
      <c r="T986" t="s">
        <v>1770</v>
      </c>
      <c r="U986" t="s">
        <v>49</v>
      </c>
      <c r="V986" s="3">
        <v>416.24</v>
      </c>
      <c r="W986" t="s">
        <v>494</v>
      </c>
      <c r="X986" s="3">
        <v>416.24</v>
      </c>
    </row>
    <row r="987" spans="1:24" s="2" customFormat="1" x14ac:dyDescent="0.2">
      <c r="A987">
        <v>987</v>
      </c>
      <c r="B987"/>
      <c r="C987" t="s">
        <v>1141</v>
      </c>
      <c r="D987" t="s">
        <v>1669</v>
      </c>
      <c r="E987" t="s">
        <v>195</v>
      </c>
      <c r="F987" t="s">
        <v>24</v>
      </c>
      <c r="G987" t="s">
        <v>25</v>
      </c>
      <c r="H987" t="str">
        <f t="shared" si="30"/>
        <v xml:space="preserve">GERENCIAMENTO DE PROJETO | Recorrência:2/3 | Observações: </v>
      </c>
      <c r="I987" t="s">
        <v>491</v>
      </c>
      <c r="J987" s="4">
        <v>2000</v>
      </c>
      <c r="K987" s="4">
        <v>457311.29</v>
      </c>
      <c r="L987" t="s">
        <v>27</v>
      </c>
      <c r="M987" s="4">
        <v>2000</v>
      </c>
      <c r="N987" s="3">
        <v>0</v>
      </c>
      <c r="O987" t="s">
        <v>1766</v>
      </c>
      <c r="P987" t="s">
        <v>1694</v>
      </c>
      <c r="Q987" t="s">
        <v>1694</v>
      </c>
      <c r="R987" t="str">
        <f t="shared" si="31"/>
        <v>Sim</v>
      </c>
      <c r="S987" t="s">
        <v>1694</v>
      </c>
      <c r="T987" t="s">
        <v>30</v>
      </c>
      <c r="U987" t="s">
        <v>274</v>
      </c>
      <c r="V987" s="3">
        <v>2000</v>
      </c>
      <c r="W987" t="s">
        <v>166</v>
      </c>
      <c r="X987" s="3">
        <v>2000</v>
      </c>
    </row>
    <row r="988" spans="1:24" s="2" customFormat="1" x14ac:dyDescent="0.2">
      <c r="A988" s="2">
        <v>988</v>
      </c>
      <c r="B988"/>
      <c r="C988" t="s">
        <v>153</v>
      </c>
      <c r="D988" t="s">
        <v>1772</v>
      </c>
      <c r="E988" t="s">
        <v>30</v>
      </c>
      <c r="F988" t="s">
        <v>63</v>
      </c>
      <c r="G988" t="s">
        <v>25</v>
      </c>
      <c r="H988" t="str">
        <f t="shared" si="30"/>
        <v xml:space="preserve">DIFERENÇA SALÁRIO  - FELIPE | Recorrência: | Observações: REFERENTE A DIFERENÇA PAGAMENTO PELOS 3 DIAS TRABALHADOS APÓS FECHAMENTO </v>
      </c>
      <c r="I988" t="s">
        <v>491</v>
      </c>
      <c r="J988" s="5">
        <v>-298.85000000000002</v>
      </c>
      <c r="K988" s="4">
        <v>457012.44</v>
      </c>
      <c r="L988" t="s">
        <v>27</v>
      </c>
      <c r="M988" s="5">
        <v>-298.85000000000002</v>
      </c>
      <c r="N988" s="3">
        <v>0</v>
      </c>
      <c r="O988" t="s">
        <v>1771</v>
      </c>
      <c r="P988" t="s">
        <v>1741</v>
      </c>
      <c r="Q988" t="s">
        <v>1771</v>
      </c>
      <c r="R988" t="str">
        <f t="shared" si="31"/>
        <v>Sim</v>
      </c>
      <c r="S988" t="s">
        <v>1771</v>
      </c>
      <c r="T988" t="s">
        <v>1773</v>
      </c>
      <c r="U988" t="s">
        <v>323</v>
      </c>
      <c r="V988" s="3">
        <v>-298.85000000000002</v>
      </c>
      <c r="W988" t="s">
        <v>1043</v>
      </c>
      <c r="X988" s="3">
        <v>-298.85000000000002</v>
      </c>
    </row>
    <row r="989" spans="1:24" s="2" customFormat="1" x14ac:dyDescent="0.2">
      <c r="A989">
        <v>989</v>
      </c>
      <c r="B989" t="s">
        <v>647</v>
      </c>
      <c r="C989" t="s">
        <v>648</v>
      </c>
      <c r="D989" t="s">
        <v>1544</v>
      </c>
      <c r="E989" t="s">
        <v>518</v>
      </c>
      <c r="F989" t="s">
        <v>63</v>
      </c>
      <c r="G989" t="s">
        <v>25</v>
      </c>
      <c r="H989" t="str">
        <f t="shared" si="30"/>
        <v xml:space="preserve">HONORARIOS CONTABEIS | Recorrência:4/12 | Observações: </v>
      </c>
      <c r="I989" t="s">
        <v>26</v>
      </c>
      <c r="J989" s="5">
        <v>-925</v>
      </c>
      <c r="K989" s="4">
        <v>456087.44</v>
      </c>
      <c r="L989" t="s">
        <v>27</v>
      </c>
      <c r="M989" s="5">
        <v>-925</v>
      </c>
      <c r="N989" s="3">
        <v>0</v>
      </c>
      <c r="O989" t="s">
        <v>1771</v>
      </c>
      <c r="P989" t="s">
        <v>1741</v>
      </c>
      <c r="Q989" t="s">
        <v>1716</v>
      </c>
      <c r="R989" t="str">
        <f t="shared" si="31"/>
        <v>Sim</v>
      </c>
      <c r="S989" t="s">
        <v>1716</v>
      </c>
      <c r="T989" t="s">
        <v>30</v>
      </c>
      <c r="U989" t="s">
        <v>608</v>
      </c>
      <c r="V989" s="3">
        <v>-925</v>
      </c>
      <c r="W989" t="s">
        <v>297</v>
      </c>
      <c r="X989" s="3">
        <v>-925</v>
      </c>
    </row>
    <row r="990" spans="1:24" s="2" customFormat="1" x14ac:dyDescent="0.2">
      <c r="A990" s="2">
        <v>990</v>
      </c>
      <c r="B990" t="s">
        <v>647</v>
      </c>
      <c r="C990" t="s">
        <v>648</v>
      </c>
      <c r="D990" t="s">
        <v>1774</v>
      </c>
      <c r="E990" t="s">
        <v>30</v>
      </c>
      <c r="F990" t="s">
        <v>63</v>
      </c>
      <c r="G990" t="s">
        <v>25</v>
      </c>
      <c r="H990" t="str">
        <f t="shared" si="30"/>
        <v xml:space="preserve">4/35 - DARF ISS 4/36 | Recorrência: | Observações: </v>
      </c>
      <c r="I990" t="s">
        <v>26</v>
      </c>
      <c r="J990" s="5">
        <v>-468.82</v>
      </c>
      <c r="K990" s="4">
        <v>455618.62</v>
      </c>
      <c r="L990" t="s">
        <v>27</v>
      </c>
      <c r="M990" s="5">
        <v>-468.82</v>
      </c>
      <c r="N990" s="3">
        <v>0</v>
      </c>
      <c r="O990" t="s">
        <v>1771</v>
      </c>
      <c r="P990" t="s">
        <v>1474</v>
      </c>
      <c r="Q990" t="s">
        <v>1764</v>
      </c>
      <c r="R990" t="str">
        <f t="shared" si="31"/>
        <v>Sim</v>
      </c>
      <c r="S990" t="s">
        <v>1764</v>
      </c>
      <c r="T990" t="s">
        <v>30</v>
      </c>
      <c r="U990" t="s">
        <v>1098</v>
      </c>
      <c r="V990" s="3">
        <v>-468.82</v>
      </c>
      <c r="W990" t="s">
        <v>324</v>
      </c>
      <c r="X990" s="3">
        <v>-468.82</v>
      </c>
    </row>
    <row r="991" spans="1:24" s="2" customFormat="1" x14ac:dyDescent="0.2">
      <c r="A991">
        <v>991</v>
      </c>
      <c r="B991" t="s">
        <v>1304</v>
      </c>
      <c r="C991" t="s">
        <v>1305</v>
      </c>
      <c r="D991" t="s">
        <v>1775</v>
      </c>
      <c r="E991" t="s">
        <v>133</v>
      </c>
      <c r="F991" t="s">
        <v>24</v>
      </c>
      <c r="G991" t="s">
        <v>25</v>
      </c>
      <c r="H991" t="str">
        <f t="shared" si="30"/>
        <v xml:space="preserve">RT PROJETO TIAGO KOCHI♥JULIANA IWAMOTO - ORÇ 0115/22 | Recorrência:2/5 | Observações: </v>
      </c>
      <c r="I991" t="s">
        <v>491</v>
      </c>
      <c r="J991" s="4">
        <v>2670</v>
      </c>
      <c r="K991" s="4">
        <v>458288.62</v>
      </c>
      <c r="L991" t="s">
        <v>27</v>
      </c>
      <c r="M991" s="4">
        <v>2670</v>
      </c>
      <c r="N991" s="3">
        <v>0</v>
      </c>
      <c r="O991" t="s">
        <v>1771</v>
      </c>
      <c r="P991" t="s">
        <v>1694</v>
      </c>
      <c r="Q991" t="s">
        <v>1771</v>
      </c>
      <c r="R991" t="str">
        <f t="shared" si="31"/>
        <v>nao</v>
      </c>
      <c r="S991" t="s">
        <v>1766</v>
      </c>
      <c r="T991" t="s">
        <v>30</v>
      </c>
      <c r="U991" t="s">
        <v>49</v>
      </c>
      <c r="V991" s="3">
        <v>2670</v>
      </c>
      <c r="W991" t="s">
        <v>494</v>
      </c>
      <c r="X991" s="3">
        <v>2670</v>
      </c>
    </row>
    <row r="992" spans="1:24" s="2" customFormat="1" x14ac:dyDescent="0.2">
      <c r="A992" s="2">
        <v>992</v>
      </c>
      <c r="B992" t="s">
        <v>1677</v>
      </c>
      <c r="C992" t="s">
        <v>1678</v>
      </c>
      <c r="D992" t="s">
        <v>1679</v>
      </c>
      <c r="E992" t="s">
        <v>95</v>
      </c>
      <c r="F992" t="s">
        <v>24</v>
      </c>
      <c r="G992" t="s">
        <v>25</v>
      </c>
      <c r="H992" t="str">
        <f t="shared" si="30"/>
        <v xml:space="preserve">PROJETO - QUARTOS_FILHOS | Recorrência:2/2 | Observações: </v>
      </c>
      <c r="I992" t="s">
        <v>991</v>
      </c>
      <c r="J992" s="4">
        <v>3500</v>
      </c>
      <c r="K992" s="4">
        <v>461788.62</v>
      </c>
      <c r="L992" t="s">
        <v>27</v>
      </c>
      <c r="M992" s="4">
        <v>3500</v>
      </c>
      <c r="N992" s="3">
        <v>0</v>
      </c>
      <c r="O992" t="s">
        <v>1776</v>
      </c>
      <c r="P992" t="s">
        <v>1731</v>
      </c>
      <c r="Q992" t="s">
        <v>1741</v>
      </c>
      <c r="R992" t="str">
        <f t="shared" si="31"/>
        <v>Sim</v>
      </c>
      <c r="S992" t="s">
        <v>1741</v>
      </c>
      <c r="T992" t="s">
        <v>30</v>
      </c>
      <c r="U992" t="s">
        <v>31</v>
      </c>
      <c r="V992" s="3">
        <v>3500</v>
      </c>
      <c r="W992" t="s">
        <v>32</v>
      </c>
      <c r="X992" s="3">
        <v>3500</v>
      </c>
    </row>
    <row r="993" spans="1:24" s="2" customFormat="1" x14ac:dyDescent="0.2">
      <c r="A993">
        <v>993</v>
      </c>
      <c r="B993" t="s">
        <v>1777</v>
      </c>
      <c r="C993" t="s">
        <v>1778</v>
      </c>
      <c r="D993" t="s">
        <v>1779</v>
      </c>
      <c r="E993" t="s">
        <v>30</v>
      </c>
      <c r="F993" t="s">
        <v>24</v>
      </c>
      <c r="G993" t="s">
        <v>25</v>
      </c>
      <c r="H993" t="str">
        <f t="shared" si="30"/>
        <v xml:space="preserve">RT - PEDIDO 170369 - TIAGO ♥ JULIANA IWAMOTO | Recorrência: | Observações: </v>
      </c>
      <c r="I993" t="s">
        <v>491</v>
      </c>
      <c r="J993" s="4">
        <v>4495.41</v>
      </c>
      <c r="K993" s="4">
        <v>466284.03</v>
      </c>
      <c r="L993" t="s">
        <v>27</v>
      </c>
      <c r="M993" s="4">
        <v>4495.41</v>
      </c>
      <c r="N993" s="3">
        <v>0</v>
      </c>
      <c r="O993" t="s">
        <v>1776</v>
      </c>
      <c r="P993" t="s">
        <v>1493</v>
      </c>
      <c r="Q993" t="s">
        <v>1776</v>
      </c>
      <c r="R993" t="str">
        <f t="shared" si="31"/>
        <v>Sim</v>
      </c>
      <c r="S993" t="s">
        <v>1776</v>
      </c>
      <c r="T993" t="s">
        <v>30</v>
      </c>
      <c r="U993" t="s">
        <v>49</v>
      </c>
      <c r="V993" s="3">
        <v>4495.41</v>
      </c>
      <c r="W993" t="s">
        <v>494</v>
      </c>
      <c r="X993" s="3">
        <v>4495.41</v>
      </c>
    </row>
    <row r="994" spans="1:24" s="2" customFormat="1" x14ac:dyDescent="0.2">
      <c r="A994" s="2">
        <v>994</v>
      </c>
      <c r="B994" t="s">
        <v>1061</v>
      </c>
      <c r="C994" t="s">
        <v>1062</v>
      </c>
      <c r="D994" t="s">
        <v>1781</v>
      </c>
      <c r="E994" t="s">
        <v>30</v>
      </c>
      <c r="F994" t="s">
        <v>24</v>
      </c>
      <c r="G994" t="s">
        <v>25</v>
      </c>
      <c r="H994" t="str">
        <f t="shared" si="30"/>
        <v xml:space="preserve">RT PEDIDO 171527 - GABRIELA BORGES | Recorrência: | Observações: </v>
      </c>
      <c r="I994" t="s">
        <v>491</v>
      </c>
      <c r="J994" s="4">
        <v>1747.39</v>
      </c>
      <c r="K994" s="4">
        <v>468031.42</v>
      </c>
      <c r="L994" t="s">
        <v>27</v>
      </c>
      <c r="M994" s="4">
        <v>1747.39</v>
      </c>
      <c r="N994" s="3">
        <v>0</v>
      </c>
      <c r="O994" t="s">
        <v>1780</v>
      </c>
      <c r="P994" t="s">
        <v>1734</v>
      </c>
      <c r="Q994" t="s">
        <v>1771</v>
      </c>
      <c r="R994" t="str">
        <f t="shared" si="31"/>
        <v>Sim</v>
      </c>
      <c r="S994" t="s">
        <v>1771</v>
      </c>
      <c r="T994" t="s">
        <v>30</v>
      </c>
      <c r="U994" t="s">
        <v>49</v>
      </c>
      <c r="V994" s="3">
        <v>1747.39</v>
      </c>
      <c r="W994" t="s">
        <v>494</v>
      </c>
      <c r="X994" s="3">
        <v>1747.39</v>
      </c>
    </row>
    <row r="995" spans="1:24" s="2" customFormat="1" x14ac:dyDescent="0.2">
      <c r="A995">
        <v>995</v>
      </c>
      <c r="B995" t="s">
        <v>1088</v>
      </c>
      <c r="C995" t="s">
        <v>1089</v>
      </c>
      <c r="D995" t="s">
        <v>1782</v>
      </c>
      <c r="E995" t="s">
        <v>30</v>
      </c>
      <c r="F995" t="s">
        <v>24</v>
      </c>
      <c r="G995" t="s">
        <v>25</v>
      </c>
      <c r="H995" t="str">
        <f t="shared" si="30"/>
        <v xml:space="preserve">RT  - DIANA E DIGO - ED MANDARIM | Recorrência: | Observações: </v>
      </c>
      <c r="I995" t="s">
        <v>491</v>
      </c>
      <c r="J995" s="4">
        <v>2830</v>
      </c>
      <c r="K995" s="4">
        <v>470861.42</v>
      </c>
      <c r="L995" t="s">
        <v>27</v>
      </c>
      <c r="M995" s="4">
        <v>2830</v>
      </c>
      <c r="N995" s="3">
        <v>0</v>
      </c>
      <c r="O995" t="s">
        <v>1551</v>
      </c>
      <c r="P995" t="s">
        <v>1783</v>
      </c>
      <c r="Q995" t="s">
        <v>1551</v>
      </c>
      <c r="R995" t="str">
        <f t="shared" si="31"/>
        <v>Sim</v>
      </c>
      <c r="S995" t="s">
        <v>1551</v>
      </c>
      <c r="T995" t="s">
        <v>30</v>
      </c>
      <c r="U995" t="s">
        <v>49</v>
      </c>
      <c r="V995" s="3">
        <v>2830</v>
      </c>
      <c r="W995" t="s">
        <v>494</v>
      </c>
      <c r="X995" s="3">
        <v>2830</v>
      </c>
    </row>
    <row r="996" spans="1:24" s="2" customFormat="1" x14ac:dyDescent="0.2">
      <c r="A996" s="2">
        <v>996</v>
      </c>
      <c r="B996" t="s">
        <v>1048</v>
      </c>
      <c r="C996" t="s">
        <v>1049</v>
      </c>
      <c r="D996" t="s">
        <v>1784</v>
      </c>
      <c r="E996" t="s">
        <v>34</v>
      </c>
      <c r="F996" t="s">
        <v>24</v>
      </c>
      <c r="G996" t="s">
        <v>25</v>
      </c>
      <c r="H996" t="str">
        <f t="shared" si="30"/>
        <v>RT - ORÇ 0115122 - TIAGO KOCH ♥ JULIANA IWAMOTO | Recorrência:2/4 | Observações: PAGAMENTO RT SERÁ REALIZADO MEDIANTE AS CONDIÇÕES DE PAGAMENTO DO CLIENTE</v>
      </c>
      <c r="I996" t="s">
        <v>491</v>
      </c>
      <c r="J996" s="4">
        <v>2500</v>
      </c>
      <c r="K996" s="4">
        <v>473361.42</v>
      </c>
      <c r="L996" t="s">
        <v>27</v>
      </c>
      <c r="M996" s="4">
        <v>2500</v>
      </c>
      <c r="N996" s="3">
        <v>0</v>
      </c>
      <c r="O996" t="s">
        <v>1551</v>
      </c>
      <c r="P996" t="s">
        <v>1771</v>
      </c>
      <c r="Q996" t="s">
        <v>1771</v>
      </c>
      <c r="R996" t="str">
        <f t="shared" si="31"/>
        <v>Sim</v>
      </c>
      <c r="S996" t="s">
        <v>1771</v>
      </c>
      <c r="T996" t="s">
        <v>1698</v>
      </c>
      <c r="U996" t="s">
        <v>49</v>
      </c>
      <c r="V996" s="3">
        <v>2500</v>
      </c>
      <c r="W996" t="s">
        <v>494</v>
      </c>
      <c r="X996" s="3">
        <v>2500</v>
      </c>
    </row>
    <row r="997" spans="1:24" s="2" customFormat="1" x14ac:dyDescent="0.2">
      <c r="A997">
        <v>997</v>
      </c>
      <c r="B997" t="s">
        <v>1718</v>
      </c>
      <c r="C997" t="s">
        <v>1719</v>
      </c>
      <c r="D997" t="s">
        <v>1720</v>
      </c>
      <c r="E997" t="s">
        <v>95</v>
      </c>
      <c r="F997" t="s">
        <v>63</v>
      </c>
      <c r="G997" t="s">
        <v>25</v>
      </c>
      <c r="H997" t="str">
        <f t="shared" si="30"/>
        <v xml:space="preserve">PEDIDO&gt; MN ARQUITETURA E INTERIORES  | Recorrência:2/2 | Observações: </v>
      </c>
      <c r="I997" t="s">
        <v>755</v>
      </c>
      <c r="J997" s="5">
        <v>-800</v>
      </c>
      <c r="K997" s="4">
        <v>472561.42</v>
      </c>
      <c r="L997" t="s">
        <v>27</v>
      </c>
      <c r="M997" s="5">
        <v>-800</v>
      </c>
      <c r="N997" s="3">
        <v>0</v>
      </c>
      <c r="O997" t="s">
        <v>1785</v>
      </c>
      <c r="P997" t="s">
        <v>1749</v>
      </c>
      <c r="Q997" t="s">
        <v>1786</v>
      </c>
      <c r="R997" t="str">
        <f t="shared" si="31"/>
        <v>Sim</v>
      </c>
      <c r="S997" t="s">
        <v>1786</v>
      </c>
      <c r="T997" t="s">
        <v>30</v>
      </c>
      <c r="U997" t="s">
        <v>1371</v>
      </c>
      <c r="V997" s="3">
        <v>-800</v>
      </c>
      <c r="W997" t="s">
        <v>1722</v>
      </c>
      <c r="X997" s="3">
        <v>-800</v>
      </c>
    </row>
    <row r="998" spans="1:24" s="2" customFormat="1" x14ac:dyDescent="0.2">
      <c r="A998" s="2">
        <v>998</v>
      </c>
      <c r="B998" t="s">
        <v>647</v>
      </c>
      <c r="C998" t="s">
        <v>648</v>
      </c>
      <c r="D998" t="s">
        <v>1556</v>
      </c>
      <c r="E998" t="s">
        <v>518</v>
      </c>
      <c r="F998" t="s">
        <v>63</v>
      </c>
      <c r="G998" t="s">
        <v>25</v>
      </c>
      <c r="H998" t="str">
        <f t="shared" si="30"/>
        <v xml:space="preserve">DARF PREVIDÊNCIARIO | Recorrência:4/12 | Observações: </v>
      </c>
      <c r="I998" t="s">
        <v>26</v>
      </c>
      <c r="J998" s="5">
        <v>-1424.08</v>
      </c>
      <c r="K998" s="4">
        <v>471137.34</v>
      </c>
      <c r="L998" t="s">
        <v>27</v>
      </c>
      <c r="M998" s="5">
        <v>-1424.08</v>
      </c>
      <c r="N998" s="3">
        <v>0</v>
      </c>
      <c r="O998" t="s">
        <v>1785</v>
      </c>
      <c r="P998" t="s">
        <v>1787</v>
      </c>
      <c r="Q998" t="s">
        <v>1786</v>
      </c>
      <c r="R998" t="str">
        <f t="shared" si="31"/>
        <v>Sim</v>
      </c>
      <c r="S998" t="s">
        <v>1786</v>
      </c>
      <c r="T998" t="s">
        <v>30</v>
      </c>
      <c r="U998" t="s">
        <v>601</v>
      </c>
      <c r="V998" s="3">
        <v>-1424.08</v>
      </c>
      <c r="W998" t="s">
        <v>376</v>
      </c>
      <c r="X998" s="3">
        <v>-1424.08</v>
      </c>
    </row>
    <row r="999" spans="1:24" s="2" customFormat="1" x14ac:dyDescent="0.2">
      <c r="A999">
        <v>999</v>
      </c>
      <c r="B999" t="s">
        <v>1789</v>
      </c>
      <c r="C999" t="s">
        <v>1790</v>
      </c>
      <c r="D999" t="s">
        <v>1791</v>
      </c>
      <c r="E999" t="s">
        <v>30</v>
      </c>
      <c r="F999" t="s">
        <v>24</v>
      </c>
      <c r="G999" t="s">
        <v>25</v>
      </c>
      <c r="H999" t="str">
        <f t="shared" si="30"/>
        <v xml:space="preserve">RT PEDIDO 38486 - TIAGO KOCH♥JULIANA IWAMOTO | Recorrência: | Observações: </v>
      </c>
      <c r="I999" t="s">
        <v>491</v>
      </c>
      <c r="J999" s="4">
        <v>536.54</v>
      </c>
      <c r="K999" s="4">
        <v>471673.88</v>
      </c>
      <c r="L999" t="s">
        <v>27</v>
      </c>
      <c r="M999" s="4">
        <v>536.54</v>
      </c>
      <c r="N999" s="3">
        <v>0</v>
      </c>
      <c r="O999" t="s">
        <v>1788</v>
      </c>
      <c r="P999" t="s">
        <v>1792</v>
      </c>
      <c r="Q999" t="s">
        <v>1788</v>
      </c>
      <c r="R999" t="str">
        <f t="shared" si="31"/>
        <v>Sim</v>
      </c>
      <c r="S999" t="s">
        <v>1788</v>
      </c>
      <c r="T999" t="s">
        <v>30</v>
      </c>
      <c r="U999" t="s">
        <v>49</v>
      </c>
      <c r="V999" s="3">
        <v>536.54</v>
      </c>
      <c r="W999" t="s">
        <v>494</v>
      </c>
      <c r="X999" s="3">
        <v>536.54</v>
      </c>
    </row>
    <row r="1000" spans="1:24" s="2" customFormat="1" x14ac:dyDescent="0.2">
      <c r="A1000" s="2">
        <v>1000</v>
      </c>
      <c r="B1000" t="s">
        <v>647</v>
      </c>
      <c r="C1000" t="s">
        <v>648</v>
      </c>
      <c r="D1000" t="s">
        <v>1715</v>
      </c>
      <c r="E1000" t="s">
        <v>518</v>
      </c>
      <c r="F1000" t="s">
        <v>63</v>
      </c>
      <c r="G1000" t="s">
        <v>25</v>
      </c>
      <c r="H1000" t="str">
        <f t="shared" si="30"/>
        <v xml:space="preserve">DARF PIS | Recorrência:4/12 | Observações: </v>
      </c>
      <c r="I1000" t="s">
        <v>26</v>
      </c>
      <c r="J1000" s="5">
        <v>-53.87</v>
      </c>
      <c r="K1000" s="4">
        <v>471620.01</v>
      </c>
      <c r="L1000" t="s">
        <v>27</v>
      </c>
      <c r="M1000" s="5">
        <v>-53.87</v>
      </c>
      <c r="N1000" s="3">
        <v>0</v>
      </c>
      <c r="O1000" t="s">
        <v>1793</v>
      </c>
      <c r="P1000" t="s">
        <v>1734</v>
      </c>
      <c r="Q1000" t="s">
        <v>1742</v>
      </c>
      <c r="R1000" t="str">
        <f t="shared" si="31"/>
        <v>Sim</v>
      </c>
      <c r="S1000" t="s">
        <v>1742</v>
      </c>
      <c r="T1000" t="s">
        <v>30</v>
      </c>
      <c r="U1000" t="s">
        <v>1508</v>
      </c>
      <c r="V1000" s="3">
        <v>-53.87</v>
      </c>
      <c r="W1000" t="s">
        <v>297</v>
      </c>
      <c r="X1000" s="3">
        <v>-53.87</v>
      </c>
    </row>
    <row r="1001" spans="1:24" s="2" customFormat="1" x14ac:dyDescent="0.2">
      <c r="A1001">
        <v>1001</v>
      </c>
      <c r="B1001" t="s">
        <v>647</v>
      </c>
      <c r="C1001" t="s">
        <v>648</v>
      </c>
      <c r="D1001" t="s">
        <v>1794</v>
      </c>
      <c r="E1001" t="s">
        <v>518</v>
      </c>
      <c r="F1001" t="s">
        <v>63</v>
      </c>
      <c r="G1001" t="s">
        <v>25</v>
      </c>
      <c r="H1001" t="str">
        <f t="shared" si="30"/>
        <v xml:space="preserve">DARF COFINS - | Recorrência:4/12 | Observações: </v>
      </c>
      <c r="I1001" t="s">
        <v>26</v>
      </c>
      <c r="J1001" s="5">
        <v>-248.65</v>
      </c>
      <c r="K1001" s="4">
        <v>471371.36</v>
      </c>
      <c r="L1001" t="s">
        <v>27</v>
      </c>
      <c r="M1001" s="5">
        <v>-248.65</v>
      </c>
      <c r="N1001" s="3">
        <v>0</v>
      </c>
      <c r="O1001" t="s">
        <v>1793</v>
      </c>
      <c r="P1001" t="s">
        <v>1792</v>
      </c>
      <c r="Q1001" t="s">
        <v>1795</v>
      </c>
      <c r="R1001" t="str">
        <f t="shared" si="31"/>
        <v>Sim</v>
      </c>
      <c r="S1001" t="s">
        <v>1795</v>
      </c>
      <c r="T1001" t="s">
        <v>30</v>
      </c>
      <c r="U1001" t="s">
        <v>1508</v>
      </c>
      <c r="V1001" s="3">
        <v>-248.65</v>
      </c>
      <c r="W1001" t="s">
        <v>297</v>
      </c>
      <c r="X1001" s="3">
        <v>-248.65</v>
      </c>
    </row>
    <row r="1002" spans="1:24" s="2" customFormat="1" x14ac:dyDescent="0.2">
      <c r="A1002" s="2">
        <v>1002</v>
      </c>
      <c r="B1002" t="s">
        <v>1088</v>
      </c>
      <c r="C1002" t="s">
        <v>1089</v>
      </c>
      <c r="D1002" t="s">
        <v>1796</v>
      </c>
      <c r="E1002" t="s">
        <v>30</v>
      </c>
      <c r="F1002" t="s">
        <v>24</v>
      </c>
      <c r="G1002" t="s">
        <v>25</v>
      </c>
      <c r="H1002" t="str">
        <f t="shared" si="30"/>
        <v xml:space="preserve">RT - LUCIENE GIL MARCH | Recorrência: | Observações: </v>
      </c>
      <c r="I1002" t="s">
        <v>491</v>
      </c>
      <c r="J1002" s="4">
        <v>3385</v>
      </c>
      <c r="K1002" s="4">
        <v>474756.36</v>
      </c>
      <c r="L1002" t="s">
        <v>27</v>
      </c>
      <c r="M1002" s="4">
        <v>3385</v>
      </c>
      <c r="N1002" s="3">
        <v>0</v>
      </c>
      <c r="O1002" t="s">
        <v>1793</v>
      </c>
      <c r="P1002" t="s">
        <v>1793</v>
      </c>
      <c r="Q1002" t="s">
        <v>1793</v>
      </c>
      <c r="R1002" t="str">
        <f t="shared" si="31"/>
        <v>Sim</v>
      </c>
      <c r="S1002" t="s">
        <v>1793</v>
      </c>
      <c r="T1002" t="s">
        <v>30</v>
      </c>
      <c r="U1002" t="s">
        <v>49</v>
      </c>
      <c r="V1002" s="3">
        <v>3385</v>
      </c>
      <c r="W1002" t="s">
        <v>494</v>
      </c>
      <c r="X1002" s="3">
        <v>3385</v>
      </c>
    </row>
    <row r="1003" spans="1:24" s="2" customFormat="1" x14ac:dyDescent="0.2">
      <c r="A1003">
        <v>1003</v>
      </c>
      <c r="B1003"/>
      <c r="C1003" t="s">
        <v>153</v>
      </c>
      <c r="D1003" t="s">
        <v>1798</v>
      </c>
      <c r="E1003" t="s">
        <v>30</v>
      </c>
      <c r="F1003" t="s">
        <v>63</v>
      </c>
      <c r="G1003" t="s">
        <v>25</v>
      </c>
      <c r="H1003" t="str">
        <f t="shared" si="30"/>
        <v>COMPRAS MATERIAIS LIMPEZA/HIGIENE | Recorrência: | Observações: CIA DE Distribuição - 105,00 - cnpj - 47,508,411/2662-61
CIA DE Distribuição - 112,59 - cnpj - 47.508.411/1051-79</v>
      </c>
      <c r="I1003" t="s">
        <v>1072</v>
      </c>
      <c r="J1003" s="5">
        <v>-217.59</v>
      </c>
      <c r="K1003" s="4">
        <v>474538.77</v>
      </c>
      <c r="L1003" t="s">
        <v>27</v>
      </c>
      <c r="M1003" s="5">
        <v>-217.59</v>
      </c>
      <c r="N1003" s="3">
        <v>0</v>
      </c>
      <c r="O1003" t="s">
        <v>1797</v>
      </c>
      <c r="P1003" t="s">
        <v>1797</v>
      </c>
      <c r="Q1003" t="s">
        <v>1795</v>
      </c>
      <c r="R1003" t="str">
        <f t="shared" si="31"/>
        <v>Sim</v>
      </c>
      <c r="S1003" t="s">
        <v>1795</v>
      </c>
      <c r="T1003" t="s">
        <v>1799</v>
      </c>
      <c r="U1003" t="s">
        <v>1127</v>
      </c>
      <c r="V1003" s="3">
        <v>-217.59</v>
      </c>
      <c r="W1003" t="s">
        <v>1722</v>
      </c>
      <c r="X1003" s="3">
        <v>-217.59</v>
      </c>
    </row>
    <row r="1004" spans="1:24" s="2" customFormat="1" x14ac:dyDescent="0.2">
      <c r="A1004" s="2">
        <v>1004</v>
      </c>
      <c r="B1004" t="s">
        <v>1673</v>
      </c>
      <c r="C1004" t="s">
        <v>1674</v>
      </c>
      <c r="D1004" t="s">
        <v>1801</v>
      </c>
      <c r="E1004" t="s">
        <v>30</v>
      </c>
      <c r="F1004" t="s">
        <v>24</v>
      </c>
      <c r="G1004" t="s">
        <v>25</v>
      </c>
      <c r="H1004" t="str">
        <f t="shared" si="30"/>
        <v xml:space="preserve">RT PEDIDO 24250423 - TIAGO KOCH♥JULIANA IWAMOTO | Recorrência: | Observações: </v>
      </c>
      <c r="I1004" t="s">
        <v>491</v>
      </c>
      <c r="J1004" s="4">
        <v>2185</v>
      </c>
      <c r="K1004" s="4">
        <v>476723.77</v>
      </c>
      <c r="L1004" t="s">
        <v>27</v>
      </c>
      <c r="M1004" s="4">
        <v>2185</v>
      </c>
      <c r="N1004" s="3">
        <v>0</v>
      </c>
      <c r="O1004" t="s">
        <v>1800</v>
      </c>
      <c r="P1004" t="s">
        <v>1802</v>
      </c>
      <c r="Q1004" t="s">
        <v>1802</v>
      </c>
      <c r="R1004" t="str">
        <f t="shared" si="31"/>
        <v>Sim</v>
      </c>
      <c r="S1004" t="s">
        <v>1802</v>
      </c>
      <c r="T1004" t="s">
        <v>30</v>
      </c>
      <c r="U1004" t="s">
        <v>49</v>
      </c>
      <c r="V1004" s="3">
        <v>2185</v>
      </c>
      <c r="W1004" t="s">
        <v>494</v>
      </c>
      <c r="X1004" s="3">
        <v>2185</v>
      </c>
    </row>
    <row r="1005" spans="1:24" s="2" customFormat="1" x14ac:dyDescent="0.2">
      <c r="A1005">
        <v>1005</v>
      </c>
      <c r="B1005"/>
      <c r="C1005" t="s">
        <v>828</v>
      </c>
      <c r="D1005" t="s">
        <v>830</v>
      </c>
      <c r="E1005" t="s">
        <v>1804</v>
      </c>
      <c r="F1005" t="s">
        <v>63</v>
      </c>
      <c r="G1005" t="s">
        <v>25</v>
      </c>
      <c r="H1005" t="str">
        <f t="shared" si="30"/>
        <v xml:space="preserve">PREFEITURA DO MUNICIPIO DE BERTIOGA | Recorrência:14/41 | Observações: REF.02 PAGAMENTOS </v>
      </c>
      <c r="I1005" t="s">
        <v>26</v>
      </c>
      <c r="J1005" s="5">
        <v>-230.15</v>
      </c>
      <c r="K1005" s="4">
        <v>476493.62</v>
      </c>
      <c r="L1005" t="s">
        <v>27</v>
      </c>
      <c r="M1005" s="5">
        <v>-230.15</v>
      </c>
      <c r="N1005" s="3">
        <v>0</v>
      </c>
      <c r="O1005" t="s">
        <v>1803</v>
      </c>
      <c r="P1005" t="s">
        <v>1805</v>
      </c>
      <c r="Q1005" t="s">
        <v>1806</v>
      </c>
      <c r="R1005" t="str">
        <f t="shared" si="31"/>
        <v>Sim</v>
      </c>
      <c r="S1005" t="s">
        <v>1806</v>
      </c>
      <c r="T1005" t="s">
        <v>831</v>
      </c>
      <c r="U1005" t="s">
        <v>832</v>
      </c>
      <c r="V1005" s="3">
        <v>-230.15</v>
      </c>
      <c r="W1005" t="s">
        <v>219</v>
      </c>
      <c r="X1005" s="3">
        <v>-230.15</v>
      </c>
    </row>
    <row r="1006" spans="1:24" s="2" customFormat="1" x14ac:dyDescent="0.2">
      <c r="A1006" s="2">
        <v>1006</v>
      </c>
      <c r="B1006"/>
      <c r="C1006" t="s">
        <v>710</v>
      </c>
      <c r="D1006" t="s">
        <v>1807</v>
      </c>
      <c r="E1006" t="s">
        <v>471</v>
      </c>
      <c r="F1006" t="s">
        <v>63</v>
      </c>
      <c r="G1006" t="s">
        <v>25</v>
      </c>
      <c r="H1006" t="str">
        <f t="shared" si="30"/>
        <v xml:space="preserve">ENERGIA ELÉTRICA - Referente mês de março/2023 | Recorrência:3/12 | Observações: </v>
      </c>
      <c r="I1006" t="s">
        <v>26</v>
      </c>
      <c r="J1006" s="5">
        <v>-614.16999999999996</v>
      </c>
      <c r="K1006" s="4">
        <v>475879.45</v>
      </c>
      <c r="L1006" t="s">
        <v>27</v>
      </c>
      <c r="M1006" s="5">
        <v>-614.16999999999996</v>
      </c>
      <c r="N1006" s="3">
        <v>0</v>
      </c>
      <c r="O1006" t="s">
        <v>1803</v>
      </c>
      <c r="P1006" t="s">
        <v>1602</v>
      </c>
      <c r="Q1006" t="s">
        <v>1734</v>
      </c>
      <c r="R1006" t="str">
        <f t="shared" si="31"/>
        <v>nao</v>
      </c>
      <c r="S1006" t="s">
        <v>1657</v>
      </c>
      <c r="T1006" t="s">
        <v>30</v>
      </c>
      <c r="U1006" t="s">
        <v>125</v>
      </c>
      <c r="V1006" s="3">
        <v>-614.16999999999996</v>
      </c>
      <c r="W1006" t="s">
        <v>125</v>
      </c>
      <c r="X1006" s="3">
        <v>-614.16999999999996</v>
      </c>
    </row>
    <row r="1007" spans="1:24" s="2" customFormat="1" x14ac:dyDescent="0.2">
      <c r="A1007">
        <v>1007</v>
      </c>
      <c r="B1007" t="s">
        <v>647</v>
      </c>
      <c r="C1007" t="s">
        <v>648</v>
      </c>
      <c r="D1007" t="s">
        <v>1808</v>
      </c>
      <c r="E1007" t="s">
        <v>30</v>
      </c>
      <c r="F1007" t="s">
        <v>63</v>
      </c>
      <c r="G1007" t="s">
        <v>25</v>
      </c>
      <c r="H1007" t="str">
        <f t="shared" si="30"/>
        <v xml:space="preserve">2/12 - DARF IRPJ 2/12 | Recorrência: | Observações: </v>
      </c>
      <c r="I1007" t="s">
        <v>26</v>
      </c>
      <c r="J1007" s="5">
        <v>-1381.4</v>
      </c>
      <c r="K1007" s="4">
        <v>474498.05</v>
      </c>
      <c r="L1007" t="s">
        <v>27</v>
      </c>
      <c r="M1007" s="5">
        <v>-1381.4</v>
      </c>
      <c r="N1007" s="3">
        <v>0</v>
      </c>
      <c r="O1007" t="s">
        <v>1803</v>
      </c>
      <c r="P1007" t="s">
        <v>1392</v>
      </c>
      <c r="Q1007" t="s">
        <v>1800</v>
      </c>
      <c r="R1007" t="str">
        <f t="shared" si="31"/>
        <v>Sim</v>
      </c>
      <c r="S1007" t="s">
        <v>1800</v>
      </c>
      <c r="T1007" t="s">
        <v>30</v>
      </c>
      <c r="U1007" t="s">
        <v>1508</v>
      </c>
      <c r="V1007" s="3">
        <v>-1381.4</v>
      </c>
      <c r="W1007" t="s">
        <v>1115</v>
      </c>
      <c r="X1007" s="3">
        <v>-1381.4</v>
      </c>
    </row>
    <row r="1008" spans="1:24" s="2" customFormat="1" x14ac:dyDescent="0.2">
      <c r="A1008" s="2">
        <v>1008</v>
      </c>
      <c r="B1008" t="s">
        <v>647</v>
      </c>
      <c r="C1008" t="s">
        <v>648</v>
      </c>
      <c r="D1008" t="s">
        <v>1809</v>
      </c>
      <c r="E1008" t="s">
        <v>30</v>
      </c>
      <c r="F1008" t="s">
        <v>63</v>
      </c>
      <c r="G1008" t="s">
        <v>25</v>
      </c>
      <c r="H1008" t="str">
        <f t="shared" si="30"/>
        <v xml:space="preserve">2/11 - DARF CSLL 2/12 | Recorrência: | Observações: </v>
      </c>
      <c r="I1008" t="s">
        <v>26</v>
      </c>
      <c r="J1008" s="5">
        <v>-1065.6300000000001</v>
      </c>
      <c r="K1008" s="4">
        <v>473432.42</v>
      </c>
      <c r="L1008" t="s">
        <v>27</v>
      </c>
      <c r="M1008" s="5">
        <v>-1065.6300000000001</v>
      </c>
      <c r="N1008" s="3">
        <v>0</v>
      </c>
      <c r="O1008" t="s">
        <v>1803</v>
      </c>
      <c r="P1008" t="s">
        <v>1391</v>
      </c>
      <c r="Q1008" t="s">
        <v>1800</v>
      </c>
      <c r="R1008" t="str">
        <f t="shared" si="31"/>
        <v>Sim</v>
      </c>
      <c r="S1008" t="s">
        <v>1800</v>
      </c>
      <c r="T1008" t="s">
        <v>30</v>
      </c>
      <c r="U1008" t="s">
        <v>728</v>
      </c>
      <c r="V1008" s="3">
        <v>-1065.6300000000001</v>
      </c>
      <c r="W1008" t="s">
        <v>1115</v>
      </c>
      <c r="X1008" s="3">
        <v>-1065.6300000000001</v>
      </c>
    </row>
    <row r="1009" spans="1:24" s="2" customFormat="1" x14ac:dyDescent="0.2">
      <c r="A1009">
        <v>1009</v>
      </c>
      <c r="B1009" t="s">
        <v>1810</v>
      </c>
      <c r="C1009" t="s">
        <v>1811</v>
      </c>
      <c r="D1009" t="s">
        <v>1812</v>
      </c>
      <c r="E1009" t="s">
        <v>38</v>
      </c>
      <c r="F1009" t="s">
        <v>24</v>
      </c>
      <c r="G1009" t="s">
        <v>25</v>
      </c>
      <c r="H1009" t="str">
        <f t="shared" si="30"/>
        <v xml:space="preserve">PROJETO - EDIFICIO D'ORU | Recorrência:1/3 | Observações: </v>
      </c>
      <c r="I1009" t="s">
        <v>991</v>
      </c>
      <c r="J1009" s="4">
        <v>3000</v>
      </c>
      <c r="K1009" s="4">
        <v>476432.42</v>
      </c>
      <c r="L1009" t="s">
        <v>27</v>
      </c>
      <c r="M1009" s="4">
        <v>3000</v>
      </c>
      <c r="N1009" s="3">
        <v>0</v>
      </c>
      <c r="O1009" t="s">
        <v>1803</v>
      </c>
      <c r="P1009" t="s">
        <v>1802</v>
      </c>
      <c r="Q1009" t="s">
        <v>1776</v>
      </c>
      <c r="R1009" t="str">
        <f t="shared" si="31"/>
        <v>Sim</v>
      </c>
      <c r="S1009" t="s">
        <v>1776</v>
      </c>
      <c r="T1009" t="s">
        <v>30</v>
      </c>
      <c r="U1009" t="s">
        <v>31</v>
      </c>
      <c r="V1009" s="3">
        <v>3000</v>
      </c>
      <c r="W1009" t="s">
        <v>32</v>
      </c>
      <c r="X1009" s="3">
        <v>3000</v>
      </c>
    </row>
    <row r="1010" spans="1:24" s="2" customFormat="1" x14ac:dyDescent="0.2">
      <c r="A1010" s="2">
        <v>1010</v>
      </c>
      <c r="B1010" t="s">
        <v>1813</v>
      </c>
      <c r="C1010" t="s">
        <v>1814</v>
      </c>
      <c r="D1010" t="s">
        <v>1815</v>
      </c>
      <c r="E1010" t="s">
        <v>38</v>
      </c>
      <c r="F1010" t="s">
        <v>24</v>
      </c>
      <c r="G1010" t="s">
        <v>25</v>
      </c>
      <c r="H1010" t="str">
        <f t="shared" si="30"/>
        <v>RT&gt; Proposta 221005 e Proposta 230239 - TIAGO KOCH♥JULIANA IWAMOTO | Recorrência:1/3 | Observações: Proposta 221005: Valor Total Pedido: R$23.293,00 &gt;  VALOR TOTAL RT 5%: R$ 1.164,65 &gt; Dividido em 3 parcelas, conforme pagamento cliente
1°parcela: R$ 524,09 – Data Pagamento: *28/04/2023*
2° Parcela: R$ 524,09 - Data Pagamento: 28/05/2023
3° Parcela: R$ 116,46- Data Pagamento: 28/06/2023
Proposta 230239: Valor Total Pedido: R$5.803,00 -  VALOR RT 5%: R$ 290,15 -  Data Pagamento: *28/04/2023*</v>
      </c>
      <c r="I1010" t="s">
        <v>26</v>
      </c>
      <c r="J1010" s="4">
        <v>802.03</v>
      </c>
      <c r="K1010" s="4">
        <v>477234.45</v>
      </c>
      <c r="L1010" t="s">
        <v>27</v>
      </c>
      <c r="M1010" s="4">
        <v>802.03</v>
      </c>
      <c r="N1010" s="3">
        <v>0</v>
      </c>
      <c r="O1010" t="s">
        <v>1803</v>
      </c>
      <c r="P1010" t="s">
        <v>1734</v>
      </c>
      <c r="Q1010" t="s">
        <v>1803</v>
      </c>
      <c r="R1010" t="str">
        <f t="shared" si="31"/>
        <v>Sim</v>
      </c>
      <c r="S1010" t="s">
        <v>1803</v>
      </c>
      <c r="T1010" t="s">
        <v>1816</v>
      </c>
      <c r="U1010" t="s">
        <v>49</v>
      </c>
      <c r="V1010" s="3">
        <v>802.03</v>
      </c>
      <c r="W1010" t="s">
        <v>494</v>
      </c>
      <c r="X1010" s="3">
        <v>802.03</v>
      </c>
    </row>
    <row r="1011" spans="1:24" s="2" customFormat="1" x14ac:dyDescent="0.2">
      <c r="A1011">
        <v>1011</v>
      </c>
      <c r="B1011" t="s">
        <v>1777</v>
      </c>
      <c r="C1011" t="s">
        <v>1778</v>
      </c>
      <c r="D1011" t="s">
        <v>1817</v>
      </c>
      <c r="E1011" t="s">
        <v>30</v>
      </c>
      <c r="F1011" t="s">
        <v>24</v>
      </c>
      <c r="G1011" t="s">
        <v>25</v>
      </c>
      <c r="H1011" t="str">
        <f t="shared" si="30"/>
        <v xml:space="preserve">RT  Pedido 171365 - Juliana Iwamoto♥Tiago Koch | Recorrência: | Observações: </v>
      </c>
      <c r="I1011" t="s">
        <v>491</v>
      </c>
      <c r="J1011" s="4">
        <v>526.9</v>
      </c>
      <c r="K1011" s="4">
        <v>477761.35</v>
      </c>
      <c r="L1011" t="s">
        <v>27</v>
      </c>
      <c r="M1011" s="4">
        <v>526.9</v>
      </c>
      <c r="N1011" s="3">
        <v>0</v>
      </c>
      <c r="O1011" t="s">
        <v>1803</v>
      </c>
      <c r="P1011" t="s">
        <v>1797</v>
      </c>
      <c r="Q1011" t="s">
        <v>1806</v>
      </c>
      <c r="R1011" t="str">
        <f t="shared" si="31"/>
        <v>Sim</v>
      </c>
      <c r="S1011" t="s">
        <v>1806</v>
      </c>
      <c r="T1011" t="s">
        <v>30</v>
      </c>
      <c r="U1011" t="s">
        <v>49</v>
      </c>
      <c r="V1011" s="3">
        <v>526.9</v>
      </c>
      <c r="W1011" t="s">
        <v>494</v>
      </c>
      <c r="X1011" s="3">
        <v>526.9</v>
      </c>
    </row>
    <row r="1012" spans="1:24" s="2" customFormat="1" x14ac:dyDescent="0.2">
      <c r="A1012" s="2">
        <v>1012</v>
      </c>
      <c r="B1012"/>
      <c r="C1012" t="s">
        <v>153</v>
      </c>
      <c r="D1012" t="s">
        <v>1818</v>
      </c>
      <c r="E1012" t="s">
        <v>518</v>
      </c>
      <c r="F1012" t="s">
        <v>63</v>
      </c>
      <c r="G1012" t="s">
        <v>25</v>
      </c>
      <c r="H1012" t="str">
        <f t="shared" si="30"/>
        <v>DIÁRIAS  JULIANA SOARES - REFERENTE  ABRIL | Recorrência:4/12 | Observações: DIÁRIAS: 03-11-18 E 26 JANEIRO</v>
      </c>
      <c r="I1012" t="s">
        <v>491</v>
      </c>
      <c r="J1012" s="5">
        <v>-480</v>
      </c>
      <c r="K1012" s="4">
        <v>477281.35</v>
      </c>
      <c r="L1012" t="s">
        <v>27</v>
      </c>
      <c r="M1012" s="5">
        <v>-480</v>
      </c>
      <c r="N1012" s="3">
        <v>0</v>
      </c>
      <c r="O1012" t="s">
        <v>1806</v>
      </c>
      <c r="P1012" t="s">
        <v>1742</v>
      </c>
      <c r="Q1012" t="s">
        <v>1806</v>
      </c>
      <c r="R1012" t="str">
        <f t="shared" si="31"/>
        <v>nao</v>
      </c>
      <c r="S1012" t="s">
        <v>1731</v>
      </c>
      <c r="T1012" t="s">
        <v>1668</v>
      </c>
      <c r="U1012" t="s">
        <v>691</v>
      </c>
      <c r="V1012" s="3">
        <v>-480</v>
      </c>
      <c r="W1012" t="s">
        <v>1058</v>
      </c>
      <c r="X1012" s="3">
        <v>-480</v>
      </c>
    </row>
    <row r="1013" spans="1:24" s="2" customFormat="1" x14ac:dyDescent="0.2">
      <c r="A1013">
        <v>1013</v>
      </c>
      <c r="B1013" t="s">
        <v>647</v>
      </c>
      <c r="C1013" t="s">
        <v>648</v>
      </c>
      <c r="D1013" t="s">
        <v>1715</v>
      </c>
      <c r="E1013" t="s">
        <v>566</v>
      </c>
      <c r="F1013" t="s">
        <v>63</v>
      </c>
      <c r="G1013" t="s">
        <v>25</v>
      </c>
      <c r="H1013" t="str">
        <f t="shared" si="30"/>
        <v xml:space="preserve">DARF PIS | Recorrência:5/12 | Observações: </v>
      </c>
      <c r="I1013" t="s">
        <v>26</v>
      </c>
      <c r="J1013" s="5">
        <v>-23.01</v>
      </c>
      <c r="K1013" s="4">
        <v>477258.34</v>
      </c>
      <c r="L1013" t="s">
        <v>27</v>
      </c>
      <c r="M1013" s="5">
        <v>-23.01</v>
      </c>
      <c r="N1013" s="3">
        <v>0</v>
      </c>
      <c r="O1013" t="s">
        <v>1819</v>
      </c>
      <c r="P1013" t="s">
        <v>1806</v>
      </c>
      <c r="Q1013" t="s">
        <v>1819</v>
      </c>
      <c r="R1013" t="str">
        <f t="shared" si="31"/>
        <v>Sim</v>
      </c>
      <c r="S1013" t="s">
        <v>1819</v>
      </c>
      <c r="T1013" t="s">
        <v>30</v>
      </c>
      <c r="U1013" t="s">
        <v>1508</v>
      </c>
      <c r="V1013" s="3">
        <v>-23.01</v>
      </c>
      <c r="W1013" t="s">
        <v>297</v>
      </c>
      <c r="X1013" s="3">
        <v>-23.01</v>
      </c>
    </row>
    <row r="1014" spans="1:24" s="2" customFormat="1" x14ac:dyDescent="0.2">
      <c r="A1014" s="2">
        <v>1014</v>
      </c>
      <c r="B1014"/>
      <c r="C1014" t="s">
        <v>153</v>
      </c>
      <c r="D1014" t="s">
        <v>1820</v>
      </c>
      <c r="E1014" t="s">
        <v>30</v>
      </c>
      <c r="F1014" t="s">
        <v>63</v>
      </c>
      <c r="G1014" t="s">
        <v>25</v>
      </c>
      <c r="H1014" t="str">
        <f t="shared" si="30"/>
        <v xml:space="preserve">5/7 - SALÁRIO MARCELA S CAVALCANTE 5/12 | Recorrência: | Observações: </v>
      </c>
      <c r="I1014" t="s">
        <v>991</v>
      </c>
      <c r="J1014" s="5">
        <v>-2781.46</v>
      </c>
      <c r="K1014" s="4">
        <v>474476.88</v>
      </c>
      <c r="L1014" t="s">
        <v>27</v>
      </c>
      <c r="M1014" s="5">
        <v>-2781.46</v>
      </c>
      <c r="N1014" s="3">
        <v>0</v>
      </c>
      <c r="O1014" t="s">
        <v>1744</v>
      </c>
      <c r="P1014" t="s">
        <v>1095</v>
      </c>
      <c r="Q1014" t="s">
        <v>1819</v>
      </c>
      <c r="R1014" t="str">
        <f t="shared" si="31"/>
        <v>nao</v>
      </c>
      <c r="S1014" t="s">
        <v>1744</v>
      </c>
      <c r="T1014" t="s">
        <v>30</v>
      </c>
      <c r="U1014" t="s">
        <v>323</v>
      </c>
      <c r="V1014" s="3">
        <v>-2781.46</v>
      </c>
      <c r="W1014" t="s">
        <v>1164</v>
      </c>
      <c r="X1014" s="3">
        <v>-2781.46</v>
      </c>
    </row>
    <row r="1015" spans="1:24" s="2" customFormat="1" x14ac:dyDescent="0.2">
      <c r="A1015">
        <v>1015</v>
      </c>
      <c r="B1015"/>
      <c r="C1015" t="s">
        <v>153</v>
      </c>
      <c r="D1015" t="s">
        <v>1821</v>
      </c>
      <c r="E1015" t="s">
        <v>30</v>
      </c>
      <c r="F1015" t="s">
        <v>63</v>
      </c>
      <c r="G1015" t="s">
        <v>25</v>
      </c>
      <c r="H1015" t="str">
        <f t="shared" si="30"/>
        <v xml:space="preserve">5/11 - SALÁRIO - JULYA 5/12 | Recorrência: | Observações: </v>
      </c>
      <c r="I1015" t="s">
        <v>991</v>
      </c>
      <c r="J1015" s="5">
        <v>-4259.93</v>
      </c>
      <c r="K1015" s="4">
        <v>470216.95</v>
      </c>
      <c r="L1015" t="s">
        <v>27</v>
      </c>
      <c r="M1015" s="5">
        <v>-4259.93</v>
      </c>
      <c r="N1015" s="3">
        <v>0</v>
      </c>
      <c r="O1015" t="s">
        <v>1744</v>
      </c>
      <c r="P1015" t="s">
        <v>1457</v>
      </c>
      <c r="Q1015" t="s">
        <v>1819</v>
      </c>
      <c r="R1015" t="str">
        <f t="shared" si="31"/>
        <v>Sim</v>
      </c>
      <c r="S1015" t="s">
        <v>1819</v>
      </c>
      <c r="T1015" t="s">
        <v>30</v>
      </c>
      <c r="U1015" t="s">
        <v>323</v>
      </c>
      <c r="V1015" s="3">
        <v>-4259.93</v>
      </c>
      <c r="W1015" t="s">
        <v>1164</v>
      </c>
      <c r="X1015" s="3">
        <v>-4259.93</v>
      </c>
    </row>
    <row r="1016" spans="1:24" s="2" customFormat="1" x14ac:dyDescent="0.2">
      <c r="A1016" s="2">
        <v>1016</v>
      </c>
      <c r="B1016"/>
      <c r="C1016" t="s">
        <v>153</v>
      </c>
      <c r="D1016" t="s">
        <v>1822</v>
      </c>
      <c r="E1016" t="s">
        <v>30</v>
      </c>
      <c r="F1016" t="s">
        <v>63</v>
      </c>
      <c r="G1016" t="s">
        <v>25</v>
      </c>
      <c r="H1016" t="str">
        <f t="shared" si="30"/>
        <v xml:space="preserve">5/10 - ELIANE - VALE TRANSPORTE 5/12 | Recorrência: | Observações: </v>
      </c>
      <c r="I1016" t="s">
        <v>991</v>
      </c>
      <c r="J1016" s="5">
        <v>-334.44</v>
      </c>
      <c r="K1016" s="4">
        <v>469882.51</v>
      </c>
      <c r="L1016" t="s">
        <v>27</v>
      </c>
      <c r="M1016" s="5">
        <v>-334.44</v>
      </c>
      <c r="N1016" s="3">
        <v>0</v>
      </c>
      <c r="O1016" t="s">
        <v>1744</v>
      </c>
      <c r="P1016" t="s">
        <v>1500</v>
      </c>
      <c r="Q1016" t="s">
        <v>1744</v>
      </c>
      <c r="R1016" t="str">
        <f t="shared" si="31"/>
        <v>Sim</v>
      </c>
      <c r="S1016" t="s">
        <v>1744</v>
      </c>
      <c r="T1016" t="s">
        <v>30</v>
      </c>
      <c r="U1016" t="s">
        <v>698</v>
      </c>
      <c r="V1016" s="3">
        <v>-334.44</v>
      </c>
      <c r="W1016" t="s">
        <v>698</v>
      </c>
      <c r="X1016" s="3">
        <v>-334.44</v>
      </c>
    </row>
    <row r="1017" spans="1:24" s="2" customFormat="1" x14ac:dyDescent="0.2">
      <c r="A1017">
        <v>1017</v>
      </c>
      <c r="B1017"/>
      <c r="C1017" t="s">
        <v>710</v>
      </c>
      <c r="D1017" t="s">
        <v>1823</v>
      </c>
      <c r="E1017" t="s">
        <v>518</v>
      </c>
      <c r="F1017" t="s">
        <v>63</v>
      </c>
      <c r="G1017" t="s">
        <v>25</v>
      </c>
      <c r="H1017" t="str">
        <f t="shared" si="30"/>
        <v xml:space="preserve">ENERGIA ELÉTRICA - Referente abril / 2023 | Recorrência:4/12 | Observações: </v>
      </c>
      <c r="I1017" t="s">
        <v>26</v>
      </c>
      <c r="J1017" s="5">
        <v>-509.19</v>
      </c>
      <c r="K1017" s="4">
        <v>469373.32</v>
      </c>
      <c r="L1017" t="s">
        <v>27</v>
      </c>
      <c r="M1017" s="5">
        <v>-509.19</v>
      </c>
      <c r="N1017" s="3">
        <v>0</v>
      </c>
      <c r="O1017" t="s">
        <v>1744</v>
      </c>
      <c r="P1017" t="s">
        <v>1551</v>
      </c>
      <c r="Q1017" t="s">
        <v>1744</v>
      </c>
      <c r="R1017" t="str">
        <f t="shared" si="31"/>
        <v>Sim</v>
      </c>
      <c r="S1017" t="s">
        <v>1744</v>
      </c>
      <c r="T1017" t="s">
        <v>30</v>
      </c>
      <c r="U1017" t="s">
        <v>125</v>
      </c>
      <c r="V1017" s="3">
        <v>-509.19</v>
      </c>
      <c r="W1017" t="s">
        <v>125</v>
      </c>
      <c r="X1017" s="3">
        <v>-509.19</v>
      </c>
    </row>
    <row r="1018" spans="1:24" s="2" customFormat="1" x14ac:dyDescent="0.2">
      <c r="A1018" s="2">
        <v>1018</v>
      </c>
      <c r="B1018"/>
      <c r="C1018" t="s">
        <v>153</v>
      </c>
      <c r="D1018" t="s">
        <v>1585</v>
      </c>
      <c r="E1018" t="s">
        <v>518</v>
      </c>
      <c r="F1018" t="s">
        <v>63</v>
      </c>
      <c r="G1018" t="s">
        <v>25</v>
      </c>
      <c r="H1018" t="str">
        <f t="shared" si="30"/>
        <v xml:space="preserve">SODEXO - ELIANE | Recorrência:4/12 | Observações: </v>
      </c>
      <c r="I1018" t="s">
        <v>26</v>
      </c>
      <c r="J1018" s="5">
        <v>-639.1</v>
      </c>
      <c r="K1018" s="4">
        <v>468734.22</v>
      </c>
      <c r="L1018" t="s">
        <v>27</v>
      </c>
      <c r="M1018" s="5">
        <v>-639.1</v>
      </c>
      <c r="N1018" s="3">
        <v>0</v>
      </c>
      <c r="O1018" t="s">
        <v>1744</v>
      </c>
      <c r="P1018" t="s">
        <v>1806</v>
      </c>
      <c r="Q1018" t="s">
        <v>1744</v>
      </c>
      <c r="R1018" t="str">
        <f t="shared" si="31"/>
        <v>Sim</v>
      </c>
      <c r="S1018" t="s">
        <v>1744</v>
      </c>
      <c r="T1018" t="s">
        <v>30</v>
      </c>
      <c r="U1018" t="s">
        <v>93</v>
      </c>
      <c r="V1018" s="3">
        <v>-639.1</v>
      </c>
      <c r="W1018" t="s">
        <v>331</v>
      </c>
      <c r="X1018" s="3">
        <v>-639.1</v>
      </c>
    </row>
    <row r="1019" spans="1:24" s="2" customFormat="1" x14ac:dyDescent="0.2">
      <c r="A1019">
        <v>1019</v>
      </c>
      <c r="B1019" t="s">
        <v>1393</v>
      </c>
      <c r="C1019" t="s">
        <v>1394</v>
      </c>
      <c r="D1019" t="s">
        <v>1824</v>
      </c>
      <c r="E1019" t="s">
        <v>30</v>
      </c>
      <c r="F1019" t="s">
        <v>24</v>
      </c>
      <c r="G1019" t="s">
        <v>25</v>
      </c>
      <c r="H1019" t="str">
        <f t="shared" si="30"/>
        <v>RT - TIAGO KOCH | Recorrência: | Observações: No. Pedido
272986
Data da Baixa
14/04/2023
Nome do Cliente
TIAGO FARIAS KOCH
Valor do Pedido
R$ 2.735,33
Valor pago com vale
0.0
Porcentagem
4%
Pontos/Produtos
14
Pontos/Dinheiro
109
Disponível em
14/05/2023</v>
      </c>
      <c r="I1019" t="s">
        <v>491</v>
      </c>
      <c r="J1019" s="4">
        <v>94.25</v>
      </c>
      <c r="K1019" s="4">
        <v>468828.47</v>
      </c>
      <c r="L1019" t="s">
        <v>27</v>
      </c>
      <c r="M1019" s="4">
        <v>94.25</v>
      </c>
      <c r="N1019" s="3">
        <v>0</v>
      </c>
      <c r="O1019" t="s">
        <v>1744</v>
      </c>
      <c r="P1019" t="s">
        <v>1795</v>
      </c>
      <c r="Q1019" t="s">
        <v>1744</v>
      </c>
      <c r="R1019" t="str">
        <f t="shared" si="31"/>
        <v>nao</v>
      </c>
      <c r="S1019" t="s">
        <v>1825</v>
      </c>
      <c r="T1019" t="s">
        <v>1826</v>
      </c>
      <c r="U1019" t="s">
        <v>49</v>
      </c>
      <c r="V1019" s="3">
        <v>94.25</v>
      </c>
      <c r="W1019" t="s">
        <v>494</v>
      </c>
      <c r="X1019" s="3">
        <v>94.25</v>
      </c>
    </row>
    <row r="1020" spans="1:24" s="2" customFormat="1" x14ac:dyDescent="0.2">
      <c r="A1020" s="2">
        <v>1020</v>
      </c>
      <c r="B1020"/>
      <c r="C1020" t="s">
        <v>153</v>
      </c>
      <c r="D1020" t="s">
        <v>1827</v>
      </c>
      <c r="E1020" t="s">
        <v>30</v>
      </c>
      <c r="F1020" t="s">
        <v>63</v>
      </c>
      <c r="G1020" t="s">
        <v>25</v>
      </c>
      <c r="H1020" t="str">
        <f t="shared" si="30"/>
        <v xml:space="preserve">5/12 - PRÓ LABORE MAYARA 5/12 | Recorrência: | Observações: </v>
      </c>
      <c r="I1020" t="s">
        <v>491</v>
      </c>
      <c r="J1020" s="5">
        <v>-15000</v>
      </c>
      <c r="K1020" s="4">
        <v>453828.47</v>
      </c>
      <c r="L1020" t="s">
        <v>27</v>
      </c>
      <c r="M1020" s="5">
        <v>-15000</v>
      </c>
      <c r="N1020" s="3">
        <v>0</v>
      </c>
      <c r="O1020" t="s">
        <v>1744</v>
      </c>
      <c r="P1020" t="s">
        <v>1457</v>
      </c>
      <c r="Q1020" t="s">
        <v>1744</v>
      </c>
      <c r="R1020" t="str">
        <f t="shared" si="31"/>
        <v>Sim</v>
      </c>
      <c r="S1020" t="s">
        <v>1744</v>
      </c>
      <c r="T1020" t="s">
        <v>30</v>
      </c>
      <c r="U1020" t="s">
        <v>631</v>
      </c>
      <c r="V1020" s="3">
        <v>-15000</v>
      </c>
      <c r="W1020" t="s">
        <v>1164</v>
      </c>
      <c r="X1020" s="3">
        <v>-15000</v>
      </c>
    </row>
    <row r="1021" spans="1:24" s="2" customFormat="1" x14ac:dyDescent="0.2">
      <c r="A1021">
        <v>1021</v>
      </c>
      <c r="B1021"/>
      <c r="C1021" t="s">
        <v>153</v>
      </c>
      <c r="D1021" t="s">
        <v>1828</v>
      </c>
      <c r="E1021" t="s">
        <v>30</v>
      </c>
      <c r="F1021" t="s">
        <v>63</v>
      </c>
      <c r="G1021" t="s">
        <v>25</v>
      </c>
      <c r="H1021" t="str">
        <f t="shared" si="30"/>
        <v xml:space="preserve">5/12 - PRÓ LABORE - NATASHA 5/12 | Recorrência: | Observações: </v>
      </c>
      <c r="I1021" t="s">
        <v>491</v>
      </c>
      <c r="J1021" s="5">
        <v>-15000</v>
      </c>
      <c r="K1021" s="4">
        <v>438828.47</v>
      </c>
      <c r="L1021" t="s">
        <v>27</v>
      </c>
      <c r="M1021" s="5">
        <v>-15000</v>
      </c>
      <c r="N1021" s="3">
        <v>0</v>
      </c>
      <c r="O1021" t="s">
        <v>1744</v>
      </c>
      <c r="P1021" t="s">
        <v>1457</v>
      </c>
      <c r="Q1021" t="s">
        <v>1744</v>
      </c>
      <c r="R1021" t="str">
        <f t="shared" si="31"/>
        <v>Sim</v>
      </c>
      <c r="S1021" t="s">
        <v>1744</v>
      </c>
      <c r="T1021" t="s">
        <v>30</v>
      </c>
      <c r="U1021" t="s">
        <v>631</v>
      </c>
      <c r="V1021" s="3">
        <v>-15000</v>
      </c>
      <c r="W1021" t="s">
        <v>1164</v>
      </c>
      <c r="X1021" s="3">
        <v>-15000</v>
      </c>
    </row>
    <row r="1022" spans="1:24" s="2" customFormat="1" x14ac:dyDescent="0.2">
      <c r="A1022" s="2">
        <v>1022</v>
      </c>
      <c r="B1022"/>
      <c r="C1022" t="s">
        <v>153</v>
      </c>
      <c r="D1022" t="s">
        <v>1829</v>
      </c>
      <c r="E1022" t="s">
        <v>30</v>
      </c>
      <c r="F1022" t="s">
        <v>63</v>
      </c>
      <c r="G1022" t="s">
        <v>25</v>
      </c>
      <c r="H1022" t="str">
        <f t="shared" si="30"/>
        <v xml:space="preserve">SALÁRIO: SAMANTA CRISTINA | Recorrência: | Observações: </v>
      </c>
      <c r="I1022" t="s">
        <v>26</v>
      </c>
      <c r="J1022" s="5">
        <v>-657.54</v>
      </c>
      <c r="K1022" s="4">
        <v>438170.93</v>
      </c>
      <c r="L1022" t="s">
        <v>27</v>
      </c>
      <c r="M1022" s="5">
        <v>-657.54</v>
      </c>
      <c r="N1022" s="3">
        <v>0</v>
      </c>
      <c r="O1022" t="s">
        <v>1744</v>
      </c>
      <c r="P1022" t="s">
        <v>1793</v>
      </c>
      <c r="Q1022" t="s">
        <v>1744</v>
      </c>
      <c r="R1022" t="str">
        <f t="shared" si="31"/>
        <v>Sim</v>
      </c>
      <c r="S1022" t="s">
        <v>1744</v>
      </c>
      <c r="T1022" t="s">
        <v>30</v>
      </c>
      <c r="U1022" t="s">
        <v>323</v>
      </c>
      <c r="V1022" s="3">
        <v>-657.54</v>
      </c>
      <c r="W1022" t="s">
        <v>1043</v>
      </c>
      <c r="X1022" s="3">
        <v>-657.54</v>
      </c>
    </row>
    <row r="1023" spans="1:24" s="2" customFormat="1" x14ac:dyDescent="0.2">
      <c r="A1023">
        <v>1023</v>
      </c>
      <c r="B1023"/>
      <c r="C1023" t="s">
        <v>153</v>
      </c>
      <c r="D1023" t="s">
        <v>1831</v>
      </c>
      <c r="E1023" t="s">
        <v>30</v>
      </c>
      <c r="F1023" t="s">
        <v>63</v>
      </c>
      <c r="G1023" t="s">
        <v>25</v>
      </c>
      <c r="H1023" t="str">
        <f t="shared" si="30"/>
        <v xml:space="preserve">SALÁRIO: MAYARA OLIVEIRA | Recorrência: | Observações: </v>
      </c>
      <c r="I1023" t="s">
        <v>491</v>
      </c>
      <c r="J1023" s="5">
        <v>-654.94000000000005</v>
      </c>
      <c r="K1023" s="4">
        <v>437515.99</v>
      </c>
      <c r="L1023" t="s">
        <v>27</v>
      </c>
      <c r="M1023" s="5">
        <v>-654.94000000000005</v>
      </c>
      <c r="N1023" s="3">
        <v>0</v>
      </c>
      <c r="O1023" t="s">
        <v>1830</v>
      </c>
      <c r="P1023" t="s">
        <v>1793</v>
      </c>
      <c r="Q1023" t="s">
        <v>1744</v>
      </c>
      <c r="R1023" t="str">
        <f t="shared" si="31"/>
        <v>Sim</v>
      </c>
      <c r="S1023" t="s">
        <v>1744</v>
      </c>
      <c r="T1023" t="s">
        <v>30</v>
      </c>
      <c r="U1023" t="s">
        <v>49</v>
      </c>
      <c r="V1023" s="3">
        <v>-654.94000000000005</v>
      </c>
      <c r="W1023" t="s">
        <v>1043</v>
      </c>
      <c r="X1023" s="3">
        <v>-654.94000000000005</v>
      </c>
    </row>
    <row r="1024" spans="1:24" s="2" customFormat="1" x14ac:dyDescent="0.2">
      <c r="A1024" s="2">
        <v>1024</v>
      </c>
      <c r="B1024"/>
      <c r="C1024" t="s">
        <v>1141</v>
      </c>
      <c r="D1024" t="s">
        <v>1669</v>
      </c>
      <c r="E1024" t="s">
        <v>148</v>
      </c>
      <c r="F1024" t="s">
        <v>24</v>
      </c>
      <c r="G1024" t="s">
        <v>25</v>
      </c>
      <c r="H1024" t="str">
        <f t="shared" si="30"/>
        <v xml:space="preserve">GERENCIAMENTO DE PROJETO | Recorrência:3/3 | Observações: </v>
      </c>
      <c r="I1024" t="s">
        <v>491</v>
      </c>
      <c r="J1024" s="4">
        <v>2000</v>
      </c>
      <c r="K1024" s="4">
        <v>439515.99</v>
      </c>
      <c r="L1024" t="s">
        <v>27</v>
      </c>
      <c r="M1024" s="4">
        <v>2000</v>
      </c>
      <c r="N1024" s="3">
        <v>0</v>
      </c>
      <c r="O1024" t="s">
        <v>1830</v>
      </c>
      <c r="P1024" t="s">
        <v>1832</v>
      </c>
      <c r="Q1024" t="s">
        <v>1832</v>
      </c>
      <c r="R1024" t="str">
        <f t="shared" si="31"/>
        <v>Sim</v>
      </c>
      <c r="S1024" t="s">
        <v>1832</v>
      </c>
      <c r="T1024" t="s">
        <v>30</v>
      </c>
      <c r="U1024" t="s">
        <v>274</v>
      </c>
      <c r="V1024" s="3">
        <v>2000</v>
      </c>
      <c r="W1024" t="s">
        <v>166</v>
      </c>
      <c r="X1024" s="3">
        <v>2000</v>
      </c>
    </row>
    <row r="1025" spans="1:24" s="2" customFormat="1" x14ac:dyDescent="0.2">
      <c r="A1025">
        <v>1025</v>
      </c>
      <c r="B1025" t="s">
        <v>1833</v>
      </c>
      <c r="C1025" t="s">
        <v>1834</v>
      </c>
      <c r="D1025" t="s">
        <v>1835</v>
      </c>
      <c r="E1025" t="s">
        <v>30</v>
      </c>
      <c r="F1025" t="s">
        <v>24</v>
      </c>
      <c r="G1025" t="s">
        <v>25</v>
      </c>
      <c r="H1025" t="str">
        <f t="shared" si="30"/>
        <v xml:space="preserve">RT LUCIENTE GIL MARCHI | Recorrência: | Observações: </v>
      </c>
      <c r="I1025" t="s">
        <v>491</v>
      </c>
      <c r="J1025" s="4">
        <v>1296.8</v>
      </c>
      <c r="K1025" s="4">
        <v>440812.79</v>
      </c>
      <c r="L1025" t="s">
        <v>27</v>
      </c>
      <c r="M1025" s="4">
        <v>1296.8</v>
      </c>
      <c r="N1025" s="3">
        <v>0</v>
      </c>
      <c r="O1025" t="s">
        <v>1830</v>
      </c>
      <c r="P1025" t="s">
        <v>1836</v>
      </c>
      <c r="Q1025" t="s">
        <v>1830</v>
      </c>
      <c r="R1025" t="str">
        <f t="shared" si="31"/>
        <v>Sim</v>
      </c>
      <c r="S1025" t="s">
        <v>1830</v>
      </c>
      <c r="T1025" t="s">
        <v>30</v>
      </c>
      <c r="U1025" t="s">
        <v>49</v>
      </c>
      <c r="V1025" s="3">
        <v>1296.8</v>
      </c>
      <c r="W1025" t="s">
        <v>494</v>
      </c>
      <c r="X1025" s="3">
        <v>1296.8</v>
      </c>
    </row>
    <row r="1026" spans="1:24" s="2" customFormat="1" x14ac:dyDescent="0.2">
      <c r="A1026" s="2">
        <v>1026</v>
      </c>
      <c r="B1026" t="s">
        <v>1373</v>
      </c>
      <c r="C1026" t="s">
        <v>1374</v>
      </c>
      <c r="D1026" t="s">
        <v>1837</v>
      </c>
      <c r="E1026" t="s">
        <v>148</v>
      </c>
      <c r="F1026" t="s">
        <v>24</v>
      </c>
      <c r="G1026" t="s">
        <v>25</v>
      </c>
      <c r="H1026" t="str">
        <f t="shared" si="30"/>
        <v xml:space="preserve">GERENCIAMEBNTO - MANDARIM | Recorrência:3/3 | Observações: </v>
      </c>
      <c r="I1026" t="s">
        <v>491</v>
      </c>
      <c r="J1026" s="4">
        <v>2500</v>
      </c>
      <c r="K1026" s="4">
        <v>443312.79</v>
      </c>
      <c r="L1026" t="s">
        <v>27</v>
      </c>
      <c r="M1026" s="4">
        <v>2500</v>
      </c>
      <c r="N1026" s="3">
        <v>0</v>
      </c>
      <c r="O1026" t="s">
        <v>1830</v>
      </c>
      <c r="P1026" t="s">
        <v>1731</v>
      </c>
      <c r="Q1026" t="s">
        <v>1830</v>
      </c>
      <c r="R1026" t="str">
        <f t="shared" si="31"/>
        <v>Sim</v>
      </c>
      <c r="S1026" t="s">
        <v>1830</v>
      </c>
      <c r="T1026" t="s">
        <v>30</v>
      </c>
      <c r="U1026" t="s">
        <v>274</v>
      </c>
      <c r="V1026" s="3">
        <v>2500</v>
      </c>
      <c r="W1026" t="s">
        <v>166</v>
      </c>
      <c r="X1026" s="3">
        <v>2500</v>
      </c>
    </row>
    <row r="1027" spans="1:24" s="2" customFormat="1" x14ac:dyDescent="0.2">
      <c r="A1027">
        <v>1027</v>
      </c>
      <c r="B1027" t="s">
        <v>1373</v>
      </c>
      <c r="C1027" t="s">
        <v>1374</v>
      </c>
      <c r="D1027" t="s">
        <v>1838</v>
      </c>
      <c r="E1027" t="s">
        <v>30</v>
      </c>
      <c r="F1027" t="s">
        <v>24</v>
      </c>
      <c r="G1027" t="s">
        <v>25</v>
      </c>
      <c r="H1027" t="str">
        <f t="shared" ref="H1027:H1090" si="32">D1027&amp;" | "&amp;$E$1&amp;E1027&amp;" | Observações: "&amp;T1027</f>
        <v xml:space="preserve">1/4 - GERENCIAMENTO QUAD STUDIO | Recorrência: | Observações: </v>
      </c>
      <c r="I1027" t="s">
        <v>491</v>
      </c>
      <c r="J1027" s="4">
        <v>2500</v>
      </c>
      <c r="K1027" s="4">
        <v>445812.79</v>
      </c>
      <c r="L1027" t="s">
        <v>27</v>
      </c>
      <c r="M1027" s="4">
        <v>2500</v>
      </c>
      <c r="N1027" s="3">
        <v>0</v>
      </c>
      <c r="O1027" t="s">
        <v>1830</v>
      </c>
      <c r="P1027" t="s">
        <v>1564</v>
      </c>
      <c r="Q1027" t="s">
        <v>1830</v>
      </c>
      <c r="R1027" t="str">
        <f t="shared" ref="R1027:R1090" si="33">IF(Q1027=S1027,"Sim","nao")</f>
        <v>Sim</v>
      </c>
      <c r="S1027" t="s">
        <v>1830</v>
      </c>
      <c r="T1027" t="s">
        <v>30</v>
      </c>
      <c r="U1027" t="s">
        <v>274</v>
      </c>
      <c r="V1027" s="3">
        <v>2500</v>
      </c>
    </row>
    <row r="1028" spans="1:24" s="2" customFormat="1" x14ac:dyDescent="0.2">
      <c r="A1028" s="2">
        <v>1028</v>
      </c>
      <c r="B1028"/>
      <c r="C1028" t="s">
        <v>153</v>
      </c>
      <c r="D1028" t="s">
        <v>1579</v>
      </c>
      <c r="E1028" t="s">
        <v>566</v>
      </c>
      <c r="F1028" t="s">
        <v>63</v>
      </c>
      <c r="G1028" t="s">
        <v>25</v>
      </c>
      <c r="H1028" t="str">
        <f t="shared" si="32"/>
        <v xml:space="preserve">SALÁRIO ELIANE  | Recorrência:5/12 | Observações: </v>
      </c>
      <c r="I1028" t="s">
        <v>491</v>
      </c>
      <c r="J1028" s="5">
        <v>-1614.96</v>
      </c>
      <c r="K1028" s="4">
        <v>444197.83</v>
      </c>
      <c r="L1028" t="s">
        <v>27</v>
      </c>
      <c r="M1028" s="5">
        <v>-1614.96</v>
      </c>
      <c r="N1028" s="3">
        <v>0</v>
      </c>
      <c r="O1028" t="s">
        <v>1839</v>
      </c>
      <c r="P1028" t="s">
        <v>1840</v>
      </c>
      <c r="Q1028" t="s">
        <v>1819</v>
      </c>
      <c r="R1028" t="str">
        <f t="shared" si="33"/>
        <v>Sim</v>
      </c>
      <c r="S1028" t="s">
        <v>1819</v>
      </c>
      <c r="T1028" t="s">
        <v>30</v>
      </c>
      <c r="U1028" t="s">
        <v>323</v>
      </c>
      <c r="V1028" s="3">
        <v>-1614.96</v>
      </c>
      <c r="W1028" t="s">
        <v>1164</v>
      </c>
      <c r="X1028" s="3">
        <v>-1614.96</v>
      </c>
    </row>
    <row r="1029" spans="1:24" s="2" customFormat="1" x14ac:dyDescent="0.2">
      <c r="A1029">
        <v>1029</v>
      </c>
      <c r="B1029" t="s">
        <v>1016</v>
      </c>
      <c r="C1029" t="s">
        <v>1017</v>
      </c>
      <c r="D1029" t="s">
        <v>1017</v>
      </c>
      <c r="E1029" t="s">
        <v>398</v>
      </c>
      <c r="F1029" t="s">
        <v>63</v>
      </c>
      <c r="G1029" t="s">
        <v>25</v>
      </c>
      <c r="H1029" t="str">
        <f t="shared" si="32"/>
        <v xml:space="preserve">WEBDAS | Recorrência:2/12 | Observações: </v>
      </c>
      <c r="I1029" t="s">
        <v>755</v>
      </c>
      <c r="J1029" s="5">
        <v>-131.69999999999999</v>
      </c>
      <c r="K1029" s="4">
        <v>444066.13</v>
      </c>
      <c r="L1029" t="s">
        <v>27</v>
      </c>
      <c r="M1029" s="5">
        <v>-131.69999999999999</v>
      </c>
      <c r="N1029" s="3">
        <v>0</v>
      </c>
      <c r="O1029" t="s">
        <v>1839</v>
      </c>
      <c r="P1029" t="s">
        <v>1806</v>
      </c>
      <c r="Q1029" t="s">
        <v>1841</v>
      </c>
      <c r="R1029" t="str">
        <f t="shared" si="33"/>
        <v>Sim</v>
      </c>
      <c r="S1029" t="s">
        <v>1841</v>
      </c>
      <c r="T1029" t="s">
        <v>30</v>
      </c>
      <c r="U1029" t="s">
        <v>344</v>
      </c>
      <c r="V1029" s="3">
        <v>-131.69999999999999</v>
      </c>
      <c r="W1029" t="s">
        <v>1058</v>
      </c>
      <c r="X1029" s="3">
        <v>-131.69999999999999</v>
      </c>
    </row>
    <row r="1030" spans="1:24" s="2" customFormat="1" x14ac:dyDescent="0.2">
      <c r="A1030" s="2">
        <v>1030</v>
      </c>
      <c r="B1030" t="s">
        <v>647</v>
      </c>
      <c r="C1030" t="s">
        <v>648</v>
      </c>
      <c r="D1030" t="s">
        <v>1842</v>
      </c>
      <c r="E1030" t="s">
        <v>30</v>
      </c>
      <c r="F1030" t="s">
        <v>63</v>
      </c>
      <c r="G1030" t="s">
        <v>25</v>
      </c>
      <c r="H1030" t="str">
        <f t="shared" si="32"/>
        <v xml:space="preserve">5/12 - FGTS 5/12 | Recorrência: | Observações: </v>
      </c>
      <c r="I1030" t="s">
        <v>26</v>
      </c>
      <c r="J1030" s="5">
        <v>-140.25</v>
      </c>
      <c r="K1030" s="4">
        <v>443925.88</v>
      </c>
      <c r="L1030" t="s">
        <v>27</v>
      </c>
      <c r="M1030" s="5">
        <v>-140.25</v>
      </c>
      <c r="N1030" s="3">
        <v>0</v>
      </c>
      <c r="O1030" t="s">
        <v>1839</v>
      </c>
      <c r="P1030" t="s">
        <v>1469</v>
      </c>
      <c r="Q1030" t="s">
        <v>1841</v>
      </c>
      <c r="R1030" t="str">
        <f t="shared" si="33"/>
        <v>Sim</v>
      </c>
      <c r="S1030" t="s">
        <v>1841</v>
      </c>
      <c r="T1030" t="s">
        <v>30</v>
      </c>
      <c r="U1030" t="s">
        <v>1531</v>
      </c>
      <c r="V1030" s="3">
        <v>-140.25</v>
      </c>
    </row>
    <row r="1031" spans="1:24" s="2" customFormat="1" x14ac:dyDescent="0.2">
      <c r="A1031">
        <v>1031</v>
      </c>
      <c r="B1031"/>
      <c r="C1031" t="s">
        <v>574</v>
      </c>
      <c r="D1031" t="s">
        <v>1533</v>
      </c>
      <c r="E1031" t="s">
        <v>566</v>
      </c>
      <c r="F1031" t="s">
        <v>63</v>
      </c>
      <c r="G1031" t="s">
        <v>25</v>
      </c>
      <c r="H1031" t="str">
        <f t="shared" si="32"/>
        <v xml:space="preserve">CONDOMINIO + ALUGUEL | Recorrência:5/12 | Observações: </v>
      </c>
      <c r="I1031" t="s">
        <v>26</v>
      </c>
      <c r="J1031" s="5">
        <v>-6387.32</v>
      </c>
      <c r="K1031" s="4">
        <v>437538.56</v>
      </c>
      <c r="L1031" t="s">
        <v>27</v>
      </c>
      <c r="M1031" s="5">
        <v>-6387.32</v>
      </c>
      <c r="N1031" s="3">
        <v>0</v>
      </c>
      <c r="O1031" t="s">
        <v>1839</v>
      </c>
      <c r="P1031" t="s">
        <v>1843</v>
      </c>
      <c r="Q1031" t="s">
        <v>1841</v>
      </c>
      <c r="R1031" t="str">
        <f t="shared" si="33"/>
        <v>Sim</v>
      </c>
      <c r="S1031" t="s">
        <v>1841</v>
      </c>
      <c r="T1031" t="s">
        <v>30</v>
      </c>
      <c r="U1031" t="s">
        <v>571</v>
      </c>
      <c r="V1031" s="3">
        <v>-6387.32</v>
      </c>
      <c r="W1031" t="s">
        <v>1058</v>
      </c>
      <c r="X1031" s="3">
        <v>-6387.32</v>
      </c>
    </row>
    <row r="1032" spans="1:24" s="2" customFormat="1" x14ac:dyDescent="0.2">
      <c r="A1032" s="2">
        <v>1032</v>
      </c>
      <c r="B1032" t="s">
        <v>1270</v>
      </c>
      <c r="C1032" t="s">
        <v>1271</v>
      </c>
      <c r="D1032" t="s">
        <v>1844</v>
      </c>
      <c r="E1032" t="s">
        <v>30</v>
      </c>
      <c r="F1032" t="s">
        <v>24</v>
      </c>
      <c r="G1032" t="s">
        <v>25</v>
      </c>
      <c r="H1032" t="str">
        <f t="shared" si="32"/>
        <v xml:space="preserve">RT PEDIDO 30/03 - FERNANDA HENRIQUES | Recorrência: | Observações: </v>
      </c>
      <c r="I1032" t="s">
        <v>491</v>
      </c>
      <c r="J1032" s="4">
        <v>1611.83</v>
      </c>
      <c r="K1032" s="4">
        <v>439150.39</v>
      </c>
      <c r="L1032" t="s">
        <v>27</v>
      </c>
      <c r="M1032" s="4">
        <v>1611.83</v>
      </c>
      <c r="N1032" s="3">
        <v>0</v>
      </c>
      <c r="O1032" t="s">
        <v>1839</v>
      </c>
      <c r="P1032" t="s">
        <v>1734</v>
      </c>
      <c r="Q1032" t="s">
        <v>1839</v>
      </c>
      <c r="R1032" t="str">
        <f t="shared" si="33"/>
        <v>Sim</v>
      </c>
      <c r="S1032" t="s">
        <v>1839</v>
      </c>
      <c r="T1032" t="s">
        <v>30</v>
      </c>
      <c r="U1032" t="s">
        <v>49</v>
      </c>
      <c r="V1032" s="3">
        <v>1611.83</v>
      </c>
      <c r="W1032" t="s">
        <v>494</v>
      </c>
      <c r="X1032" s="3">
        <v>1611.83</v>
      </c>
    </row>
    <row r="1033" spans="1:24" s="2" customFormat="1" x14ac:dyDescent="0.2">
      <c r="A1033">
        <v>1033</v>
      </c>
      <c r="B1033"/>
      <c r="C1033" t="s">
        <v>153</v>
      </c>
      <c r="D1033" t="s">
        <v>1682</v>
      </c>
      <c r="E1033" t="s">
        <v>148</v>
      </c>
      <c r="F1033" t="s">
        <v>63</v>
      </c>
      <c r="G1033" t="s">
        <v>25</v>
      </c>
      <c r="H1033" t="str">
        <f t="shared" si="32"/>
        <v xml:space="preserve">BIANCA SANTOS DE FREITAS - CHAVE PIX  23717205854 | Recorrência:3/3 | Observações: </v>
      </c>
      <c r="I1033" t="s">
        <v>491</v>
      </c>
      <c r="J1033" s="5">
        <v>-1000</v>
      </c>
      <c r="K1033" s="4">
        <v>438150.39</v>
      </c>
      <c r="L1033" t="s">
        <v>27</v>
      </c>
      <c r="M1033" s="5">
        <v>-1000</v>
      </c>
      <c r="N1033" s="3">
        <v>0</v>
      </c>
      <c r="O1033" t="s">
        <v>1845</v>
      </c>
      <c r="P1033" t="s">
        <v>1845</v>
      </c>
      <c r="Q1033" t="s">
        <v>1845</v>
      </c>
      <c r="R1033" t="str">
        <f t="shared" si="33"/>
        <v>Sim</v>
      </c>
      <c r="S1033" t="s">
        <v>1845</v>
      </c>
      <c r="T1033" t="s">
        <v>30</v>
      </c>
      <c r="U1033" t="s">
        <v>344</v>
      </c>
      <c r="V1033" s="3">
        <v>-1000</v>
      </c>
      <c r="W1033" t="s">
        <v>1058</v>
      </c>
      <c r="X1033" s="3">
        <v>-1000</v>
      </c>
    </row>
    <row r="1034" spans="1:24" s="2" customFormat="1" x14ac:dyDescent="0.2">
      <c r="A1034" s="2">
        <v>1034</v>
      </c>
      <c r="B1034"/>
      <c r="C1034" t="s">
        <v>1562</v>
      </c>
      <c r="D1034" t="s">
        <v>1846</v>
      </c>
      <c r="E1034" t="s">
        <v>30</v>
      </c>
      <c r="F1034" t="s">
        <v>24</v>
      </c>
      <c r="G1034" t="s">
        <v>25</v>
      </c>
      <c r="H1034" t="str">
        <f t="shared" si="32"/>
        <v xml:space="preserve">ELIAS_MARCENEIRO&gt; sOLLERO | Recorrência: | Observações: </v>
      </c>
      <c r="I1034" t="s">
        <v>491</v>
      </c>
      <c r="J1034" s="4">
        <v>1060</v>
      </c>
      <c r="K1034" s="4">
        <v>439210.39</v>
      </c>
      <c r="L1034" t="s">
        <v>27</v>
      </c>
      <c r="M1034" s="4">
        <v>1060</v>
      </c>
      <c r="N1034" s="3">
        <v>0</v>
      </c>
      <c r="O1034" t="s">
        <v>1763</v>
      </c>
      <c r="P1034" t="s">
        <v>1763</v>
      </c>
      <c r="Q1034" t="s">
        <v>1841</v>
      </c>
      <c r="R1034" t="str">
        <f t="shared" si="33"/>
        <v>Sim</v>
      </c>
      <c r="S1034" t="s">
        <v>1841</v>
      </c>
      <c r="T1034" t="s">
        <v>30</v>
      </c>
      <c r="U1034" t="s">
        <v>49</v>
      </c>
      <c r="V1034" s="3">
        <v>1060</v>
      </c>
      <c r="W1034" t="s">
        <v>494</v>
      </c>
      <c r="X1034" s="3">
        <v>1060</v>
      </c>
    </row>
    <row r="1035" spans="1:24" s="2" customFormat="1" x14ac:dyDescent="0.2">
      <c r="A1035">
        <v>1035</v>
      </c>
      <c r="B1035" t="s">
        <v>1304</v>
      </c>
      <c r="C1035" t="s">
        <v>1305</v>
      </c>
      <c r="D1035" t="s">
        <v>1775</v>
      </c>
      <c r="E1035" t="s">
        <v>199</v>
      </c>
      <c r="F1035" t="s">
        <v>24</v>
      </c>
      <c r="G1035" t="s">
        <v>25</v>
      </c>
      <c r="H1035" t="str">
        <f t="shared" si="32"/>
        <v xml:space="preserve">RT PROJETO TIAGO KOCHI♥JULIANA IWAMOTO - ORÇ 0115/22 | Recorrência:3/5 | Observações: </v>
      </c>
      <c r="I1035" t="s">
        <v>491</v>
      </c>
      <c r="J1035" s="4">
        <v>2668</v>
      </c>
      <c r="K1035" s="4">
        <v>441878.39</v>
      </c>
      <c r="L1035" t="s">
        <v>27</v>
      </c>
      <c r="M1035" s="4">
        <v>2668</v>
      </c>
      <c r="N1035" s="3">
        <v>0</v>
      </c>
      <c r="O1035" t="s">
        <v>1763</v>
      </c>
      <c r="P1035" t="s">
        <v>1832</v>
      </c>
      <c r="Q1035" t="s">
        <v>1763</v>
      </c>
      <c r="R1035" t="str">
        <f t="shared" si="33"/>
        <v>nao</v>
      </c>
      <c r="S1035" t="s">
        <v>1832</v>
      </c>
      <c r="T1035" t="s">
        <v>30</v>
      </c>
      <c r="U1035" t="s">
        <v>49</v>
      </c>
      <c r="V1035" s="3">
        <v>2668</v>
      </c>
      <c r="W1035" t="s">
        <v>494</v>
      </c>
      <c r="X1035" s="3">
        <v>2668</v>
      </c>
    </row>
    <row r="1036" spans="1:24" s="2" customFormat="1" x14ac:dyDescent="0.2">
      <c r="A1036" s="2">
        <v>1036</v>
      </c>
      <c r="B1036" t="s">
        <v>1048</v>
      </c>
      <c r="C1036" t="s">
        <v>1049</v>
      </c>
      <c r="D1036" t="s">
        <v>1847</v>
      </c>
      <c r="E1036" t="s">
        <v>30</v>
      </c>
      <c r="F1036" t="s">
        <v>24</v>
      </c>
      <c r="G1036" t="s">
        <v>25</v>
      </c>
      <c r="H1036" t="str">
        <f t="shared" si="32"/>
        <v xml:space="preserve">RT GABRIELA BORGES - ULTIMA PARCELA PARCIAL | Recorrência: | Observações: </v>
      </c>
      <c r="I1036" t="s">
        <v>491</v>
      </c>
      <c r="J1036" s="4">
        <v>2500</v>
      </c>
      <c r="K1036" s="4">
        <v>444378.39</v>
      </c>
      <c r="L1036" t="s">
        <v>27</v>
      </c>
      <c r="M1036" s="4">
        <v>2500</v>
      </c>
      <c r="N1036" s="3">
        <v>0</v>
      </c>
      <c r="O1036" t="s">
        <v>1836</v>
      </c>
      <c r="P1036" t="s">
        <v>1836</v>
      </c>
      <c r="Q1036" t="s">
        <v>1836</v>
      </c>
      <c r="R1036" t="str">
        <f t="shared" si="33"/>
        <v>Sim</v>
      </c>
      <c r="S1036" t="s">
        <v>1836</v>
      </c>
      <c r="T1036" t="s">
        <v>30</v>
      </c>
      <c r="U1036" t="s">
        <v>49</v>
      </c>
      <c r="V1036" s="3">
        <v>2500</v>
      </c>
      <c r="W1036" t="s">
        <v>494</v>
      </c>
      <c r="X1036" s="3">
        <v>2500</v>
      </c>
    </row>
    <row r="1037" spans="1:24" s="2" customFormat="1" x14ac:dyDescent="0.2">
      <c r="A1037">
        <v>1037</v>
      </c>
      <c r="B1037" t="s">
        <v>1048</v>
      </c>
      <c r="C1037" t="s">
        <v>1049</v>
      </c>
      <c r="D1037" t="s">
        <v>1784</v>
      </c>
      <c r="E1037" t="s">
        <v>41</v>
      </c>
      <c r="F1037" t="s">
        <v>24</v>
      </c>
      <c r="G1037" t="s">
        <v>25</v>
      </c>
      <c r="H1037" t="str">
        <f t="shared" si="32"/>
        <v>RT - ORÇ 0115122 - TIAGO KOCH ♥ JULIANA IWAMOTO | Recorrência:3/4 | Observações: PAGAMENTO RT SERÁ REALIZADO MEDIANTE AS CONDIÇÕES DE PAGAMENTO DO CLIENTE</v>
      </c>
      <c r="I1037" t="s">
        <v>491</v>
      </c>
      <c r="J1037" s="4">
        <v>2500</v>
      </c>
      <c r="K1037" s="4">
        <v>446878.39</v>
      </c>
      <c r="L1037" t="s">
        <v>27</v>
      </c>
      <c r="M1037" s="4">
        <v>2500</v>
      </c>
      <c r="N1037" s="3">
        <v>0</v>
      </c>
      <c r="O1037" t="s">
        <v>1836</v>
      </c>
      <c r="P1037" t="s">
        <v>1836</v>
      </c>
      <c r="Q1037" t="s">
        <v>1836</v>
      </c>
      <c r="R1037" t="str">
        <f t="shared" si="33"/>
        <v>Sim</v>
      </c>
      <c r="S1037" t="s">
        <v>1836</v>
      </c>
      <c r="T1037" t="s">
        <v>1698</v>
      </c>
      <c r="U1037" t="s">
        <v>49</v>
      </c>
      <c r="V1037" s="3">
        <v>2500</v>
      </c>
      <c r="W1037" t="s">
        <v>494</v>
      </c>
      <c r="X1037" s="3">
        <v>2500</v>
      </c>
    </row>
    <row r="1038" spans="1:24" s="2" customFormat="1" x14ac:dyDescent="0.2">
      <c r="A1038" s="2">
        <v>1038</v>
      </c>
      <c r="B1038" t="s">
        <v>1048</v>
      </c>
      <c r="C1038" t="s">
        <v>1049</v>
      </c>
      <c r="D1038" t="s">
        <v>1595</v>
      </c>
      <c r="E1038" t="s">
        <v>148</v>
      </c>
      <c r="F1038" t="s">
        <v>24</v>
      </c>
      <c r="G1038" t="s">
        <v>25</v>
      </c>
      <c r="H1038" t="str">
        <f t="shared" si="32"/>
        <v xml:space="preserve">RT - LUCIENE GILMARCH | Recorrência:3/3 | Observações: </v>
      </c>
      <c r="I1038" t="s">
        <v>491</v>
      </c>
      <c r="J1038" s="4">
        <v>1500</v>
      </c>
      <c r="K1038" s="4">
        <v>448378.39</v>
      </c>
      <c r="L1038" t="s">
        <v>27</v>
      </c>
      <c r="M1038" s="4">
        <v>1500</v>
      </c>
      <c r="N1038" s="3">
        <v>0</v>
      </c>
      <c r="O1038" t="s">
        <v>1836</v>
      </c>
      <c r="P1038" t="s">
        <v>1741</v>
      </c>
      <c r="Q1038" t="s">
        <v>1848</v>
      </c>
      <c r="R1038" t="str">
        <f t="shared" si="33"/>
        <v>Sim</v>
      </c>
      <c r="S1038" t="s">
        <v>1848</v>
      </c>
      <c r="T1038" t="s">
        <v>30</v>
      </c>
      <c r="U1038" t="s">
        <v>49</v>
      </c>
      <c r="V1038" s="3">
        <v>1500</v>
      </c>
      <c r="W1038" t="s">
        <v>494</v>
      </c>
      <c r="X1038" s="3">
        <v>1500</v>
      </c>
    </row>
    <row r="1039" spans="1:24" s="2" customFormat="1" x14ac:dyDescent="0.2">
      <c r="A1039">
        <v>1039</v>
      </c>
      <c r="B1039" t="s">
        <v>647</v>
      </c>
      <c r="C1039" t="s">
        <v>648</v>
      </c>
      <c r="D1039" t="s">
        <v>1544</v>
      </c>
      <c r="E1039" t="s">
        <v>566</v>
      </c>
      <c r="F1039" t="s">
        <v>63</v>
      </c>
      <c r="G1039" t="s">
        <v>25</v>
      </c>
      <c r="H1039" t="str">
        <f t="shared" si="32"/>
        <v xml:space="preserve">HONORARIOS CONTABEIS | Recorrência:5/12 | Observações: </v>
      </c>
      <c r="I1039" t="s">
        <v>26</v>
      </c>
      <c r="J1039" s="5">
        <v>-925</v>
      </c>
      <c r="K1039" s="4">
        <v>447453.39</v>
      </c>
      <c r="L1039" t="s">
        <v>27</v>
      </c>
      <c r="M1039" s="5">
        <v>-925</v>
      </c>
      <c r="N1039" s="3">
        <v>0</v>
      </c>
      <c r="O1039" t="s">
        <v>1836</v>
      </c>
      <c r="P1039" t="s">
        <v>1830</v>
      </c>
      <c r="Q1039" t="s">
        <v>1836</v>
      </c>
      <c r="R1039" t="str">
        <f t="shared" si="33"/>
        <v>Sim</v>
      </c>
      <c r="S1039" t="s">
        <v>1836</v>
      </c>
      <c r="T1039" t="s">
        <v>30</v>
      </c>
      <c r="U1039" t="s">
        <v>608</v>
      </c>
      <c r="V1039" s="3">
        <v>-925</v>
      </c>
      <c r="W1039" t="s">
        <v>297</v>
      </c>
      <c r="X1039" s="3">
        <v>-925</v>
      </c>
    </row>
    <row r="1040" spans="1:24" s="2" customFormat="1" x14ac:dyDescent="0.2">
      <c r="A1040" s="2">
        <v>1040</v>
      </c>
      <c r="B1040" t="s">
        <v>647</v>
      </c>
      <c r="C1040" t="s">
        <v>648</v>
      </c>
      <c r="D1040" t="s">
        <v>1849</v>
      </c>
      <c r="E1040" t="s">
        <v>30</v>
      </c>
      <c r="F1040" t="s">
        <v>63</v>
      </c>
      <c r="G1040" t="s">
        <v>25</v>
      </c>
      <c r="H1040" t="str">
        <f t="shared" si="32"/>
        <v xml:space="preserve">5/35 - DARF ISS 5/36 | Recorrência: | Observações: </v>
      </c>
      <c r="I1040" t="s">
        <v>26</v>
      </c>
      <c r="J1040" s="5">
        <v>-456.96</v>
      </c>
      <c r="K1040" s="4">
        <v>446996.43</v>
      </c>
      <c r="L1040" t="s">
        <v>27</v>
      </c>
      <c r="M1040" s="5">
        <v>-456.96</v>
      </c>
      <c r="N1040" s="3">
        <v>0</v>
      </c>
      <c r="O1040" t="s">
        <v>1836</v>
      </c>
      <c r="P1040" t="s">
        <v>1474</v>
      </c>
      <c r="Q1040" t="s">
        <v>1841</v>
      </c>
      <c r="R1040" t="str">
        <f t="shared" si="33"/>
        <v>nao</v>
      </c>
      <c r="S1040" t="s">
        <v>1836</v>
      </c>
      <c r="T1040" t="s">
        <v>30</v>
      </c>
      <c r="U1040" t="s">
        <v>1098</v>
      </c>
      <c r="V1040" s="3">
        <v>-456.96</v>
      </c>
      <c r="W1040" t="s">
        <v>324</v>
      </c>
      <c r="X1040" s="3">
        <v>-456.96</v>
      </c>
    </row>
    <row r="1041" spans="1:24" s="2" customFormat="1" x14ac:dyDescent="0.2">
      <c r="A1041">
        <v>1041</v>
      </c>
      <c r="B1041"/>
      <c r="C1041" t="s">
        <v>153</v>
      </c>
      <c r="D1041" t="s">
        <v>1851</v>
      </c>
      <c r="E1041" t="s">
        <v>30</v>
      </c>
      <c r="F1041" t="s">
        <v>63</v>
      </c>
      <c r="G1041" t="s">
        <v>25</v>
      </c>
      <c r="H1041" t="str">
        <f t="shared" si="32"/>
        <v xml:space="preserve">RENOVAÇÃO DO CERTIFICADO - MAURILIO RAMALHO  DOS SANTOS | Recorrência: | Observações: </v>
      </c>
      <c r="I1041" t="s">
        <v>755</v>
      </c>
      <c r="J1041" s="5">
        <v>-170</v>
      </c>
      <c r="K1041" s="4">
        <v>446826.43</v>
      </c>
      <c r="L1041" t="s">
        <v>27</v>
      </c>
      <c r="M1041" s="5">
        <v>-170</v>
      </c>
      <c r="N1041" s="3">
        <v>0</v>
      </c>
      <c r="O1041" t="s">
        <v>1850</v>
      </c>
      <c r="P1041" t="s">
        <v>1836</v>
      </c>
      <c r="Q1041" t="s">
        <v>1850</v>
      </c>
      <c r="R1041" t="str">
        <f t="shared" si="33"/>
        <v>Sim</v>
      </c>
      <c r="S1041" t="s">
        <v>1850</v>
      </c>
      <c r="T1041" t="s">
        <v>30</v>
      </c>
      <c r="U1041" t="s">
        <v>1468</v>
      </c>
      <c r="V1041" s="3">
        <v>-170</v>
      </c>
      <c r="W1041" t="s">
        <v>1058</v>
      </c>
      <c r="X1041" s="3">
        <v>-170</v>
      </c>
    </row>
    <row r="1042" spans="1:24" s="2" customFormat="1" x14ac:dyDescent="0.2">
      <c r="A1042" s="2">
        <v>1042</v>
      </c>
      <c r="B1042" t="s">
        <v>1810</v>
      </c>
      <c r="C1042" t="s">
        <v>1811</v>
      </c>
      <c r="D1042" t="s">
        <v>1812</v>
      </c>
      <c r="E1042" t="s">
        <v>195</v>
      </c>
      <c r="F1042" t="s">
        <v>24</v>
      </c>
      <c r="G1042" t="s">
        <v>25</v>
      </c>
      <c r="H1042" t="str">
        <f t="shared" si="32"/>
        <v xml:space="preserve">PROJETO - EDIFICIO D'ORU | Recorrência:2/3 | Observações: </v>
      </c>
      <c r="I1042" t="s">
        <v>991</v>
      </c>
      <c r="J1042" s="4">
        <v>3000</v>
      </c>
      <c r="K1042" s="4">
        <v>449826.43</v>
      </c>
      <c r="L1042" t="s">
        <v>27</v>
      </c>
      <c r="M1042" s="4">
        <v>3000</v>
      </c>
      <c r="N1042" s="3">
        <v>0</v>
      </c>
      <c r="O1042" t="s">
        <v>1850</v>
      </c>
      <c r="P1042" t="s">
        <v>1852</v>
      </c>
      <c r="Q1042" t="s">
        <v>1850</v>
      </c>
      <c r="R1042" t="str">
        <f t="shared" si="33"/>
        <v>Sim</v>
      </c>
      <c r="S1042" t="s">
        <v>1850</v>
      </c>
      <c r="T1042" t="s">
        <v>30</v>
      </c>
      <c r="U1042" t="s">
        <v>31</v>
      </c>
      <c r="V1042" s="3">
        <v>3000</v>
      </c>
      <c r="W1042" t="s">
        <v>32</v>
      </c>
      <c r="X1042" s="3">
        <v>3000</v>
      </c>
    </row>
    <row r="1043" spans="1:24" s="2" customFormat="1" x14ac:dyDescent="0.2">
      <c r="A1043">
        <v>1043</v>
      </c>
      <c r="B1043" t="s">
        <v>1853</v>
      </c>
      <c r="C1043" t="s">
        <v>1854</v>
      </c>
      <c r="D1043" t="s">
        <v>1855</v>
      </c>
      <c r="E1043" t="s">
        <v>30</v>
      </c>
      <c r="F1043" t="s">
        <v>24</v>
      </c>
      <c r="G1043" t="s">
        <v>25</v>
      </c>
      <c r="H1043" t="str">
        <f t="shared" si="32"/>
        <v xml:space="preserve">RT - LUCIENTE GIL MARCHI | Recorrência: | Observações: </v>
      </c>
      <c r="I1043" t="s">
        <v>491</v>
      </c>
      <c r="J1043" s="4">
        <v>572.1</v>
      </c>
      <c r="K1043" s="4">
        <v>450398.53</v>
      </c>
      <c r="L1043" t="s">
        <v>27</v>
      </c>
      <c r="M1043" s="4">
        <v>572.1</v>
      </c>
      <c r="N1043" s="3">
        <v>0</v>
      </c>
      <c r="O1043" t="s">
        <v>1850</v>
      </c>
      <c r="P1043" t="s">
        <v>1763</v>
      </c>
      <c r="Q1043" t="s">
        <v>1850</v>
      </c>
      <c r="R1043" t="str">
        <f t="shared" si="33"/>
        <v>Sim</v>
      </c>
      <c r="S1043" t="s">
        <v>1850</v>
      </c>
      <c r="T1043" t="s">
        <v>30</v>
      </c>
      <c r="U1043" t="s">
        <v>49</v>
      </c>
      <c r="V1043" s="3">
        <v>572.1</v>
      </c>
      <c r="W1043" t="s">
        <v>494</v>
      </c>
      <c r="X1043" s="3">
        <v>572.1</v>
      </c>
    </row>
    <row r="1044" spans="1:24" s="2" customFormat="1" x14ac:dyDescent="0.2">
      <c r="A1044" s="2">
        <v>1044</v>
      </c>
      <c r="B1044" t="s">
        <v>1856</v>
      </c>
      <c r="C1044" t="s">
        <v>1857</v>
      </c>
      <c r="D1044" t="s">
        <v>1858</v>
      </c>
      <c r="E1044" t="s">
        <v>30</v>
      </c>
      <c r="F1044" t="s">
        <v>24</v>
      </c>
      <c r="G1044" t="s">
        <v>25</v>
      </c>
      <c r="H1044" t="str">
        <f t="shared" si="32"/>
        <v xml:space="preserve">RT PEDIDO 141484 - Luciene Gil Marchi | Recorrência: | Observações: RAZÃO SOCIAL:Rotergan tecidos e Decorações Eirelle
CNPJ:05.857.732/0001-16
ENDEREÇO:Rua Domingos Jorge 495 - Vila do Socorro - CEP 04761-000
TELEFONE- 011-3080-8050
E-MAIL:rogerio@nobelicontabil.com.br - São Paulo-SP
</v>
      </c>
      <c r="I1044" t="s">
        <v>491</v>
      </c>
      <c r="J1044" s="4">
        <v>580.16</v>
      </c>
      <c r="K1044" s="4">
        <v>450978.69</v>
      </c>
      <c r="L1044" t="s">
        <v>27</v>
      </c>
      <c r="M1044" s="4">
        <v>580.16</v>
      </c>
      <c r="N1044" s="3">
        <v>0</v>
      </c>
      <c r="O1044" t="s">
        <v>1825</v>
      </c>
      <c r="P1044" t="s">
        <v>1763</v>
      </c>
      <c r="Q1044" t="s">
        <v>1859</v>
      </c>
      <c r="R1044" t="str">
        <f t="shared" si="33"/>
        <v>Sim</v>
      </c>
      <c r="S1044" t="s">
        <v>1859</v>
      </c>
      <c r="T1044" t="s">
        <v>1860</v>
      </c>
      <c r="U1044" t="s">
        <v>49</v>
      </c>
      <c r="V1044" s="3">
        <v>580.16</v>
      </c>
      <c r="W1044" t="s">
        <v>494</v>
      </c>
      <c r="X1044" s="3">
        <v>580.16</v>
      </c>
    </row>
    <row r="1045" spans="1:24" s="2" customFormat="1" x14ac:dyDescent="0.2">
      <c r="A1045">
        <v>1045</v>
      </c>
      <c r="B1045" t="s">
        <v>1170</v>
      </c>
      <c r="C1045" t="s">
        <v>1171</v>
      </c>
      <c r="D1045" t="s">
        <v>1861</v>
      </c>
      <c r="E1045" t="s">
        <v>30</v>
      </c>
      <c r="F1045" t="s">
        <v>24</v>
      </c>
      <c r="G1045" t="s">
        <v>25</v>
      </c>
      <c r="H1045" t="str">
        <f t="shared" si="32"/>
        <v xml:space="preserve">RT FARIZE | Recorrência: | Observações: </v>
      </c>
      <c r="I1045" t="s">
        <v>491</v>
      </c>
      <c r="J1045" s="4">
        <v>18518.48</v>
      </c>
      <c r="K1045" s="4">
        <v>469497.17</v>
      </c>
      <c r="L1045" t="s">
        <v>27</v>
      </c>
      <c r="M1045" s="4">
        <v>18518.48</v>
      </c>
      <c r="N1045" s="3">
        <v>0</v>
      </c>
      <c r="O1045" t="s">
        <v>1825</v>
      </c>
      <c r="P1045" t="s">
        <v>1783</v>
      </c>
      <c r="Q1045" t="s">
        <v>1862</v>
      </c>
      <c r="R1045" t="str">
        <f t="shared" si="33"/>
        <v>Sim</v>
      </c>
      <c r="S1045" t="s">
        <v>1862</v>
      </c>
      <c r="T1045" t="s">
        <v>30</v>
      </c>
      <c r="U1045" t="s">
        <v>49</v>
      </c>
      <c r="V1045" s="3">
        <v>18518.48</v>
      </c>
      <c r="W1045" t="s">
        <v>494</v>
      </c>
      <c r="X1045" s="3">
        <v>18518.48</v>
      </c>
    </row>
    <row r="1046" spans="1:24" s="2" customFormat="1" x14ac:dyDescent="0.2">
      <c r="A1046" s="2">
        <v>1046</v>
      </c>
      <c r="B1046" t="s">
        <v>1654</v>
      </c>
      <c r="C1046" t="s">
        <v>1655</v>
      </c>
      <c r="D1046" t="s">
        <v>1863</v>
      </c>
      <c r="E1046" t="s">
        <v>67</v>
      </c>
      <c r="F1046" t="s">
        <v>24</v>
      </c>
      <c r="G1046" t="s">
        <v>25</v>
      </c>
      <c r="H1046" t="str">
        <f t="shared" si="32"/>
        <v xml:space="preserve">RT - PEDIDO OR 2448 - Tiago Koch | Recorrência:1/2 | Observações: </v>
      </c>
      <c r="I1046" t="s">
        <v>491</v>
      </c>
      <c r="J1046" s="4">
        <v>209</v>
      </c>
      <c r="K1046" s="4">
        <v>469706.17</v>
      </c>
      <c r="L1046" t="s">
        <v>27</v>
      </c>
      <c r="M1046" s="4">
        <v>209</v>
      </c>
      <c r="N1046" s="3">
        <v>0</v>
      </c>
      <c r="O1046" t="s">
        <v>1825</v>
      </c>
      <c r="P1046" t="s">
        <v>1839</v>
      </c>
      <c r="Q1046" t="s">
        <v>1859</v>
      </c>
      <c r="R1046" t="str">
        <f t="shared" si="33"/>
        <v>Sim</v>
      </c>
      <c r="S1046" t="s">
        <v>1859</v>
      </c>
      <c r="T1046" t="s">
        <v>30</v>
      </c>
      <c r="U1046" t="s">
        <v>49</v>
      </c>
      <c r="V1046" s="3">
        <v>209</v>
      </c>
      <c r="W1046" t="s">
        <v>494</v>
      </c>
      <c r="X1046" s="3">
        <v>209</v>
      </c>
    </row>
    <row r="1047" spans="1:24" s="2" customFormat="1" x14ac:dyDescent="0.2">
      <c r="A1047">
        <v>1047</v>
      </c>
      <c r="B1047" t="s">
        <v>1270</v>
      </c>
      <c r="C1047" t="s">
        <v>1271</v>
      </c>
      <c r="D1047" t="s">
        <v>1865</v>
      </c>
      <c r="E1047" t="s">
        <v>30</v>
      </c>
      <c r="F1047" t="s">
        <v>24</v>
      </c>
      <c r="G1047" t="s">
        <v>25</v>
      </c>
      <c r="H1047" t="str">
        <f t="shared" si="32"/>
        <v>RT DANIELLA MATAVELLI - Suite Marina | Recorrência: | Observações: RT&gt; VALOR A RECEBER FOI DESCONTADO REFERENTE AO ERRO DO PEDIDO(COR) DA POLTRONA DA CLIENTE POR PARTE DA MN</v>
      </c>
      <c r="I1047" t="s">
        <v>491</v>
      </c>
      <c r="J1047" s="4">
        <v>673.54</v>
      </c>
      <c r="K1047" s="4">
        <v>470379.71</v>
      </c>
      <c r="L1047" t="s">
        <v>27</v>
      </c>
      <c r="M1047" s="4">
        <v>673.54</v>
      </c>
      <c r="N1047" s="3">
        <v>0</v>
      </c>
      <c r="O1047" t="s">
        <v>1864</v>
      </c>
      <c r="P1047" t="s">
        <v>1735</v>
      </c>
      <c r="Q1047" t="s">
        <v>1866</v>
      </c>
      <c r="R1047" t="str">
        <f t="shared" si="33"/>
        <v>Sim</v>
      </c>
      <c r="S1047" t="s">
        <v>1866</v>
      </c>
      <c r="T1047" t="s">
        <v>1867</v>
      </c>
      <c r="U1047" t="s">
        <v>49</v>
      </c>
      <c r="V1047" s="3">
        <v>673.54</v>
      </c>
      <c r="W1047" t="s">
        <v>494</v>
      </c>
      <c r="X1047" s="3">
        <v>673.54</v>
      </c>
    </row>
    <row r="1048" spans="1:24" s="2" customFormat="1" x14ac:dyDescent="0.2">
      <c r="A1048" s="2">
        <v>1048</v>
      </c>
      <c r="B1048" t="s">
        <v>647</v>
      </c>
      <c r="C1048" t="s">
        <v>648</v>
      </c>
      <c r="D1048" t="s">
        <v>1556</v>
      </c>
      <c r="E1048" t="s">
        <v>566</v>
      </c>
      <c r="F1048" t="s">
        <v>63</v>
      </c>
      <c r="G1048" t="s">
        <v>25</v>
      </c>
      <c r="H1048" t="str">
        <f t="shared" si="32"/>
        <v xml:space="preserve">DARF PREVIDÊNCIARIO | Recorrência:5/12 | Observações: </v>
      </c>
      <c r="I1048" t="s">
        <v>26</v>
      </c>
      <c r="J1048" s="5">
        <v>-1424.08</v>
      </c>
      <c r="K1048" s="4">
        <v>468955.63</v>
      </c>
      <c r="L1048" t="s">
        <v>27</v>
      </c>
      <c r="M1048" s="5">
        <v>-1424.08</v>
      </c>
      <c r="N1048" s="3">
        <v>0</v>
      </c>
      <c r="O1048" t="s">
        <v>1868</v>
      </c>
      <c r="P1048" t="s">
        <v>1869</v>
      </c>
      <c r="Q1048" t="s">
        <v>1870</v>
      </c>
      <c r="R1048" t="str">
        <f t="shared" si="33"/>
        <v>Sim</v>
      </c>
      <c r="S1048" t="s">
        <v>1870</v>
      </c>
      <c r="T1048" t="s">
        <v>30</v>
      </c>
      <c r="U1048" t="s">
        <v>601</v>
      </c>
      <c r="V1048" s="3">
        <v>-1424.08</v>
      </c>
      <c r="W1048" t="s">
        <v>376</v>
      </c>
      <c r="X1048" s="3">
        <v>-1424.08</v>
      </c>
    </row>
    <row r="1049" spans="1:24" s="2" customFormat="1" x14ac:dyDescent="0.2">
      <c r="A1049">
        <v>1049</v>
      </c>
      <c r="B1049" t="s">
        <v>1607</v>
      </c>
      <c r="C1049" t="s">
        <v>1608</v>
      </c>
      <c r="D1049" t="s">
        <v>1872</v>
      </c>
      <c r="E1049" t="s">
        <v>30</v>
      </c>
      <c r="F1049" t="s">
        <v>24</v>
      </c>
      <c r="G1049" t="s">
        <v>25</v>
      </c>
      <c r="H1049" t="str">
        <f t="shared" si="32"/>
        <v xml:space="preserve">RT PEDIDO 7184 - LUCIENE GIL MARCHI | Recorrência: | Observações: </v>
      </c>
      <c r="I1049" t="s">
        <v>491</v>
      </c>
      <c r="J1049" s="4">
        <v>420</v>
      </c>
      <c r="K1049" s="4">
        <v>469375.63</v>
      </c>
      <c r="L1049" t="s">
        <v>27</v>
      </c>
      <c r="M1049" s="4">
        <v>420</v>
      </c>
      <c r="N1049" s="3">
        <v>0</v>
      </c>
      <c r="O1049" t="s">
        <v>1871</v>
      </c>
      <c r="P1049" t="s">
        <v>1871</v>
      </c>
      <c r="Q1049" t="s">
        <v>1871</v>
      </c>
      <c r="R1049" t="str">
        <f t="shared" si="33"/>
        <v>Sim</v>
      </c>
      <c r="S1049" t="s">
        <v>1871</v>
      </c>
      <c r="T1049" t="s">
        <v>30</v>
      </c>
      <c r="U1049" t="s">
        <v>49</v>
      </c>
      <c r="V1049" s="3">
        <v>420</v>
      </c>
      <c r="W1049" t="s">
        <v>494</v>
      </c>
      <c r="X1049" s="3">
        <v>420</v>
      </c>
    </row>
    <row r="1050" spans="1:24" s="2" customFormat="1" x14ac:dyDescent="0.2">
      <c r="A1050" s="2">
        <v>1050</v>
      </c>
      <c r="B1050" t="s">
        <v>1509</v>
      </c>
      <c r="C1050" t="s">
        <v>1510</v>
      </c>
      <c r="D1050" t="s">
        <v>1873</v>
      </c>
      <c r="E1050" t="s">
        <v>30</v>
      </c>
      <c r="F1050" t="s">
        <v>24</v>
      </c>
      <c r="G1050" t="s">
        <v>25</v>
      </c>
      <c r="H1050" t="str">
        <f t="shared" si="32"/>
        <v xml:space="preserve">2/3 - PROJETO  - SALÃO DE FESTA_CHURRASQUEIRA_HALL SOCIAL | Recorrência: | Observações: </v>
      </c>
      <c r="I1050" t="s">
        <v>491</v>
      </c>
      <c r="J1050" s="4">
        <v>4333.0600000000004</v>
      </c>
      <c r="K1050" s="4">
        <v>473708.69</v>
      </c>
      <c r="L1050" t="s">
        <v>27</v>
      </c>
      <c r="M1050" s="4">
        <v>4333.0600000000004</v>
      </c>
      <c r="N1050" s="3">
        <v>0</v>
      </c>
      <c r="O1050" t="s">
        <v>1871</v>
      </c>
      <c r="P1050" t="s">
        <v>1512</v>
      </c>
      <c r="Q1050" t="s">
        <v>1871</v>
      </c>
      <c r="R1050" t="str">
        <f t="shared" si="33"/>
        <v>Sim</v>
      </c>
      <c r="S1050" t="s">
        <v>1871</v>
      </c>
      <c r="T1050" t="s">
        <v>30</v>
      </c>
      <c r="U1050" t="s">
        <v>31</v>
      </c>
      <c r="V1050" s="3">
        <v>4333.0600000000004</v>
      </c>
      <c r="W1050" t="s">
        <v>32</v>
      </c>
      <c r="X1050" s="3">
        <v>4333.0600000000004</v>
      </c>
    </row>
    <row r="1051" spans="1:24" s="2" customFormat="1" x14ac:dyDescent="0.2">
      <c r="A1051">
        <v>1051</v>
      </c>
      <c r="B1051"/>
      <c r="C1051" t="s">
        <v>153</v>
      </c>
      <c r="D1051" t="s">
        <v>1875</v>
      </c>
      <c r="E1051" t="s">
        <v>30</v>
      </c>
      <c r="F1051" t="s">
        <v>63</v>
      </c>
      <c r="G1051" t="s">
        <v>25</v>
      </c>
      <c r="H1051" t="str">
        <f t="shared" si="32"/>
        <v xml:space="preserve">1/3 - TERAPLUS SERVIÇOS EM INFORMÁTICA  1/3 | Recorrência: | Observações: </v>
      </c>
      <c r="I1051" t="s">
        <v>755</v>
      </c>
      <c r="J1051" s="5">
        <v>-934</v>
      </c>
      <c r="K1051" s="4">
        <v>472774.69</v>
      </c>
      <c r="L1051" t="s">
        <v>27</v>
      </c>
      <c r="M1051" s="5">
        <v>-934</v>
      </c>
      <c r="N1051" s="3">
        <v>0</v>
      </c>
      <c r="O1051" t="s">
        <v>1874</v>
      </c>
      <c r="P1051" t="s">
        <v>1864</v>
      </c>
      <c r="Q1051" t="s">
        <v>1876</v>
      </c>
      <c r="R1051" t="str">
        <f t="shared" si="33"/>
        <v>Sim</v>
      </c>
      <c r="S1051" t="s">
        <v>1876</v>
      </c>
      <c r="T1051" t="s">
        <v>30</v>
      </c>
      <c r="U1051" t="s">
        <v>1371</v>
      </c>
      <c r="V1051" s="3">
        <v>-934</v>
      </c>
      <c r="W1051" t="s">
        <v>344</v>
      </c>
      <c r="X1051" s="3">
        <v>-934</v>
      </c>
    </row>
    <row r="1052" spans="1:24" s="2" customFormat="1" x14ac:dyDescent="0.2">
      <c r="A1052" s="2">
        <v>1052</v>
      </c>
      <c r="B1052" t="s">
        <v>647</v>
      </c>
      <c r="C1052" t="s">
        <v>648</v>
      </c>
      <c r="D1052" t="s">
        <v>1794</v>
      </c>
      <c r="E1052" t="s">
        <v>566</v>
      </c>
      <c r="F1052" t="s">
        <v>63</v>
      </c>
      <c r="G1052" t="s">
        <v>25</v>
      </c>
      <c r="H1052" t="str">
        <f t="shared" si="32"/>
        <v xml:space="preserve">DARF COFINS - | Recorrência:5/12 | Observações: </v>
      </c>
      <c r="I1052" t="s">
        <v>26</v>
      </c>
      <c r="J1052" s="5">
        <v>-106.23</v>
      </c>
      <c r="K1052" s="4">
        <v>472668.46</v>
      </c>
      <c r="L1052" t="s">
        <v>27</v>
      </c>
      <c r="M1052" s="5">
        <v>-106.23</v>
      </c>
      <c r="N1052" s="3">
        <v>0</v>
      </c>
      <c r="O1052" t="s">
        <v>1874</v>
      </c>
      <c r="P1052" t="s">
        <v>1877</v>
      </c>
      <c r="Q1052" t="s">
        <v>1876</v>
      </c>
      <c r="R1052" t="str">
        <f t="shared" si="33"/>
        <v>Sim</v>
      </c>
      <c r="S1052" t="s">
        <v>1876</v>
      </c>
      <c r="T1052" t="s">
        <v>30</v>
      </c>
      <c r="U1052" t="s">
        <v>1508</v>
      </c>
      <c r="V1052" s="3">
        <v>-106.23</v>
      </c>
      <c r="W1052" t="s">
        <v>297</v>
      </c>
      <c r="X1052" s="3">
        <v>-106.23</v>
      </c>
    </row>
    <row r="1053" spans="1:24" s="2" customFormat="1" x14ac:dyDescent="0.2">
      <c r="A1053">
        <v>1053</v>
      </c>
      <c r="B1053" t="s">
        <v>1393</v>
      </c>
      <c r="C1053" t="s">
        <v>1394</v>
      </c>
      <c r="D1053" t="s">
        <v>1878</v>
      </c>
      <c r="E1053" t="s">
        <v>30</v>
      </c>
      <c r="F1053" t="s">
        <v>24</v>
      </c>
      <c r="G1053" t="s">
        <v>25</v>
      </c>
      <c r="H1053" t="str">
        <f t="shared" si="32"/>
        <v>RESGATE DE PONTOS  &gt;Tiago Koch e luciene Gil | Recorrência: | Observações: No. Pedido - 272986 - Data da Baixa-14/04/2023&gt; Nome do Cliente TIAGO FARIAS KOCH&gt;Valor do Pedido R$ 2.735,33 &gt;Porcentagem 4% &gt;Pontos/Produtos:14/Pontos/Dinheiro:109
No. Pedido 271215  - Data da Baixa -  06/04/2023&gt;Nome do Cliente:LUCIENE GIL MARCHI &gt;Valor do Pedido R$ 106,69 &gt; Porcentagem 4% &gt;Pontos/Produtos:Pontos  1/Dinheiro:4</v>
      </c>
      <c r="I1053" t="s">
        <v>491</v>
      </c>
      <c r="J1053" s="4">
        <v>95.68</v>
      </c>
      <c r="K1053" s="4">
        <v>472764.14</v>
      </c>
      <c r="L1053" t="s">
        <v>27</v>
      </c>
      <c r="M1053" s="4">
        <v>95.68</v>
      </c>
      <c r="N1053" s="3">
        <v>0</v>
      </c>
      <c r="O1053" t="s">
        <v>1874</v>
      </c>
      <c r="P1053" t="s">
        <v>1862</v>
      </c>
      <c r="Q1053" t="s">
        <v>1859</v>
      </c>
      <c r="R1053" t="str">
        <f t="shared" si="33"/>
        <v>Sim</v>
      </c>
      <c r="S1053" t="s">
        <v>1859</v>
      </c>
      <c r="T1053" t="s">
        <v>1879</v>
      </c>
      <c r="U1053" t="s">
        <v>49</v>
      </c>
      <c r="V1053" s="3">
        <v>95.68</v>
      </c>
      <c r="W1053" t="s">
        <v>128</v>
      </c>
      <c r="X1053" s="3">
        <v>95.68</v>
      </c>
    </row>
    <row r="1054" spans="1:24" s="2" customFormat="1" x14ac:dyDescent="0.2">
      <c r="A1054" s="2">
        <v>1054</v>
      </c>
      <c r="B1054" t="s">
        <v>1204</v>
      </c>
      <c r="C1054" t="s">
        <v>1205</v>
      </c>
      <c r="D1054" t="s">
        <v>1880</v>
      </c>
      <c r="E1054" t="s">
        <v>30</v>
      </c>
      <c r="F1054" t="s">
        <v>24</v>
      </c>
      <c r="G1054" t="s">
        <v>25</v>
      </c>
      <c r="H1054" t="str">
        <f t="shared" si="32"/>
        <v xml:space="preserve">RT REFERENTE MÊS MAR E ABR/2023 | Recorrência: | Observações: </v>
      </c>
      <c r="I1054" t="s">
        <v>491</v>
      </c>
      <c r="J1054" s="4">
        <v>175.85</v>
      </c>
      <c r="K1054" s="4">
        <v>472939.99</v>
      </c>
      <c r="L1054" t="s">
        <v>27</v>
      </c>
      <c r="M1054" s="4">
        <v>175.85</v>
      </c>
      <c r="N1054" s="3">
        <v>0</v>
      </c>
      <c r="O1054" t="s">
        <v>1876</v>
      </c>
      <c r="P1054" t="s">
        <v>1825</v>
      </c>
      <c r="Q1054" t="s">
        <v>1876</v>
      </c>
      <c r="R1054" t="str">
        <f t="shared" si="33"/>
        <v>Sim</v>
      </c>
      <c r="S1054" t="s">
        <v>1876</v>
      </c>
      <c r="T1054" t="s">
        <v>30</v>
      </c>
      <c r="U1054" t="s">
        <v>49</v>
      </c>
      <c r="V1054" s="3">
        <v>175.85</v>
      </c>
      <c r="W1054" t="s">
        <v>494</v>
      </c>
      <c r="X1054" s="3">
        <v>175.85</v>
      </c>
    </row>
    <row r="1055" spans="1:24" s="2" customFormat="1" x14ac:dyDescent="0.2">
      <c r="A1055">
        <v>1055</v>
      </c>
      <c r="B1055"/>
      <c r="C1055" t="s">
        <v>153</v>
      </c>
      <c r="D1055" t="s">
        <v>1882</v>
      </c>
      <c r="E1055" t="s">
        <v>30</v>
      </c>
      <c r="F1055" t="s">
        <v>63</v>
      </c>
      <c r="G1055" t="s">
        <v>25</v>
      </c>
      <c r="H1055" t="str">
        <f t="shared" si="32"/>
        <v xml:space="preserve">6/12 - PRÓ LABORE MAYARA 6/12 | Recorrência: | Observações: </v>
      </c>
      <c r="I1055" t="s">
        <v>30</v>
      </c>
      <c r="J1055" s="5">
        <v>-15000</v>
      </c>
      <c r="K1055" s="4">
        <v>457939.99</v>
      </c>
      <c r="L1055" t="s">
        <v>27</v>
      </c>
      <c r="M1055" s="5">
        <v>-15000</v>
      </c>
      <c r="N1055" s="3">
        <v>0</v>
      </c>
      <c r="O1055" t="s">
        <v>1881</v>
      </c>
      <c r="P1055" t="s">
        <v>1457</v>
      </c>
      <c r="Q1055" t="s">
        <v>1883</v>
      </c>
      <c r="R1055" t="str">
        <f t="shared" si="33"/>
        <v>Sim</v>
      </c>
      <c r="S1055" t="s">
        <v>1883</v>
      </c>
      <c r="T1055" t="s">
        <v>30</v>
      </c>
      <c r="U1055" t="s">
        <v>631</v>
      </c>
      <c r="V1055" s="3">
        <v>-15000</v>
      </c>
      <c r="W1055" t="s">
        <v>1164</v>
      </c>
      <c r="X1055" s="3">
        <v>-15000</v>
      </c>
    </row>
    <row r="1056" spans="1:24" s="2" customFormat="1" x14ac:dyDescent="0.2">
      <c r="A1056" s="2">
        <v>1056</v>
      </c>
      <c r="B1056" t="s">
        <v>1813</v>
      </c>
      <c r="C1056" t="s">
        <v>1814</v>
      </c>
      <c r="D1056" t="s">
        <v>1884</v>
      </c>
      <c r="E1056" t="s">
        <v>195</v>
      </c>
      <c r="F1056" t="s">
        <v>24</v>
      </c>
      <c r="G1056" t="s">
        <v>25</v>
      </c>
      <c r="H1056" t="str">
        <f t="shared" si="32"/>
        <v xml:space="preserve">RT PROPOSTA 221005 - TIAGO KOCH ♥ JULIANA IWAMOTO | Recorrência:2/3 | Observações: </v>
      </c>
      <c r="I1056" t="s">
        <v>491</v>
      </c>
      <c r="J1056" s="4">
        <v>524.09</v>
      </c>
      <c r="K1056" s="4">
        <v>458464.08</v>
      </c>
      <c r="L1056" t="s">
        <v>27</v>
      </c>
      <c r="M1056" s="4">
        <v>524.09</v>
      </c>
      <c r="N1056" s="3">
        <v>0</v>
      </c>
      <c r="O1056" t="s">
        <v>1859</v>
      </c>
      <c r="P1056" t="s">
        <v>1806</v>
      </c>
      <c r="Q1056" t="s">
        <v>1885</v>
      </c>
      <c r="R1056" t="str">
        <f t="shared" si="33"/>
        <v>nao</v>
      </c>
      <c r="S1056" t="s">
        <v>1859</v>
      </c>
      <c r="T1056" t="s">
        <v>30</v>
      </c>
      <c r="U1056" t="s">
        <v>49</v>
      </c>
      <c r="V1056" s="3">
        <v>524.09</v>
      </c>
      <c r="W1056" t="s">
        <v>494</v>
      </c>
      <c r="X1056" s="3">
        <v>524.09</v>
      </c>
    </row>
    <row r="1057" spans="1:24" s="2" customFormat="1" x14ac:dyDescent="0.2">
      <c r="A1057">
        <v>1057</v>
      </c>
      <c r="B1057" t="s">
        <v>1515</v>
      </c>
      <c r="C1057" t="s">
        <v>1516</v>
      </c>
      <c r="D1057" t="s">
        <v>1886</v>
      </c>
      <c r="E1057" t="s">
        <v>30</v>
      </c>
      <c r="F1057" t="s">
        <v>24</v>
      </c>
      <c r="G1057" t="s">
        <v>25</v>
      </c>
      <c r="H1057" t="str">
        <f t="shared" si="32"/>
        <v xml:space="preserve">RT - TIAGO KOCH - PEDIDO PM 4549 | Recorrência: | Observações: </v>
      </c>
      <c r="I1057" t="s">
        <v>491</v>
      </c>
      <c r="J1057" s="4">
        <v>397.22</v>
      </c>
      <c r="K1057" s="4">
        <v>458861.3</v>
      </c>
      <c r="L1057" t="s">
        <v>27</v>
      </c>
      <c r="M1057" s="4">
        <v>397.22</v>
      </c>
      <c r="N1057" s="3">
        <v>0</v>
      </c>
      <c r="O1057" t="s">
        <v>1859</v>
      </c>
      <c r="P1057" t="s">
        <v>1763</v>
      </c>
      <c r="Q1057" t="s">
        <v>1859</v>
      </c>
      <c r="R1057" t="str">
        <f t="shared" si="33"/>
        <v>nao</v>
      </c>
      <c r="S1057" t="s">
        <v>1866</v>
      </c>
      <c r="T1057" t="s">
        <v>30</v>
      </c>
      <c r="U1057" t="s">
        <v>49</v>
      </c>
      <c r="V1057" s="3">
        <v>397.22</v>
      </c>
      <c r="W1057" t="s">
        <v>494</v>
      </c>
      <c r="X1057" s="3">
        <v>397.22</v>
      </c>
    </row>
    <row r="1058" spans="1:24" s="2" customFormat="1" x14ac:dyDescent="0.2">
      <c r="A1058" s="2">
        <v>1058</v>
      </c>
      <c r="B1058" t="s">
        <v>1887</v>
      </c>
      <c r="C1058" t="s">
        <v>1888</v>
      </c>
      <c r="D1058" t="s">
        <v>1889</v>
      </c>
      <c r="E1058" t="s">
        <v>30</v>
      </c>
      <c r="F1058" t="s">
        <v>24</v>
      </c>
      <c r="G1058" t="s">
        <v>25</v>
      </c>
      <c r="H1058" t="str">
        <f t="shared" si="32"/>
        <v>RT ORÇ 208921 LG - GABRIEL SOLLERO FIGUEIRA | Recorrência: | Observações: 10% COM NF
LIBERAÇÃO DA RT É SEMPRE NO MÊS POSTERIOR E AO MÊS DO FECHAMENTO DO PEDIDO</v>
      </c>
      <c r="I1058" t="s">
        <v>491</v>
      </c>
      <c r="J1058" s="4">
        <v>1134.18</v>
      </c>
      <c r="K1058" s="4">
        <v>459995.48</v>
      </c>
      <c r="L1058" t="s">
        <v>27</v>
      </c>
      <c r="M1058" s="4">
        <v>1134.18</v>
      </c>
      <c r="N1058" s="3">
        <v>0</v>
      </c>
      <c r="O1058" t="s">
        <v>1848</v>
      </c>
      <c r="P1058" t="s">
        <v>1599</v>
      </c>
      <c r="Q1058" t="s">
        <v>1871</v>
      </c>
      <c r="R1058" t="str">
        <f t="shared" si="33"/>
        <v>Sim</v>
      </c>
      <c r="S1058" t="s">
        <v>1871</v>
      </c>
      <c r="T1058" t="s">
        <v>1890</v>
      </c>
      <c r="U1058" t="s">
        <v>49</v>
      </c>
      <c r="V1058" s="3">
        <v>1134.18</v>
      </c>
      <c r="W1058" t="s">
        <v>494</v>
      </c>
      <c r="X1058" s="3">
        <v>1134.18</v>
      </c>
    </row>
    <row r="1059" spans="1:24" s="2" customFormat="1" x14ac:dyDescent="0.2">
      <c r="A1059">
        <v>1059</v>
      </c>
      <c r="B1059"/>
      <c r="C1059" t="s">
        <v>828</v>
      </c>
      <c r="D1059" t="s">
        <v>830</v>
      </c>
      <c r="E1059" t="s">
        <v>1891</v>
      </c>
      <c r="F1059" t="s">
        <v>63</v>
      </c>
      <c r="G1059" t="s">
        <v>25</v>
      </c>
      <c r="H1059" t="str">
        <f t="shared" si="32"/>
        <v xml:space="preserve">PREFEITURA DO MUNICIPIO DE BERTIOGA | Recorrência:15/41 | Observações: REF.02 PAGAMENTOS </v>
      </c>
      <c r="I1059" t="s">
        <v>26</v>
      </c>
      <c r="J1059" s="5">
        <v>-230.83</v>
      </c>
      <c r="K1059" s="4">
        <v>459764.65</v>
      </c>
      <c r="L1059" t="s">
        <v>27</v>
      </c>
      <c r="M1059" s="5">
        <v>-230.83</v>
      </c>
      <c r="N1059" s="3">
        <v>0</v>
      </c>
      <c r="O1059" t="s">
        <v>1866</v>
      </c>
      <c r="P1059" t="s">
        <v>1864</v>
      </c>
      <c r="Q1059" t="s">
        <v>1866</v>
      </c>
      <c r="R1059" t="str">
        <f t="shared" si="33"/>
        <v>Sim</v>
      </c>
      <c r="S1059" t="s">
        <v>1866</v>
      </c>
      <c r="T1059" t="s">
        <v>831</v>
      </c>
      <c r="U1059" t="s">
        <v>832</v>
      </c>
      <c r="V1059" s="3">
        <v>-230.83</v>
      </c>
    </row>
    <row r="1060" spans="1:24" s="2" customFormat="1" x14ac:dyDescent="0.2">
      <c r="A1060" s="2">
        <v>1060</v>
      </c>
      <c r="B1060"/>
      <c r="C1060" t="s">
        <v>153</v>
      </c>
      <c r="D1060" t="s">
        <v>1892</v>
      </c>
      <c r="E1060" t="s">
        <v>30</v>
      </c>
      <c r="F1060" t="s">
        <v>63</v>
      </c>
      <c r="G1060" t="s">
        <v>25</v>
      </c>
      <c r="H1060" t="str">
        <f t="shared" si="32"/>
        <v xml:space="preserve">6/10 - ELIANE - VALE TRANSPORTE 6/12 | Recorrência: | Observações: </v>
      </c>
      <c r="I1060" t="s">
        <v>991</v>
      </c>
      <c r="J1060" s="5">
        <v>-352</v>
      </c>
      <c r="K1060" s="4">
        <v>459412.65</v>
      </c>
      <c r="L1060" t="s">
        <v>27</v>
      </c>
      <c r="M1060" s="5">
        <v>-352</v>
      </c>
      <c r="N1060" s="3">
        <v>0</v>
      </c>
      <c r="O1060" t="s">
        <v>1866</v>
      </c>
      <c r="P1060" t="s">
        <v>1500</v>
      </c>
      <c r="Q1060" t="s">
        <v>1883</v>
      </c>
      <c r="R1060" t="str">
        <f t="shared" si="33"/>
        <v>Sim</v>
      </c>
      <c r="S1060" t="s">
        <v>1883</v>
      </c>
      <c r="T1060" t="s">
        <v>30</v>
      </c>
      <c r="U1060" t="s">
        <v>698</v>
      </c>
      <c r="V1060" s="3">
        <v>-352</v>
      </c>
      <c r="W1060" t="s">
        <v>698</v>
      </c>
      <c r="X1060" s="3">
        <v>-352</v>
      </c>
    </row>
    <row r="1061" spans="1:24" s="2" customFormat="1" x14ac:dyDescent="0.2">
      <c r="A1061">
        <v>1061</v>
      </c>
      <c r="B1061" t="s">
        <v>1893</v>
      </c>
      <c r="C1061" t="s">
        <v>1894</v>
      </c>
      <c r="D1061" t="s">
        <v>1895</v>
      </c>
      <c r="E1061" t="s">
        <v>30</v>
      </c>
      <c r="F1061" t="s">
        <v>24</v>
      </c>
      <c r="G1061" t="s">
        <v>25</v>
      </c>
      <c r="H1061" t="str">
        <f t="shared" si="32"/>
        <v xml:space="preserve">RT_Instalação  VD 2282/2268/2228/2194/2894 | Recorrência: | Observações: VD 2282 - Claudia/Ronei - Valor 17.700,00 &gt; RT 885,00
VD 2268 - Gabi Borges - Valor 15.000,00 &gt; RT 750,00
VD 2228 - CrisUflacker/Ricardo - Valor 9.000,00 &gt; RT 450,00
VD 2194 - Dani Calito/William Guidini - Valor 20.000,00 &gt; RT 1000,00
VD 2894 - Luciene Gil Marchi - Valor 10.900,00 &gt; RT 545,00
</v>
      </c>
      <c r="I1061" t="s">
        <v>491</v>
      </c>
      <c r="J1061" s="4">
        <v>3630</v>
      </c>
      <c r="K1061" s="4">
        <v>463042.65</v>
      </c>
      <c r="L1061" t="s">
        <v>27</v>
      </c>
      <c r="M1061" s="4">
        <v>3630</v>
      </c>
      <c r="N1061" s="3">
        <v>0</v>
      </c>
      <c r="O1061" t="s">
        <v>1866</v>
      </c>
      <c r="P1061" t="s">
        <v>1866</v>
      </c>
      <c r="Q1061" t="s">
        <v>1866</v>
      </c>
      <c r="R1061" t="str">
        <f t="shared" si="33"/>
        <v>Sim</v>
      </c>
      <c r="S1061" t="s">
        <v>1866</v>
      </c>
      <c r="T1061" t="s">
        <v>1896</v>
      </c>
      <c r="U1061" t="s">
        <v>49</v>
      </c>
      <c r="V1061" s="3">
        <v>3630</v>
      </c>
      <c r="W1061" t="s">
        <v>494</v>
      </c>
      <c r="X1061" s="3">
        <v>3630</v>
      </c>
    </row>
    <row r="1062" spans="1:24" s="2" customFormat="1" x14ac:dyDescent="0.2">
      <c r="A1062" s="2">
        <v>1062</v>
      </c>
      <c r="B1062"/>
      <c r="C1062" t="s">
        <v>153</v>
      </c>
      <c r="D1062" t="s">
        <v>1897</v>
      </c>
      <c r="E1062" t="s">
        <v>30</v>
      </c>
      <c r="F1062" t="s">
        <v>63</v>
      </c>
      <c r="G1062" t="s">
        <v>25</v>
      </c>
      <c r="H1062" t="str">
        <f t="shared" si="32"/>
        <v xml:space="preserve">6/11 - SALÁRIO - JULYA 6/12 | Recorrência: | Observações: </v>
      </c>
      <c r="I1062" t="s">
        <v>991</v>
      </c>
      <c r="J1062" s="5">
        <v>-3961.27</v>
      </c>
      <c r="K1062" s="4">
        <v>459081.38</v>
      </c>
      <c r="L1062" t="s">
        <v>27</v>
      </c>
      <c r="M1062" s="5">
        <v>-3961.27</v>
      </c>
      <c r="N1062" s="3">
        <v>0</v>
      </c>
      <c r="O1062" t="s">
        <v>1866</v>
      </c>
      <c r="P1062" t="s">
        <v>1457</v>
      </c>
      <c r="Q1062" t="s">
        <v>1883</v>
      </c>
      <c r="R1062" t="str">
        <f t="shared" si="33"/>
        <v>nao</v>
      </c>
      <c r="S1062" t="s">
        <v>1866</v>
      </c>
      <c r="T1062" t="s">
        <v>30</v>
      </c>
      <c r="U1062" t="s">
        <v>323</v>
      </c>
      <c r="V1062" s="3">
        <v>-3961.27</v>
      </c>
      <c r="W1062" t="s">
        <v>1164</v>
      </c>
      <c r="X1062" s="3">
        <v>-3961.27</v>
      </c>
    </row>
    <row r="1063" spans="1:24" s="2" customFormat="1" x14ac:dyDescent="0.2">
      <c r="A1063">
        <v>1063</v>
      </c>
      <c r="B1063"/>
      <c r="C1063" t="s">
        <v>1898</v>
      </c>
      <c r="D1063" t="s">
        <v>463</v>
      </c>
      <c r="E1063" t="s">
        <v>30</v>
      </c>
      <c r="F1063" t="s">
        <v>24</v>
      </c>
      <c r="G1063" t="s">
        <v>25</v>
      </c>
      <c r="H1063" t="str">
        <f t="shared" si="32"/>
        <v xml:space="preserve">PRODUÇÃO | Recorrência: | Observações: </v>
      </c>
      <c r="I1063" t="s">
        <v>991</v>
      </c>
      <c r="J1063" s="4">
        <v>7000</v>
      </c>
      <c r="K1063" s="4">
        <v>466081.38</v>
      </c>
      <c r="L1063" t="s">
        <v>27</v>
      </c>
      <c r="M1063" s="4">
        <v>7000</v>
      </c>
      <c r="N1063" s="3">
        <v>0</v>
      </c>
      <c r="O1063" t="s">
        <v>1866</v>
      </c>
      <c r="P1063" t="s">
        <v>1852</v>
      </c>
      <c r="Q1063" t="s">
        <v>1866</v>
      </c>
      <c r="R1063" t="str">
        <f t="shared" si="33"/>
        <v>Sim</v>
      </c>
      <c r="S1063" t="s">
        <v>1866</v>
      </c>
      <c r="T1063" t="s">
        <v>30</v>
      </c>
      <c r="U1063" t="s">
        <v>40</v>
      </c>
      <c r="V1063" s="3">
        <v>7000</v>
      </c>
    </row>
    <row r="1064" spans="1:24" s="2" customFormat="1" x14ac:dyDescent="0.2">
      <c r="A1064" s="2">
        <v>1064</v>
      </c>
      <c r="B1064" t="s">
        <v>1899</v>
      </c>
      <c r="C1064" t="s">
        <v>1900</v>
      </c>
      <c r="D1064" t="s">
        <v>1901</v>
      </c>
      <c r="E1064" t="s">
        <v>30</v>
      </c>
      <c r="F1064" t="s">
        <v>24</v>
      </c>
      <c r="G1064" t="s">
        <v>25</v>
      </c>
      <c r="H1064" t="str">
        <f t="shared" si="32"/>
        <v xml:space="preserve">RT - PEDIDO 033/23 - LUCIENE GIL MARCHI | Recorrência: | Observações: </v>
      </c>
      <c r="I1064" t="s">
        <v>491</v>
      </c>
      <c r="J1064" s="4">
        <v>150</v>
      </c>
      <c r="K1064" s="4">
        <v>466231.38</v>
      </c>
      <c r="L1064" t="s">
        <v>27</v>
      </c>
      <c r="M1064" s="4">
        <v>150</v>
      </c>
      <c r="N1064" s="3">
        <v>0</v>
      </c>
      <c r="O1064" t="s">
        <v>1866</v>
      </c>
      <c r="P1064" t="s">
        <v>1868</v>
      </c>
      <c r="Q1064" t="s">
        <v>1866</v>
      </c>
      <c r="R1064" t="str">
        <f t="shared" si="33"/>
        <v>Sim</v>
      </c>
      <c r="S1064" t="s">
        <v>1866</v>
      </c>
      <c r="T1064" t="s">
        <v>30</v>
      </c>
      <c r="U1064" t="s">
        <v>49</v>
      </c>
      <c r="V1064" s="3">
        <v>150</v>
      </c>
      <c r="W1064" t="s">
        <v>494</v>
      </c>
      <c r="X1064" s="3">
        <v>150</v>
      </c>
    </row>
    <row r="1065" spans="1:24" s="2" customFormat="1" x14ac:dyDescent="0.2">
      <c r="A1065">
        <v>1065</v>
      </c>
      <c r="B1065"/>
      <c r="C1065" t="s">
        <v>153</v>
      </c>
      <c r="D1065" t="s">
        <v>1902</v>
      </c>
      <c r="E1065" t="s">
        <v>566</v>
      </c>
      <c r="F1065" t="s">
        <v>63</v>
      </c>
      <c r="G1065" t="s">
        <v>25</v>
      </c>
      <c r="H1065" t="str">
        <f t="shared" si="32"/>
        <v>DIÁRIAS  JULIANA SOARES - REFERENTE MAIO | Recorrência:5/12 | Observações: DIÁRIAS: 03-11-18 E 26 JANEIRO</v>
      </c>
      <c r="I1065" t="s">
        <v>491</v>
      </c>
      <c r="J1065" s="5">
        <v>-480</v>
      </c>
      <c r="K1065" s="4">
        <v>465751.38</v>
      </c>
      <c r="L1065" t="s">
        <v>27</v>
      </c>
      <c r="M1065" s="5">
        <v>-480</v>
      </c>
      <c r="N1065" s="3">
        <v>0</v>
      </c>
      <c r="O1065" t="s">
        <v>1866</v>
      </c>
      <c r="P1065" t="s">
        <v>1819</v>
      </c>
      <c r="Q1065" t="s">
        <v>1866</v>
      </c>
      <c r="R1065" t="str">
        <f t="shared" si="33"/>
        <v>nao</v>
      </c>
      <c r="S1065" t="s">
        <v>1819</v>
      </c>
      <c r="T1065" t="s">
        <v>1668</v>
      </c>
      <c r="U1065" t="s">
        <v>691</v>
      </c>
      <c r="V1065" s="3">
        <v>-480</v>
      </c>
      <c r="W1065" t="s">
        <v>1058</v>
      </c>
      <c r="X1065" s="3">
        <v>-480</v>
      </c>
    </row>
    <row r="1066" spans="1:24" s="2" customFormat="1" x14ac:dyDescent="0.2">
      <c r="A1066" s="2">
        <v>1066</v>
      </c>
      <c r="B1066" t="s">
        <v>1903</v>
      </c>
      <c r="C1066" t="s">
        <v>1904</v>
      </c>
      <c r="D1066" t="s">
        <v>1905</v>
      </c>
      <c r="E1066" t="s">
        <v>30</v>
      </c>
      <c r="F1066" t="s">
        <v>24</v>
      </c>
      <c r="G1066" t="s">
        <v>25</v>
      </c>
      <c r="H1066" t="str">
        <f t="shared" si="32"/>
        <v>RT Ref: PROJETO STEPHANIE PICCIOTTO -  PEDIDO 009273131322 | Recorrência: | Observações: PEDIDO - 009273B 22
RT 10% &gt; 30 DIAS APÓS FECHAMENTO DO PEDIDO 
AGUARDANDO PAGAMENTO DESDE OUTUBRO</v>
      </c>
      <c r="I1066" t="s">
        <v>491</v>
      </c>
      <c r="J1066" s="6">
        <v>0</v>
      </c>
      <c r="K1066" s="4">
        <v>465751.38</v>
      </c>
      <c r="L1066" t="s">
        <v>476</v>
      </c>
      <c r="M1066" s="4">
        <v>228</v>
      </c>
      <c r="N1066" s="3">
        <v>0</v>
      </c>
      <c r="O1066" t="s">
        <v>1866</v>
      </c>
      <c r="P1066" t="s">
        <v>1152</v>
      </c>
      <c r="Q1066" t="s">
        <v>1866</v>
      </c>
      <c r="R1066" t="str">
        <f t="shared" si="33"/>
        <v>Sim</v>
      </c>
      <c r="S1066" t="s">
        <v>1866</v>
      </c>
      <c r="T1066" t="s">
        <v>1906</v>
      </c>
      <c r="U1066" t="s">
        <v>49</v>
      </c>
      <c r="V1066" s="3">
        <v>0</v>
      </c>
      <c r="W1066" t="s">
        <v>494</v>
      </c>
      <c r="X1066" s="3">
        <v>0</v>
      </c>
    </row>
    <row r="1067" spans="1:24" s="2" customFormat="1" x14ac:dyDescent="0.2">
      <c r="A1067">
        <v>1067</v>
      </c>
      <c r="B1067" t="s">
        <v>1270</v>
      </c>
      <c r="C1067" t="s">
        <v>1271</v>
      </c>
      <c r="D1067" t="s">
        <v>1907</v>
      </c>
      <c r="E1067" t="s">
        <v>30</v>
      </c>
      <c r="F1067" t="s">
        <v>63</v>
      </c>
      <c r="G1067" t="s">
        <v>25</v>
      </c>
      <c r="H1067" t="str">
        <f t="shared" si="32"/>
        <v xml:space="preserve">RT - FERNANDA HENRIQUES | Recorrência: | Observações: </v>
      </c>
      <c r="I1067" t="s">
        <v>491</v>
      </c>
      <c r="J1067" s="5">
        <v>-2259</v>
      </c>
      <c r="K1067" s="4">
        <v>465751.38</v>
      </c>
      <c r="L1067" t="s">
        <v>756</v>
      </c>
      <c r="M1067" s="5">
        <v>-2259</v>
      </c>
      <c r="N1067" s="3">
        <v>0</v>
      </c>
      <c r="O1067" t="s">
        <v>1866</v>
      </c>
      <c r="P1067" t="s">
        <v>1783</v>
      </c>
      <c r="Q1067" t="s">
        <v>1866</v>
      </c>
      <c r="R1067" t="str">
        <f t="shared" si="33"/>
        <v>Sim</v>
      </c>
      <c r="S1067" t="s">
        <v>1866</v>
      </c>
      <c r="T1067" t="s">
        <v>30</v>
      </c>
      <c r="U1067" t="s">
        <v>49</v>
      </c>
      <c r="V1067" s="3">
        <v>-2259</v>
      </c>
      <c r="W1067" t="s">
        <v>494</v>
      </c>
      <c r="X1067" s="3">
        <v>-2259</v>
      </c>
    </row>
    <row r="1068" spans="1:24" s="2" customFormat="1" x14ac:dyDescent="0.2">
      <c r="A1068" s="2">
        <v>1068</v>
      </c>
      <c r="B1068"/>
      <c r="C1068" t="s">
        <v>153</v>
      </c>
      <c r="D1068" t="s">
        <v>1908</v>
      </c>
      <c r="E1068" t="s">
        <v>30</v>
      </c>
      <c r="F1068" t="s">
        <v>63</v>
      </c>
      <c r="G1068" t="s">
        <v>25</v>
      </c>
      <c r="H1068" t="str">
        <f t="shared" si="32"/>
        <v xml:space="preserve">6/7 - SALÁRIO MARCELA S CAVALCANTE 6/12 | Recorrência: | Observações: </v>
      </c>
      <c r="I1068" t="s">
        <v>991</v>
      </c>
      <c r="J1068" s="5">
        <v>-3107.59</v>
      </c>
      <c r="K1068" s="4">
        <v>462643.79</v>
      </c>
      <c r="L1068" t="s">
        <v>27</v>
      </c>
      <c r="M1068" s="5">
        <v>-3107.59</v>
      </c>
      <c r="N1068" s="3">
        <v>0</v>
      </c>
      <c r="O1068" t="s">
        <v>1883</v>
      </c>
      <c r="P1068" t="s">
        <v>1095</v>
      </c>
      <c r="Q1068" t="s">
        <v>1883</v>
      </c>
      <c r="R1068" t="str">
        <f t="shared" si="33"/>
        <v>Sim</v>
      </c>
      <c r="S1068" t="s">
        <v>1883</v>
      </c>
      <c r="T1068" t="s">
        <v>30</v>
      </c>
      <c r="U1068" t="s">
        <v>323</v>
      </c>
      <c r="V1068" s="3">
        <v>-3107.59</v>
      </c>
      <c r="W1068" t="s">
        <v>1164</v>
      </c>
      <c r="X1068" s="3">
        <v>-3107.59</v>
      </c>
    </row>
    <row r="1069" spans="1:24" s="2" customFormat="1" x14ac:dyDescent="0.2">
      <c r="A1069">
        <v>1069</v>
      </c>
      <c r="B1069"/>
      <c r="C1069" t="s">
        <v>153</v>
      </c>
      <c r="D1069" t="s">
        <v>1910</v>
      </c>
      <c r="E1069" t="s">
        <v>1909</v>
      </c>
      <c r="F1069" t="s">
        <v>63</v>
      </c>
      <c r="G1069" t="s">
        <v>25</v>
      </c>
      <c r="H1069" t="str">
        <f t="shared" si="32"/>
        <v xml:space="preserve">SALÁRIO_MAYARA OLIVEIRA | Recorrência:2/7 | Observações: </v>
      </c>
      <c r="I1069" t="s">
        <v>491</v>
      </c>
      <c r="J1069" s="5">
        <v>-2509.89</v>
      </c>
      <c r="K1069" s="4">
        <v>460133.9</v>
      </c>
      <c r="L1069" t="s">
        <v>27</v>
      </c>
      <c r="M1069" s="5">
        <v>-2509.89</v>
      </c>
      <c r="N1069" s="3">
        <v>0</v>
      </c>
      <c r="O1069" t="s">
        <v>1883</v>
      </c>
      <c r="P1069" t="s">
        <v>1874</v>
      </c>
      <c r="Q1069" t="s">
        <v>1883</v>
      </c>
      <c r="R1069" t="str">
        <f t="shared" si="33"/>
        <v>Sim</v>
      </c>
      <c r="S1069" t="s">
        <v>1883</v>
      </c>
      <c r="T1069" t="s">
        <v>30</v>
      </c>
      <c r="U1069" t="s">
        <v>323</v>
      </c>
      <c r="V1069" s="3">
        <v>-2509.89</v>
      </c>
      <c r="W1069" t="s">
        <v>1043</v>
      </c>
      <c r="X1069" s="3">
        <v>-2509.89</v>
      </c>
    </row>
    <row r="1070" spans="1:24" s="2" customFormat="1" x14ac:dyDescent="0.2">
      <c r="A1070" s="2">
        <v>1070</v>
      </c>
      <c r="B1070"/>
      <c r="C1070" t="s">
        <v>153</v>
      </c>
      <c r="D1070" t="s">
        <v>1912</v>
      </c>
      <c r="E1070" t="s">
        <v>1911</v>
      </c>
      <c r="F1070" t="s">
        <v>63</v>
      </c>
      <c r="G1070" t="s">
        <v>25</v>
      </c>
      <c r="H1070" t="str">
        <f t="shared" si="32"/>
        <v xml:space="preserve">SALÁRIO &gt; SAMANTA | Recorrência:1/7 | Observações: </v>
      </c>
      <c r="I1070" t="s">
        <v>491</v>
      </c>
      <c r="J1070" s="5">
        <v>-2567.4299999999998</v>
      </c>
      <c r="K1070" s="4">
        <v>457566.47</v>
      </c>
      <c r="L1070" t="s">
        <v>27</v>
      </c>
      <c r="M1070" s="5">
        <v>-2567.4299999999998</v>
      </c>
      <c r="N1070" s="3">
        <v>0</v>
      </c>
      <c r="O1070" t="s">
        <v>1883</v>
      </c>
      <c r="P1070" t="s">
        <v>1795</v>
      </c>
      <c r="Q1070" t="s">
        <v>1883</v>
      </c>
      <c r="R1070" t="str">
        <f t="shared" si="33"/>
        <v>Sim</v>
      </c>
      <c r="S1070" t="s">
        <v>1883</v>
      </c>
      <c r="T1070" t="s">
        <v>30</v>
      </c>
      <c r="U1070" t="s">
        <v>323</v>
      </c>
      <c r="V1070" s="3">
        <v>-2567.4299999999998</v>
      </c>
      <c r="W1070" t="s">
        <v>1043</v>
      </c>
      <c r="X1070" s="3">
        <v>-2567.4299999999998</v>
      </c>
    </row>
    <row r="1071" spans="1:24" s="2" customFormat="1" x14ac:dyDescent="0.2">
      <c r="A1071">
        <v>1071</v>
      </c>
      <c r="B1071"/>
      <c r="C1071" t="s">
        <v>153</v>
      </c>
      <c r="D1071" t="s">
        <v>1585</v>
      </c>
      <c r="E1071" t="s">
        <v>566</v>
      </c>
      <c r="F1071" t="s">
        <v>63</v>
      </c>
      <c r="G1071" t="s">
        <v>25</v>
      </c>
      <c r="H1071" t="str">
        <f t="shared" si="32"/>
        <v xml:space="preserve">SODEXO - ELIANE | Recorrência:5/12 | Observações: </v>
      </c>
      <c r="I1071" t="s">
        <v>26</v>
      </c>
      <c r="J1071" s="5">
        <v>-610.04999999999995</v>
      </c>
      <c r="K1071" s="4">
        <v>456956.42</v>
      </c>
      <c r="L1071" t="s">
        <v>27</v>
      </c>
      <c r="M1071" s="5">
        <v>-610.04999999999995</v>
      </c>
      <c r="N1071" s="3">
        <v>0</v>
      </c>
      <c r="O1071" t="s">
        <v>1883</v>
      </c>
      <c r="P1071" t="s">
        <v>1848</v>
      </c>
      <c r="Q1071" t="s">
        <v>1883</v>
      </c>
      <c r="R1071" t="str">
        <f t="shared" si="33"/>
        <v>Sim</v>
      </c>
      <c r="S1071" t="s">
        <v>1883</v>
      </c>
      <c r="T1071" t="s">
        <v>30</v>
      </c>
      <c r="U1071" t="s">
        <v>93</v>
      </c>
      <c r="V1071" s="3">
        <v>-610.04999999999995</v>
      </c>
      <c r="W1071" t="s">
        <v>331</v>
      </c>
      <c r="X1071" s="3">
        <v>-610.04999999999995</v>
      </c>
    </row>
    <row r="1072" spans="1:24" s="2" customFormat="1" x14ac:dyDescent="0.2">
      <c r="A1072" s="2">
        <v>1072</v>
      </c>
      <c r="B1072"/>
      <c r="C1072" t="s">
        <v>153</v>
      </c>
      <c r="D1072" t="s">
        <v>636</v>
      </c>
      <c r="E1072" t="s">
        <v>634</v>
      </c>
      <c r="F1072" t="s">
        <v>63</v>
      </c>
      <c r="G1072" t="s">
        <v>25</v>
      </c>
      <c r="H1072" t="str">
        <f t="shared" si="32"/>
        <v xml:space="preserve">SALÁRIO ELIANE | Recorrência:6/12 | Observações: </v>
      </c>
      <c r="I1072" t="s">
        <v>491</v>
      </c>
      <c r="J1072" s="5">
        <v>-1615.23</v>
      </c>
      <c r="K1072" s="4">
        <v>455341.19</v>
      </c>
      <c r="L1072" t="s">
        <v>27</v>
      </c>
      <c r="M1072" s="5">
        <v>-1615.23</v>
      </c>
      <c r="N1072" s="3">
        <v>0</v>
      </c>
      <c r="O1072" t="s">
        <v>1883</v>
      </c>
      <c r="P1072" t="s">
        <v>1913</v>
      </c>
      <c r="Q1072" t="s">
        <v>1883</v>
      </c>
      <c r="R1072" t="str">
        <f t="shared" si="33"/>
        <v>Sim</v>
      </c>
      <c r="S1072" t="s">
        <v>1883</v>
      </c>
      <c r="T1072" t="s">
        <v>30</v>
      </c>
      <c r="U1072" t="s">
        <v>323</v>
      </c>
      <c r="V1072" s="3">
        <v>-1615.23</v>
      </c>
      <c r="W1072" t="s">
        <v>1164</v>
      </c>
      <c r="X1072" s="3">
        <v>-1615.23</v>
      </c>
    </row>
    <row r="1073" spans="1:24" s="2" customFormat="1" x14ac:dyDescent="0.2">
      <c r="A1073">
        <v>1073</v>
      </c>
      <c r="B1073"/>
      <c r="C1073" t="s">
        <v>153</v>
      </c>
      <c r="D1073" t="s">
        <v>1914</v>
      </c>
      <c r="E1073" t="s">
        <v>30</v>
      </c>
      <c r="F1073" t="s">
        <v>63</v>
      </c>
      <c r="G1073" t="s">
        <v>25</v>
      </c>
      <c r="H1073" t="str">
        <f t="shared" si="32"/>
        <v xml:space="preserve">6/12 - PRÓ LABORE - NATASHA 6/12 | Recorrência: | Observações: </v>
      </c>
      <c r="I1073" t="s">
        <v>491</v>
      </c>
      <c r="J1073" s="5">
        <v>-15000</v>
      </c>
      <c r="K1073" s="4">
        <v>440341.19</v>
      </c>
      <c r="L1073" t="s">
        <v>27</v>
      </c>
      <c r="M1073" s="5">
        <v>-15000</v>
      </c>
      <c r="N1073" s="3">
        <v>0</v>
      </c>
      <c r="O1073" t="s">
        <v>1883</v>
      </c>
      <c r="P1073" t="s">
        <v>1457</v>
      </c>
      <c r="Q1073" t="s">
        <v>1883</v>
      </c>
      <c r="R1073" t="str">
        <f t="shared" si="33"/>
        <v>Sim</v>
      </c>
      <c r="S1073" t="s">
        <v>1883</v>
      </c>
      <c r="T1073" t="s">
        <v>30</v>
      </c>
      <c r="U1073" t="s">
        <v>631</v>
      </c>
      <c r="V1073" s="3">
        <v>-15000</v>
      </c>
      <c r="W1073" t="s">
        <v>1164</v>
      </c>
      <c r="X1073" s="3">
        <v>-15000</v>
      </c>
    </row>
    <row r="1074" spans="1:24" s="2" customFormat="1" x14ac:dyDescent="0.2">
      <c r="A1074" s="2">
        <v>1074</v>
      </c>
      <c r="B1074" t="s">
        <v>1509</v>
      </c>
      <c r="C1074" t="s">
        <v>1510</v>
      </c>
      <c r="D1074" t="s">
        <v>1915</v>
      </c>
      <c r="E1074" t="s">
        <v>38</v>
      </c>
      <c r="F1074" t="s">
        <v>24</v>
      </c>
      <c r="G1074" t="s">
        <v>25</v>
      </c>
      <c r="H1074" t="str">
        <f t="shared" si="32"/>
        <v xml:space="preserve">PROJETO -  SALÃO DE JOGOS_ACADEMIA | Recorrência:1/3 | Observações: </v>
      </c>
      <c r="I1074" t="s">
        <v>491</v>
      </c>
      <c r="J1074" s="4">
        <v>2334</v>
      </c>
      <c r="K1074" s="4">
        <v>442675.19</v>
      </c>
      <c r="L1074" t="s">
        <v>27</v>
      </c>
      <c r="M1074" s="4">
        <v>2334</v>
      </c>
      <c r="N1074" s="3">
        <v>0</v>
      </c>
      <c r="O1074" t="s">
        <v>1840</v>
      </c>
      <c r="P1074" t="s">
        <v>1852</v>
      </c>
      <c r="Q1074" t="s">
        <v>1848</v>
      </c>
      <c r="R1074" t="str">
        <f t="shared" si="33"/>
        <v>Sim</v>
      </c>
      <c r="S1074" t="s">
        <v>1848</v>
      </c>
      <c r="T1074" t="s">
        <v>30</v>
      </c>
      <c r="U1074" t="s">
        <v>31</v>
      </c>
      <c r="V1074" s="3">
        <v>2334</v>
      </c>
      <c r="W1074" t="s">
        <v>32</v>
      </c>
      <c r="X1074" s="3">
        <v>2334</v>
      </c>
    </row>
    <row r="1075" spans="1:24" s="2" customFormat="1" x14ac:dyDescent="0.2">
      <c r="A1075">
        <v>1075</v>
      </c>
      <c r="B1075" t="s">
        <v>1916</v>
      </c>
      <c r="C1075" t="s">
        <v>1917</v>
      </c>
      <c r="D1075" t="s">
        <v>1918</v>
      </c>
      <c r="E1075" t="s">
        <v>30</v>
      </c>
      <c r="F1075" t="s">
        <v>24</v>
      </c>
      <c r="G1075" t="s">
        <v>25</v>
      </c>
      <c r="H1075" t="str">
        <f t="shared" si="32"/>
        <v>RT CLAUDIA E RONEI - PROPOSTA 01122115.2022 e GABRIELA BORGES - PEDIDO 1662 | Recorrência: | Observações: RT 10%</v>
      </c>
      <c r="I1075" t="s">
        <v>491</v>
      </c>
      <c r="J1075" s="4">
        <v>4520.7299999999996</v>
      </c>
      <c r="K1075" s="4">
        <v>447195.92</v>
      </c>
      <c r="L1075" t="s">
        <v>27</v>
      </c>
      <c r="M1075" s="4">
        <v>4520.7299999999996</v>
      </c>
      <c r="N1075" s="3">
        <v>0</v>
      </c>
      <c r="O1075" t="s">
        <v>1840</v>
      </c>
      <c r="P1075" t="s">
        <v>1154</v>
      </c>
      <c r="Q1075" t="s">
        <v>1840</v>
      </c>
      <c r="R1075" t="str">
        <f t="shared" si="33"/>
        <v>Sim</v>
      </c>
      <c r="S1075" t="s">
        <v>1840</v>
      </c>
      <c r="T1075" t="s">
        <v>1281</v>
      </c>
      <c r="U1075" t="s">
        <v>49</v>
      </c>
      <c r="V1075" s="3">
        <v>4520.7299999999996</v>
      </c>
      <c r="W1075" t="s">
        <v>494</v>
      </c>
      <c r="X1075" s="3">
        <v>4520.7299999999996</v>
      </c>
    </row>
    <row r="1076" spans="1:24" s="2" customFormat="1" x14ac:dyDescent="0.2">
      <c r="A1076" s="2">
        <v>1076</v>
      </c>
      <c r="B1076" t="s">
        <v>647</v>
      </c>
      <c r="C1076" t="s">
        <v>648</v>
      </c>
      <c r="D1076" t="s">
        <v>1920</v>
      </c>
      <c r="E1076" t="s">
        <v>30</v>
      </c>
      <c r="F1076" t="s">
        <v>63</v>
      </c>
      <c r="G1076" t="s">
        <v>25</v>
      </c>
      <c r="H1076" t="str">
        <f t="shared" si="32"/>
        <v xml:space="preserve">6/12 - FGTS 6/12 | Recorrência: | Observações: </v>
      </c>
      <c r="I1076" t="s">
        <v>26</v>
      </c>
      <c r="J1076" s="5">
        <v>-140.25</v>
      </c>
      <c r="K1076" s="4">
        <v>447055.67</v>
      </c>
      <c r="L1076" t="s">
        <v>27</v>
      </c>
      <c r="M1076" s="5">
        <v>-140.25</v>
      </c>
      <c r="N1076" s="3">
        <v>0</v>
      </c>
      <c r="O1076" t="s">
        <v>1919</v>
      </c>
      <c r="P1076" t="s">
        <v>1469</v>
      </c>
      <c r="Q1076" t="s">
        <v>1921</v>
      </c>
      <c r="R1076" t="str">
        <f t="shared" si="33"/>
        <v>Sim</v>
      </c>
      <c r="S1076" t="s">
        <v>1921</v>
      </c>
      <c r="T1076" t="s">
        <v>30</v>
      </c>
      <c r="U1076" t="s">
        <v>1531</v>
      </c>
      <c r="V1076" s="3">
        <v>-140.25</v>
      </c>
    </row>
    <row r="1077" spans="1:24" s="2" customFormat="1" x14ac:dyDescent="0.2">
      <c r="A1077">
        <v>1077</v>
      </c>
      <c r="B1077" t="s">
        <v>647</v>
      </c>
      <c r="C1077" t="s">
        <v>648</v>
      </c>
      <c r="D1077" t="s">
        <v>1544</v>
      </c>
      <c r="E1077" t="s">
        <v>634</v>
      </c>
      <c r="F1077" t="s">
        <v>63</v>
      </c>
      <c r="G1077" t="s">
        <v>25</v>
      </c>
      <c r="H1077" t="str">
        <f t="shared" si="32"/>
        <v xml:space="preserve">HONORARIOS CONTABEIS | Recorrência:6/12 | Observações: </v>
      </c>
      <c r="I1077" t="s">
        <v>26</v>
      </c>
      <c r="J1077" s="5">
        <v>-925</v>
      </c>
      <c r="K1077" s="4">
        <v>446130.67</v>
      </c>
      <c r="L1077" t="s">
        <v>27</v>
      </c>
      <c r="M1077" s="5">
        <v>-925</v>
      </c>
      <c r="N1077" s="3">
        <v>0</v>
      </c>
      <c r="O1077" t="s">
        <v>1919</v>
      </c>
      <c r="P1077" t="s">
        <v>1922</v>
      </c>
      <c r="Q1077" t="s">
        <v>1923</v>
      </c>
      <c r="R1077" t="str">
        <f t="shared" si="33"/>
        <v>nao</v>
      </c>
      <c r="S1077" t="s">
        <v>1869</v>
      </c>
      <c r="T1077" t="s">
        <v>30</v>
      </c>
      <c r="U1077" t="s">
        <v>608</v>
      </c>
      <c r="V1077" s="3">
        <v>-925</v>
      </c>
      <c r="W1077" t="s">
        <v>297</v>
      </c>
      <c r="X1077" s="3">
        <v>-925</v>
      </c>
    </row>
    <row r="1078" spans="1:24" s="2" customFormat="1" x14ac:dyDescent="0.2">
      <c r="A1078" s="2">
        <v>1078</v>
      </c>
      <c r="B1078" t="s">
        <v>1373</v>
      </c>
      <c r="C1078" t="s">
        <v>1374</v>
      </c>
      <c r="D1078" t="s">
        <v>1924</v>
      </c>
      <c r="E1078" t="s">
        <v>30</v>
      </c>
      <c r="F1078" t="s">
        <v>24</v>
      </c>
      <c r="G1078" t="s">
        <v>25</v>
      </c>
      <c r="H1078" t="str">
        <f t="shared" si="32"/>
        <v xml:space="preserve">2/4 - GERENCIAMENTO - QUAD STUDIO | Recorrência: | Observações: </v>
      </c>
      <c r="I1078" t="s">
        <v>491</v>
      </c>
      <c r="J1078" s="4">
        <v>2500</v>
      </c>
      <c r="K1078" s="4">
        <v>448630.67</v>
      </c>
      <c r="L1078" t="s">
        <v>27</v>
      </c>
      <c r="M1078" s="4">
        <v>2500</v>
      </c>
      <c r="N1078" s="3">
        <v>0</v>
      </c>
      <c r="O1078" t="s">
        <v>1919</v>
      </c>
      <c r="P1078" t="s">
        <v>1564</v>
      </c>
      <c r="Q1078" t="s">
        <v>1919</v>
      </c>
      <c r="R1078" t="str">
        <f t="shared" si="33"/>
        <v>Sim</v>
      </c>
      <c r="S1078" t="s">
        <v>1919</v>
      </c>
      <c r="T1078" t="s">
        <v>30</v>
      </c>
      <c r="U1078" t="s">
        <v>274</v>
      </c>
      <c r="V1078" s="3">
        <v>2500</v>
      </c>
    </row>
    <row r="1079" spans="1:24" s="2" customFormat="1" x14ac:dyDescent="0.2">
      <c r="A1079">
        <v>1079</v>
      </c>
      <c r="B1079" t="s">
        <v>1373</v>
      </c>
      <c r="C1079" t="s">
        <v>1374</v>
      </c>
      <c r="D1079" t="s">
        <v>1925</v>
      </c>
      <c r="E1079" t="s">
        <v>30</v>
      </c>
      <c r="F1079" t="s">
        <v>24</v>
      </c>
      <c r="G1079" t="s">
        <v>25</v>
      </c>
      <c r="H1079" t="str">
        <f t="shared" si="32"/>
        <v xml:space="preserve">3/4 - GERENCIAMENTO - QUAD STUDIO | Recorrência: | Observações: </v>
      </c>
      <c r="I1079" t="s">
        <v>491</v>
      </c>
      <c r="J1079" s="4">
        <v>2500</v>
      </c>
      <c r="K1079" s="4">
        <v>451130.67</v>
      </c>
      <c r="L1079" t="s">
        <v>27</v>
      </c>
      <c r="M1079" s="4">
        <v>2500</v>
      </c>
      <c r="N1079" s="3">
        <v>0</v>
      </c>
      <c r="O1079" t="s">
        <v>1919</v>
      </c>
      <c r="P1079" t="s">
        <v>1564</v>
      </c>
      <c r="Q1079" t="s">
        <v>1919</v>
      </c>
      <c r="R1079" t="str">
        <f t="shared" si="33"/>
        <v>Sim</v>
      </c>
      <c r="S1079" t="s">
        <v>1919</v>
      </c>
      <c r="T1079" t="s">
        <v>30</v>
      </c>
      <c r="U1079" t="s">
        <v>274</v>
      </c>
      <c r="V1079" s="3">
        <v>2500</v>
      </c>
    </row>
    <row r="1080" spans="1:24" s="2" customFormat="1" x14ac:dyDescent="0.2">
      <c r="A1080" s="2">
        <v>1080</v>
      </c>
      <c r="B1080"/>
      <c r="C1080" t="s">
        <v>153</v>
      </c>
      <c r="D1080" t="s">
        <v>1927</v>
      </c>
      <c r="E1080" t="s">
        <v>1909</v>
      </c>
      <c r="F1080" t="s">
        <v>63</v>
      </c>
      <c r="G1080" t="s">
        <v>25</v>
      </c>
      <c r="H1080" t="str">
        <f t="shared" si="32"/>
        <v xml:space="preserve">SAMANTA- PAGAMENTO 02  DIAS E TRABALHO | Recorrência:2/7 | Observações: </v>
      </c>
      <c r="I1080" t="s">
        <v>491</v>
      </c>
      <c r="J1080" s="5">
        <v>-240</v>
      </c>
      <c r="K1080" s="4">
        <v>450890.67</v>
      </c>
      <c r="L1080" t="s">
        <v>27</v>
      </c>
      <c r="M1080" s="5">
        <v>-240</v>
      </c>
      <c r="N1080" s="3">
        <v>0</v>
      </c>
      <c r="O1080" t="s">
        <v>1926</v>
      </c>
      <c r="P1080" t="s">
        <v>1876</v>
      </c>
      <c r="Q1080" t="s">
        <v>1926</v>
      </c>
      <c r="R1080" t="str">
        <f t="shared" si="33"/>
        <v>nao</v>
      </c>
      <c r="S1080" t="s">
        <v>1928</v>
      </c>
      <c r="T1080" t="s">
        <v>30</v>
      </c>
      <c r="U1080" t="s">
        <v>323</v>
      </c>
      <c r="V1080" s="3">
        <v>-240</v>
      </c>
      <c r="W1080" t="s">
        <v>1043</v>
      </c>
      <c r="X1080" s="3">
        <v>-240</v>
      </c>
    </row>
    <row r="1081" spans="1:24" s="2" customFormat="1" x14ac:dyDescent="0.2">
      <c r="A1081">
        <v>1081</v>
      </c>
      <c r="B1081"/>
      <c r="C1081" t="s">
        <v>574</v>
      </c>
      <c r="D1081" t="s">
        <v>1533</v>
      </c>
      <c r="E1081" t="s">
        <v>634</v>
      </c>
      <c r="F1081" t="s">
        <v>63</v>
      </c>
      <c r="G1081" t="s">
        <v>25</v>
      </c>
      <c r="H1081" t="str">
        <f t="shared" si="32"/>
        <v xml:space="preserve">CONDOMINIO + ALUGUEL | Recorrência:6/12 | Observações: </v>
      </c>
      <c r="I1081" t="s">
        <v>26</v>
      </c>
      <c r="J1081" s="5">
        <v>-6387.32</v>
      </c>
      <c r="K1081" s="4">
        <v>444503.35</v>
      </c>
      <c r="L1081" t="s">
        <v>27</v>
      </c>
      <c r="M1081" s="5">
        <v>-6387.32</v>
      </c>
      <c r="N1081" s="3">
        <v>0</v>
      </c>
      <c r="O1081" t="s">
        <v>1926</v>
      </c>
      <c r="P1081" t="s">
        <v>1929</v>
      </c>
      <c r="Q1081" t="s">
        <v>1919</v>
      </c>
      <c r="R1081" t="str">
        <f t="shared" si="33"/>
        <v>Sim</v>
      </c>
      <c r="S1081" t="s">
        <v>1919</v>
      </c>
      <c r="T1081" t="s">
        <v>30</v>
      </c>
      <c r="U1081" t="s">
        <v>571</v>
      </c>
      <c r="V1081" s="3">
        <v>-6387.32</v>
      </c>
      <c r="W1081" t="s">
        <v>1058</v>
      </c>
      <c r="X1081" s="3">
        <v>-6387.32</v>
      </c>
    </row>
    <row r="1082" spans="1:24" s="2" customFormat="1" x14ac:dyDescent="0.2">
      <c r="A1082" s="2">
        <v>1082</v>
      </c>
      <c r="B1082" t="s">
        <v>1565</v>
      </c>
      <c r="C1082" t="s">
        <v>1566</v>
      </c>
      <c r="D1082" t="s">
        <v>1930</v>
      </c>
      <c r="E1082" t="s">
        <v>30</v>
      </c>
      <c r="F1082" t="s">
        <v>24</v>
      </c>
      <c r="G1082" t="s">
        <v>25</v>
      </c>
      <c r="H1082" t="str">
        <f t="shared" si="32"/>
        <v xml:space="preserve">RT Fernanda Henriques - pedido 19/04 | Recorrência: | Observações: </v>
      </c>
      <c r="I1082" t="s">
        <v>491</v>
      </c>
      <c r="J1082" s="4">
        <v>500</v>
      </c>
      <c r="K1082" s="4">
        <v>445003.35</v>
      </c>
      <c r="L1082" t="s">
        <v>27</v>
      </c>
      <c r="M1082" s="4">
        <v>500</v>
      </c>
      <c r="N1082" s="3">
        <v>0</v>
      </c>
      <c r="O1082" t="s">
        <v>1926</v>
      </c>
      <c r="P1082" t="s">
        <v>1744</v>
      </c>
      <c r="Q1082" t="s">
        <v>1931</v>
      </c>
      <c r="R1082" t="str">
        <f t="shared" si="33"/>
        <v>Sim</v>
      </c>
      <c r="S1082" t="s">
        <v>1931</v>
      </c>
      <c r="T1082" t="s">
        <v>30</v>
      </c>
      <c r="U1082" t="s">
        <v>49</v>
      </c>
      <c r="V1082" s="3">
        <v>500</v>
      </c>
      <c r="W1082" t="s">
        <v>494</v>
      </c>
      <c r="X1082" s="3">
        <v>500</v>
      </c>
    </row>
    <row r="1083" spans="1:24" s="2" customFormat="1" x14ac:dyDescent="0.2">
      <c r="A1083">
        <v>1083</v>
      </c>
      <c r="B1083"/>
      <c r="C1083" t="s">
        <v>153</v>
      </c>
      <c r="D1083" t="s">
        <v>1933</v>
      </c>
      <c r="E1083" t="s">
        <v>30</v>
      </c>
      <c r="F1083" t="s">
        <v>63</v>
      </c>
      <c r="G1083" t="s">
        <v>25</v>
      </c>
      <c r="H1083" t="str">
        <f t="shared" si="32"/>
        <v xml:space="preserve">SL GRÁFICA &amp; COPIADORA _ Apresentação Diogo | Recorrência: | Observações: </v>
      </c>
      <c r="I1083" t="s">
        <v>1113</v>
      </c>
      <c r="J1083" s="5">
        <v>-64</v>
      </c>
      <c r="K1083" s="4">
        <v>444939.35</v>
      </c>
      <c r="L1083" t="s">
        <v>27</v>
      </c>
      <c r="M1083" s="5">
        <v>-64</v>
      </c>
      <c r="N1083" s="3">
        <v>0</v>
      </c>
      <c r="O1083" t="s">
        <v>1932</v>
      </c>
      <c r="P1083" t="s">
        <v>1932</v>
      </c>
      <c r="Q1083" t="s">
        <v>1932</v>
      </c>
      <c r="R1083" t="str">
        <f t="shared" si="33"/>
        <v>Sim</v>
      </c>
      <c r="S1083" t="s">
        <v>1932</v>
      </c>
      <c r="T1083" t="s">
        <v>30</v>
      </c>
      <c r="U1083" t="s">
        <v>1371</v>
      </c>
      <c r="V1083" s="3">
        <v>-64</v>
      </c>
      <c r="W1083" t="s">
        <v>40</v>
      </c>
      <c r="X1083" s="3">
        <v>-64</v>
      </c>
    </row>
    <row r="1084" spans="1:24" s="2" customFormat="1" x14ac:dyDescent="0.2">
      <c r="A1084" s="2">
        <v>1084</v>
      </c>
      <c r="B1084" t="s">
        <v>1654</v>
      </c>
      <c r="C1084" t="s">
        <v>1655</v>
      </c>
      <c r="D1084" t="s">
        <v>1934</v>
      </c>
      <c r="E1084" t="s">
        <v>95</v>
      </c>
      <c r="F1084" t="s">
        <v>24</v>
      </c>
      <c r="G1084" t="s">
        <v>25</v>
      </c>
      <c r="H1084" t="str">
        <f t="shared" si="32"/>
        <v xml:space="preserve">RT - PEDIDO OR 0368 - LUCIENE GIL MARCHI | Recorrência:2/2 | Observações: </v>
      </c>
      <c r="I1084" t="s">
        <v>491</v>
      </c>
      <c r="J1084" s="4">
        <v>180</v>
      </c>
      <c r="K1084" s="4">
        <v>445119.35</v>
      </c>
      <c r="L1084" t="s">
        <v>27</v>
      </c>
      <c r="M1084" s="4">
        <v>180</v>
      </c>
      <c r="N1084" s="3">
        <v>0</v>
      </c>
      <c r="O1084" t="s">
        <v>1932</v>
      </c>
      <c r="P1084" t="s">
        <v>1921</v>
      </c>
      <c r="Q1084" t="s">
        <v>1935</v>
      </c>
      <c r="R1084" t="str">
        <f t="shared" si="33"/>
        <v>Sim</v>
      </c>
      <c r="S1084" t="s">
        <v>1935</v>
      </c>
      <c r="T1084" t="s">
        <v>30</v>
      </c>
      <c r="U1084" t="s">
        <v>49</v>
      </c>
      <c r="V1084" s="3">
        <v>180</v>
      </c>
      <c r="W1084" t="s">
        <v>494</v>
      </c>
      <c r="X1084" s="3">
        <v>180</v>
      </c>
    </row>
    <row r="1085" spans="1:24" s="2" customFormat="1" x14ac:dyDescent="0.2">
      <c r="A1085">
        <v>1085</v>
      </c>
      <c r="B1085"/>
      <c r="C1085" t="s">
        <v>1936</v>
      </c>
      <c r="D1085" t="s">
        <v>1937</v>
      </c>
      <c r="E1085" t="s">
        <v>67</v>
      </c>
      <c r="F1085" t="s">
        <v>24</v>
      </c>
      <c r="G1085" t="s">
        <v>25</v>
      </c>
      <c r="H1085" t="str">
        <f t="shared" si="32"/>
        <v xml:space="preserve">PROJETO FOR YOU_MOEMA  | Recorrência:1/2 | Observações: </v>
      </c>
      <c r="I1085" t="s">
        <v>491</v>
      </c>
      <c r="J1085" s="4">
        <v>3500</v>
      </c>
      <c r="K1085" s="4">
        <v>448619.35</v>
      </c>
      <c r="L1085" t="s">
        <v>27</v>
      </c>
      <c r="M1085" s="4">
        <v>3500</v>
      </c>
      <c r="N1085" s="3">
        <v>0</v>
      </c>
      <c r="O1085" t="s">
        <v>1932</v>
      </c>
      <c r="P1085" t="s">
        <v>1938</v>
      </c>
      <c r="Q1085" t="s">
        <v>1883</v>
      </c>
      <c r="R1085" t="str">
        <f t="shared" si="33"/>
        <v>Sim</v>
      </c>
      <c r="S1085" t="s">
        <v>1883</v>
      </c>
      <c r="T1085" t="s">
        <v>30</v>
      </c>
      <c r="U1085" t="s">
        <v>31</v>
      </c>
      <c r="V1085" s="3">
        <v>3500</v>
      </c>
      <c r="W1085" t="s">
        <v>32</v>
      </c>
      <c r="X1085" s="3">
        <v>3500</v>
      </c>
    </row>
    <row r="1086" spans="1:24" s="2" customFormat="1" x14ac:dyDescent="0.2">
      <c r="A1086" s="2">
        <v>1086</v>
      </c>
      <c r="B1086" t="s">
        <v>1088</v>
      </c>
      <c r="C1086" t="s">
        <v>1089</v>
      </c>
      <c r="D1086" t="s">
        <v>1939</v>
      </c>
      <c r="E1086" t="s">
        <v>30</v>
      </c>
      <c r="F1086" t="s">
        <v>24</v>
      </c>
      <c r="G1086" t="s">
        <v>25</v>
      </c>
      <c r="H1086" t="str">
        <f t="shared" si="32"/>
        <v xml:space="preserve">RT - BARBARA - QUARTOS | Recorrência: | Observações: </v>
      </c>
      <c r="I1086" t="s">
        <v>491</v>
      </c>
      <c r="J1086" s="4">
        <v>1020</v>
      </c>
      <c r="K1086" s="4">
        <v>449639.35</v>
      </c>
      <c r="L1086" t="s">
        <v>27</v>
      </c>
      <c r="M1086" s="4">
        <v>1020</v>
      </c>
      <c r="N1086" s="3">
        <v>0</v>
      </c>
      <c r="O1086" t="s">
        <v>1869</v>
      </c>
      <c r="P1086" t="s">
        <v>1940</v>
      </c>
      <c r="Q1086" t="s">
        <v>1869</v>
      </c>
      <c r="R1086" t="str">
        <f t="shared" si="33"/>
        <v>Sim</v>
      </c>
      <c r="S1086" t="s">
        <v>1869</v>
      </c>
      <c r="T1086" t="s">
        <v>30</v>
      </c>
      <c r="U1086" t="s">
        <v>49</v>
      </c>
      <c r="V1086" s="3">
        <v>1020</v>
      </c>
      <c r="W1086" t="s">
        <v>494</v>
      </c>
      <c r="X1086" s="3">
        <v>1020</v>
      </c>
    </row>
    <row r="1087" spans="1:24" s="2" customFormat="1" x14ac:dyDescent="0.2">
      <c r="A1087">
        <v>1087</v>
      </c>
      <c r="B1087" t="s">
        <v>1941</v>
      </c>
      <c r="C1087" t="s">
        <v>1942</v>
      </c>
      <c r="D1087" t="s">
        <v>1943</v>
      </c>
      <c r="E1087" t="s">
        <v>30</v>
      </c>
      <c r="F1087" t="s">
        <v>24</v>
      </c>
      <c r="G1087" t="s">
        <v>25</v>
      </c>
      <c r="H1087" t="str">
        <f t="shared" si="32"/>
        <v xml:space="preserve">RT PEDIDO P030352 - FERNANDA HENRIQUES | Recorrência: | Observações: </v>
      </c>
      <c r="I1087" t="s">
        <v>491</v>
      </c>
      <c r="J1087" s="4">
        <v>208</v>
      </c>
      <c r="K1087" s="4">
        <v>449847.35</v>
      </c>
      <c r="L1087" t="s">
        <v>27</v>
      </c>
      <c r="M1087" s="4">
        <v>208</v>
      </c>
      <c r="N1087" s="3">
        <v>0</v>
      </c>
      <c r="O1087" t="s">
        <v>1940</v>
      </c>
      <c r="P1087" t="s">
        <v>1850</v>
      </c>
      <c r="Q1087" t="s">
        <v>1940</v>
      </c>
      <c r="R1087" t="str">
        <f t="shared" si="33"/>
        <v>Sim</v>
      </c>
      <c r="S1087" t="s">
        <v>1940</v>
      </c>
      <c r="T1087" t="s">
        <v>30</v>
      </c>
      <c r="U1087" t="s">
        <v>49</v>
      </c>
      <c r="V1087" s="3">
        <v>208</v>
      </c>
      <c r="W1087" t="s">
        <v>494</v>
      </c>
      <c r="X1087" s="3">
        <v>208</v>
      </c>
    </row>
    <row r="1088" spans="1:24" s="2" customFormat="1" x14ac:dyDescent="0.2">
      <c r="A1088" s="2">
        <v>1088</v>
      </c>
      <c r="B1088" t="s">
        <v>1629</v>
      </c>
      <c r="C1088" t="s">
        <v>1630</v>
      </c>
      <c r="D1088" t="s">
        <v>1944</v>
      </c>
      <c r="E1088" t="s">
        <v>30</v>
      </c>
      <c r="F1088" t="s">
        <v>24</v>
      </c>
      <c r="G1088" t="s">
        <v>25</v>
      </c>
      <c r="H1088" t="str">
        <f t="shared" si="32"/>
        <v xml:space="preserve">RT -  ORÇ 01753 - GABRIEL SOLLERO FIGUEIRA | Recorrência: | Observações: </v>
      </c>
      <c r="I1088" t="s">
        <v>491</v>
      </c>
      <c r="J1088" s="4">
        <v>1130</v>
      </c>
      <c r="K1088" s="4">
        <v>450977.35</v>
      </c>
      <c r="L1088" t="s">
        <v>27</v>
      </c>
      <c r="M1088" s="4">
        <v>1130</v>
      </c>
      <c r="N1088" s="3">
        <v>0</v>
      </c>
      <c r="O1088" t="s">
        <v>1940</v>
      </c>
      <c r="P1088" t="s">
        <v>1870</v>
      </c>
      <c r="Q1088" t="s">
        <v>1869</v>
      </c>
      <c r="R1088" t="str">
        <f t="shared" si="33"/>
        <v>Sim</v>
      </c>
      <c r="S1088" t="s">
        <v>1869</v>
      </c>
      <c r="T1088" t="s">
        <v>30</v>
      </c>
      <c r="U1088" t="s">
        <v>49</v>
      </c>
      <c r="V1088" s="3">
        <v>1130</v>
      </c>
      <c r="W1088" t="s">
        <v>494</v>
      </c>
      <c r="X1088" s="3">
        <v>1130</v>
      </c>
    </row>
    <row r="1089" spans="1:24" s="2" customFormat="1" x14ac:dyDescent="0.2">
      <c r="A1089">
        <v>1089</v>
      </c>
      <c r="B1089" t="s">
        <v>1810</v>
      </c>
      <c r="C1089" t="s">
        <v>1811</v>
      </c>
      <c r="D1089" t="s">
        <v>1812</v>
      </c>
      <c r="E1089" t="s">
        <v>148</v>
      </c>
      <c r="F1089" t="s">
        <v>24</v>
      </c>
      <c r="G1089" t="s">
        <v>25</v>
      </c>
      <c r="H1089" t="str">
        <f t="shared" si="32"/>
        <v xml:space="preserve">PROJETO - EDIFICIO D'ORU | Recorrência:3/3 | Observações: </v>
      </c>
      <c r="I1089" t="s">
        <v>991</v>
      </c>
      <c r="J1089" s="4">
        <v>3000</v>
      </c>
      <c r="K1089" s="4">
        <v>453977.35</v>
      </c>
      <c r="L1089" t="s">
        <v>27</v>
      </c>
      <c r="M1089" s="4">
        <v>3000</v>
      </c>
      <c r="N1089" s="3">
        <v>0</v>
      </c>
      <c r="O1089" t="s">
        <v>1940</v>
      </c>
      <c r="P1089" t="s">
        <v>1945</v>
      </c>
      <c r="Q1089" t="s">
        <v>1940</v>
      </c>
      <c r="R1089" t="str">
        <f t="shared" si="33"/>
        <v>Sim</v>
      </c>
      <c r="S1089" t="s">
        <v>1940</v>
      </c>
      <c r="T1089" t="s">
        <v>30</v>
      </c>
      <c r="U1089" t="s">
        <v>31</v>
      </c>
      <c r="V1089" s="3">
        <v>3000</v>
      </c>
      <c r="W1089" t="s">
        <v>32</v>
      </c>
      <c r="X1089" s="3">
        <v>3000</v>
      </c>
    </row>
    <row r="1090" spans="1:24" s="2" customFormat="1" x14ac:dyDescent="0.2">
      <c r="A1090" s="2">
        <v>1090</v>
      </c>
      <c r="B1090"/>
      <c r="C1090" t="s">
        <v>710</v>
      </c>
      <c r="D1090" t="s">
        <v>1946</v>
      </c>
      <c r="E1090" t="s">
        <v>566</v>
      </c>
      <c r="F1090" t="s">
        <v>63</v>
      </c>
      <c r="G1090" t="s">
        <v>25</v>
      </c>
      <c r="H1090" t="str">
        <f t="shared" si="32"/>
        <v xml:space="preserve">ENÉRGIA ELETRICA  | Recorrência:5/12 | Observações: </v>
      </c>
      <c r="I1090" t="s">
        <v>26</v>
      </c>
      <c r="J1090" s="5">
        <v>-498</v>
      </c>
      <c r="K1090" s="4">
        <v>453479.35</v>
      </c>
      <c r="L1090" t="s">
        <v>27</v>
      </c>
      <c r="M1090" s="5">
        <v>-498</v>
      </c>
      <c r="N1090" s="3">
        <v>0</v>
      </c>
      <c r="O1090" t="s">
        <v>1931</v>
      </c>
      <c r="P1090" t="s">
        <v>1848</v>
      </c>
      <c r="Q1090" t="s">
        <v>1848</v>
      </c>
      <c r="R1090" t="str">
        <f t="shared" si="33"/>
        <v>Sim</v>
      </c>
      <c r="S1090" t="s">
        <v>1848</v>
      </c>
      <c r="T1090" t="s">
        <v>30</v>
      </c>
      <c r="U1090" t="s">
        <v>125</v>
      </c>
      <c r="V1090" s="3">
        <v>-498</v>
      </c>
      <c r="W1090" t="s">
        <v>125</v>
      </c>
      <c r="X1090" s="3">
        <v>-498</v>
      </c>
    </row>
    <row r="1091" spans="1:24" s="2" customFormat="1" x14ac:dyDescent="0.2">
      <c r="A1091">
        <v>1091</v>
      </c>
      <c r="B1091" t="s">
        <v>1947</v>
      </c>
      <c r="C1091" t="s">
        <v>1948</v>
      </c>
      <c r="D1091" t="s">
        <v>1949</v>
      </c>
      <c r="E1091" t="s">
        <v>30</v>
      </c>
      <c r="F1091" t="s">
        <v>24</v>
      </c>
      <c r="G1091" t="s">
        <v>25</v>
      </c>
      <c r="H1091" t="str">
        <f t="shared" ref="H1091:H1154" si="34">D1091&amp;" | "&amp;$E$1&amp;E1091&amp;" | Observações: "&amp;T1091</f>
        <v xml:space="preserve">1/3 - RT PEDIDO CRISTIANE UFLACKER♥RICARDO GALVÃO 1/3 + 2/3 | Recorrência: | Observações: </v>
      </c>
      <c r="I1091" t="s">
        <v>491</v>
      </c>
      <c r="J1091" s="4">
        <v>305.57</v>
      </c>
      <c r="K1091" s="4">
        <v>453784.92</v>
      </c>
      <c r="L1091" t="s">
        <v>27</v>
      </c>
      <c r="M1091" s="4">
        <v>305.57</v>
      </c>
      <c r="N1091" s="3">
        <v>0</v>
      </c>
      <c r="O1091" t="s">
        <v>1931</v>
      </c>
      <c r="P1091" t="s">
        <v>1870</v>
      </c>
      <c r="Q1091" t="s">
        <v>1876</v>
      </c>
      <c r="R1091" t="str">
        <f t="shared" ref="R1091:R1154" si="35">IF(Q1091=S1091,"Sim","nao")</f>
        <v>Sim</v>
      </c>
      <c r="S1091" t="s">
        <v>1876</v>
      </c>
      <c r="T1091" t="s">
        <v>30</v>
      </c>
      <c r="U1091" t="s">
        <v>49</v>
      </c>
      <c r="V1091" s="3">
        <v>305.57</v>
      </c>
      <c r="W1091" t="s">
        <v>494</v>
      </c>
      <c r="X1091" s="3">
        <v>305.57</v>
      </c>
    </row>
    <row r="1092" spans="1:24" s="2" customFormat="1" x14ac:dyDescent="0.2">
      <c r="A1092" s="2">
        <v>1092</v>
      </c>
      <c r="B1092" t="s">
        <v>1947</v>
      </c>
      <c r="C1092" t="s">
        <v>1948</v>
      </c>
      <c r="D1092" t="s">
        <v>1950</v>
      </c>
      <c r="E1092" t="s">
        <v>30</v>
      </c>
      <c r="F1092" t="s">
        <v>24</v>
      </c>
      <c r="G1092" t="s">
        <v>25</v>
      </c>
      <c r="H1092" t="str">
        <f t="shared" si="34"/>
        <v xml:space="preserve">2/3 - RT PEDIDO CRISTIANE UFLACKER♥RICARDO GALVÃO 2/3 | Recorrência: | Observações: </v>
      </c>
      <c r="I1092" t="s">
        <v>491</v>
      </c>
      <c r="J1092" s="4">
        <v>305.57</v>
      </c>
      <c r="K1092" s="4">
        <v>454090.49</v>
      </c>
      <c r="L1092" t="s">
        <v>27</v>
      </c>
      <c r="M1092" s="4">
        <v>305.57</v>
      </c>
      <c r="N1092" s="3">
        <v>0</v>
      </c>
      <c r="O1092" t="s">
        <v>1931</v>
      </c>
      <c r="P1092" t="s">
        <v>1870</v>
      </c>
      <c r="Q1092" t="s">
        <v>1951</v>
      </c>
      <c r="R1092" t="str">
        <f t="shared" si="35"/>
        <v>Sim</v>
      </c>
      <c r="S1092" t="s">
        <v>1951</v>
      </c>
      <c r="T1092" t="s">
        <v>30</v>
      </c>
      <c r="U1092" t="s">
        <v>49</v>
      </c>
      <c r="V1092" s="3">
        <v>305.57</v>
      </c>
      <c r="W1092" t="s">
        <v>494</v>
      </c>
      <c r="X1092" s="3">
        <v>305.57</v>
      </c>
    </row>
    <row r="1093" spans="1:24" s="2" customFormat="1" x14ac:dyDescent="0.2">
      <c r="A1093">
        <v>1093</v>
      </c>
      <c r="B1093" t="s">
        <v>1130</v>
      </c>
      <c r="C1093" t="s">
        <v>77</v>
      </c>
      <c r="D1093" t="s">
        <v>1953</v>
      </c>
      <c r="E1093" t="s">
        <v>30</v>
      </c>
      <c r="F1093" t="s">
        <v>24</v>
      </c>
      <c r="G1093" t="s">
        <v>25</v>
      </c>
      <c r="H1093" t="str">
        <f t="shared" si="34"/>
        <v xml:space="preserve">RT PEDIDO 14121188_Luciene Gil Marchi | Recorrência: | Observações: </v>
      </c>
      <c r="I1093" t="s">
        <v>991</v>
      </c>
      <c r="J1093" s="4">
        <v>209.24</v>
      </c>
      <c r="K1093" s="4">
        <v>454299.73</v>
      </c>
      <c r="L1093" t="s">
        <v>27</v>
      </c>
      <c r="M1093" s="4">
        <v>209.24</v>
      </c>
      <c r="N1093" s="3">
        <v>0</v>
      </c>
      <c r="O1093" t="s">
        <v>1952</v>
      </c>
      <c r="P1093" t="s">
        <v>1859</v>
      </c>
      <c r="Q1093" t="s">
        <v>1954</v>
      </c>
      <c r="R1093" t="str">
        <f t="shared" si="35"/>
        <v>Sim</v>
      </c>
      <c r="S1093" t="s">
        <v>1954</v>
      </c>
      <c r="T1093" t="s">
        <v>30</v>
      </c>
      <c r="U1093" t="s">
        <v>49</v>
      </c>
      <c r="V1093" s="3">
        <v>209.24</v>
      </c>
      <c r="W1093" t="s">
        <v>494</v>
      </c>
      <c r="X1093" s="3">
        <v>209.24</v>
      </c>
    </row>
    <row r="1094" spans="1:24" s="2" customFormat="1" x14ac:dyDescent="0.2">
      <c r="A1094" s="2">
        <v>1094</v>
      </c>
      <c r="B1094" t="s">
        <v>647</v>
      </c>
      <c r="C1094" t="s">
        <v>648</v>
      </c>
      <c r="D1094" t="s">
        <v>1794</v>
      </c>
      <c r="E1094" t="s">
        <v>634</v>
      </c>
      <c r="F1094" t="s">
        <v>63</v>
      </c>
      <c r="G1094" t="s">
        <v>25</v>
      </c>
      <c r="H1094" t="str">
        <f t="shared" si="34"/>
        <v xml:space="preserve">DARF COFINS - | Recorrência:6/12 | Observações: </v>
      </c>
      <c r="I1094" t="s">
        <v>26</v>
      </c>
      <c r="J1094" s="5">
        <v>-46.01</v>
      </c>
      <c r="K1094" s="4">
        <v>454253.72</v>
      </c>
      <c r="L1094" t="s">
        <v>27</v>
      </c>
      <c r="M1094" s="5">
        <v>-46.01</v>
      </c>
      <c r="N1094" s="3">
        <v>0</v>
      </c>
      <c r="O1094" t="s">
        <v>1954</v>
      </c>
      <c r="P1094" t="s">
        <v>1859</v>
      </c>
      <c r="Q1094" t="s">
        <v>1955</v>
      </c>
      <c r="R1094" t="str">
        <f t="shared" si="35"/>
        <v>nao</v>
      </c>
      <c r="S1094" t="s">
        <v>1956</v>
      </c>
      <c r="T1094" t="s">
        <v>30</v>
      </c>
      <c r="U1094" t="s">
        <v>1508</v>
      </c>
      <c r="V1094" s="3">
        <v>-46.01</v>
      </c>
      <c r="W1094" t="s">
        <v>297</v>
      </c>
      <c r="X1094" s="3">
        <v>-46.01</v>
      </c>
    </row>
    <row r="1095" spans="1:24" s="2" customFormat="1" x14ac:dyDescent="0.2">
      <c r="A1095">
        <v>1095</v>
      </c>
      <c r="B1095"/>
      <c r="C1095" t="s">
        <v>153</v>
      </c>
      <c r="D1095" t="s">
        <v>1957</v>
      </c>
      <c r="E1095" t="s">
        <v>30</v>
      </c>
      <c r="F1095" t="s">
        <v>63</v>
      </c>
      <c r="G1095" t="s">
        <v>25</v>
      </c>
      <c r="H1095" t="str">
        <f t="shared" si="34"/>
        <v xml:space="preserve">2/3 - TERAPLUS SERVIÇOS EM INFORMÁTICA  2/3 | Recorrência: | Observações: </v>
      </c>
      <c r="I1095" t="s">
        <v>755</v>
      </c>
      <c r="J1095" s="5">
        <v>-933</v>
      </c>
      <c r="K1095" s="4">
        <v>453320.72</v>
      </c>
      <c r="L1095" t="s">
        <v>27</v>
      </c>
      <c r="M1095" s="5">
        <v>-933</v>
      </c>
      <c r="N1095" s="3">
        <v>0</v>
      </c>
      <c r="O1095" t="s">
        <v>1954</v>
      </c>
      <c r="P1095" t="s">
        <v>1864</v>
      </c>
      <c r="Q1095" t="s">
        <v>1951</v>
      </c>
      <c r="R1095" t="str">
        <f t="shared" si="35"/>
        <v>Sim</v>
      </c>
      <c r="S1095" t="s">
        <v>1951</v>
      </c>
      <c r="T1095" t="s">
        <v>30</v>
      </c>
      <c r="U1095" t="s">
        <v>1371</v>
      </c>
      <c r="V1095" s="3">
        <v>-933</v>
      </c>
      <c r="W1095" t="s">
        <v>344</v>
      </c>
      <c r="X1095" s="3">
        <v>-933</v>
      </c>
    </row>
    <row r="1096" spans="1:24" s="2" customFormat="1" x14ac:dyDescent="0.2">
      <c r="A1096" s="2">
        <v>1096</v>
      </c>
      <c r="B1096"/>
      <c r="C1096" t="s">
        <v>992</v>
      </c>
      <c r="D1096" t="s">
        <v>1958</v>
      </c>
      <c r="E1096" t="s">
        <v>30</v>
      </c>
      <c r="F1096" t="s">
        <v>24</v>
      </c>
      <c r="G1096" t="s">
        <v>25</v>
      </c>
      <c r="H1096" t="str">
        <f t="shared" si="34"/>
        <v xml:space="preserve">1/3 - GERENCIAMENTO COND JD ACAPULCO_GUARUJÁ 1/3 | Recorrência: | Observações: </v>
      </c>
      <c r="I1096" t="s">
        <v>491</v>
      </c>
      <c r="J1096" s="4">
        <v>3000</v>
      </c>
      <c r="K1096" s="4">
        <v>456320.72</v>
      </c>
      <c r="L1096" t="s">
        <v>27</v>
      </c>
      <c r="M1096" s="4">
        <v>3000</v>
      </c>
      <c r="N1096" s="3">
        <v>0</v>
      </c>
      <c r="O1096" t="s">
        <v>1954</v>
      </c>
      <c r="P1096" t="s">
        <v>1954</v>
      </c>
      <c r="Q1096" t="s">
        <v>1952</v>
      </c>
      <c r="R1096" t="str">
        <f t="shared" si="35"/>
        <v>Sim</v>
      </c>
      <c r="S1096" t="s">
        <v>1952</v>
      </c>
      <c r="T1096" t="s">
        <v>30</v>
      </c>
      <c r="U1096" t="s">
        <v>274</v>
      </c>
      <c r="V1096" s="3">
        <v>3000</v>
      </c>
      <c r="W1096" t="s">
        <v>166</v>
      </c>
      <c r="X1096" s="3">
        <v>3000</v>
      </c>
    </row>
    <row r="1097" spans="1:24" s="2" customFormat="1" x14ac:dyDescent="0.2">
      <c r="A1097">
        <v>1097</v>
      </c>
      <c r="B1097" t="s">
        <v>647</v>
      </c>
      <c r="C1097" t="s">
        <v>648</v>
      </c>
      <c r="D1097" t="s">
        <v>1556</v>
      </c>
      <c r="E1097" t="s">
        <v>634</v>
      </c>
      <c r="F1097" t="s">
        <v>63</v>
      </c>
      <c r="G1097" t="s">
        <v>25</v>
      </c>
      <c r="H1097" t="str">
        <f t="shared" si="34"/>
        <v xml:space="preserve">DARF PREVIDÊNCIARIO | Recorrência:6/12 | Observações: </v>
      </c>
      <c r="I1097" t="s">
        <v>26</v>
      </c>
      <c r="J1097" s="5">
        <v>-1434.97</v>
      </c>
      <c r="K1097" s="4">
        <v>454885.75</v>
      </c>
      <c r="L1097" t="s">
        <v>27</v>
      </c>
      <c r="M1097" s="5">
        <v>-1434.97</v>
      </c>
      <c r="N1097" s="3">
        <v>0</v>
      </c>
      <c r="O1097" t="s">
        <v>1954</v>
      </c>
      <c r="P1097" t="s">
        <v>1959</v>
      </c>
      <c r="Q1097" t="s">
        <v>1954</v>
      </c>
      <c r="R1097" t="str">
        <f t="shared" si="35"/>
        <v>nao</v>
      </c>
      <c r="S1097" t="s">
        <v>1960</v>
      </c>
      <c r="T1097" t="s">
        <v>30</v>
      </c>
      <c r="U1097" t="s">
        <v>601</v>
      </c>
      <c r="V1097" s="3">
        <v>-1434.97</v>
      </c>
      <c r="W1097" t="s">
        <v>376</v>
      </c>
      <c r="X1097" s="3">
        <v>-1434.97</v>
      </c>
    </row>
    <row r="1098" spans="1:24" s="2" customFormat="1" x14ac:dyDescent="0.2">
      <c r="A1098" s="2">
        <v>1098</v>
      </c>
      <c r="B1098" t="s">
        <v>1789</v>
      </c>
      <c r="C1098" t="s">
        <v>1790</v>
      </c>
      <c r="D1098" t="s">
        <v>1962</v>
      </c>
      <c r="E1098" t="s">
        <v>30</v>
      </c>
      <c r="F1098" t="s">
        <v>24</v>
      </c>
      <c r="G1098" t="s">
        <v>25</v>
      </c>
      <c r="H1098" t="str">
        <f t="shared" si="34"/>
        <v xml:space="preserve">RT  CLIENTE: SÉRGIO LUIZ PEGORARO ROCHA - PEDIDO 38892 | Recorrência: | Observações: </v>
      </c>
      <c r="I1098" t="s">
        <v>491</v>
      </c>
      <c r="J1098" s="4">
        <v>380</v>
      </c>
      <c r="K1098" s="4">
        <v>455265.75</v>
      </c>
      <c r="L1098" t="s">
        <v>27</v>
      </c>
      <c r="M1098" s="4">
        <v>380</v>
      </c>
      <c r="N1098" s="3">
        <v>0</v>
      </c>
      <c r="O1098" t="s">
        <v>1961</v>
      </c>
      <c r="P1098" t="s">
        <v>1848</v>
      </c>
      <c r="Q1098" t="s">
        <v>1961</v>
      </c>
      <c r="R1098" t="str">
        <f t="shared" si="35"/>
        <v>Sim</v>
      </c>
      <c r="S1098" t="s">
        <v>1961</v>
      </c>
      <c r="T1098" t="s">
        <v>30</v>
      </c>
      <c r="U1098" t="s">
        <v>49</v>
      </c>
      <c r="V1098" s="3">
        <v>380</v>
      </c>
      <c r="W1098" t="s">
        <v>494</v>
      </c>
      <c r="X1098" s="3">
        <v>380</v>
      </c>
    </row>
    <row r="1099" spans="1:24" s="2" customFormat="1" x14ac:dyDescent="0.2">
      <c r="A1099">
        <v>1099</v>
      </c>
      <c r="B1099"/>
      <c r="C1099" t="s">
        <v>153</v>
      </c>
      <c r="D1099" t="s">
        <v>1964</v>
      </c>
      <c r="E1099" t="s">
        <v>30</v>
      </c>
      <c r="F1099" t="s">
        <v>63</v>
      </c>
      <c r="G1099" t="s">
        <v>25</v>
      </c>
      <c r="H1099" t="str">
        <f t="shared" si="34"/>
        <v xml:space="preserve">MATERIAIS DE LIMPEZA E HIGIENE | Recorrência: | Observações: </v>
      </c>
      <c r="I1099" t="s">
        <v>1072</v>
      </c>
      <c r="J1099" s="5">
        <v>-239.14</v>
      </c>
      <c r="K1099" s="4">
        <v>455026.61</v>
      </c>
      <c r="L1099" t="s">
        <v>27</v>
      </c>
      <c r="M1099" s="5">
        <v>-239.14</v>
      </c>
      <c r="N1099" s="3">
        <v>0</v>
      </c>
      <c r="O1099" t="s">
        <v>1963</v>
      </c>
      <c r="P1099" t="s">
        <v>1963</v>
      </c>
      <c r="Q1099" t="s">
        <v>1963</v>
      </c>
      <c r="R1099" t="str">
        <f t="shared" si="35"/>
        <v>Sim</v>
      </c>
      <c r="S1099" t="s">
        <v>1963</v>
      </c>
      <c r="T1099" t="s">
        <v>30</v>
      </c>
      <c r="U1099" t="s">
        <v>628</v>
      </c>
      <c r="V1099" s="3">
        <v>-239.14</v>
      </c>
      <c r="W1099" t="s">
        <v>1965</v>
      </c>
      <c r="X1099" s="3">
        <v>-239.14</v>
      </c>
    </row>
    <row r="1100" spans="1:24" s="2" customFormat="1" x14ac:dyDescent="0.2">
      <c r="A1100" s="2">
        <v>1100</v>
      </c>
      <c r="B1100" t="s">
        <v>1619</v>
      </c>
      <c r="C1100" t="s">
        <v>112</v>
      </c>
      <c r="D1100" t="s">
        <v>1966</v>
      </c>
      <c r="E1100" t="s">
        <v>30</v>
      </c>
      <c r="F1100" t="s">
        <v>24</v>
      </c>
      <c r="G1100" t="s">
        <v>25</v>
      </c>
      <c r="H1100" t="str">
        <f t="shared" si="34"/>
        <v xml:space="preserve">RT - PEDIDO 571 - TIAGO KOCH♥JULIANA IWAMOTO | Recorrência: | Observações: </v>
      </c>
      <c r="I1100" t="s">
        <v>491</v>
      </c>
      <c r="J1100" s="4">
        <v>1180</v>
      </c>
      <c r="K1100" s="4">
        <v>456206.61</v>
      </c>
      <c r="L1100" t="s">
        <v>27</v>
      </c>
      <c r="M1100" s="4">
        <v>1180</v>
      </c>
      <c r="N1100" s="3">
        <v>0</v>
      </c>
      <c r="O1100" t="s">
        <v>1955</v>
      </c>
      <c r="P1100" t="s">
        <v>1967</v>
      </c>
      <c r="Q1100" t="s">
        <v>1961</v>
      </c>
      <c r="R1100" t="str">
        <f t="shared" si="35"/>
        <v>Sim</v>
      </c>
      <c r="S1100" t="s">
        <v>1961</v>
      </c>
      <c r="T1100" t="s">
        <v>30</v>
      </c>
      <c r="U1100" t="s">
        <v>49</v>
      </c>
      <c r="V1100" s="3">
        <v>1180</v>
      </c>
      <c r="W1100" t="s">
        <v>494</v>
      </c>
      <c r="X1100" s="3">
        <v>1180</v>
      </c>
    </row>
    <row r="1101" spans="1:24" s="2" customFormat="1" x14ac:dyDescent="0.2">
      <c r="A1101">
        <v>1101</v>
      </c>
      <c r="B1101" t="s">
        <v>1061</v>
      </c>
      <c r="C1101" t="s">
        <v>1062</v>
      </c>
      <c r="D1101" t="s">
        <v>1968</v>
      </c>
      <c r="E1101" t="s">
        <v>30</v>
      </c>
      <c r="F1101" t="s">
        <v>24</v>
      </c>
      <c r="G1101" t="s">
        <v>25</v>
      </c>
      <c r="H1101" t="str">
        <f t="shared" si="34"/>
        <v xml:space="preserve">RT PRODUÇÃO SERGIO  - 174019 | Recorrência: | Observações: </v>
      </c>
      <c r="I1101" t="s">
        <v>491</v>
      </c>
      <c r="J1101" s="4">
        <v>6402</v>
      </c>
      <c r="K1101" s="4">
        <v>462608.61</v>
      </c>
      <c r="L1101" t="s">
        <v>27</v>
      </c>
      <c r="M1101" s="4">
        <v>6402</v>
      </c>
      <c r="N1101" s="3">
        <v>0</v>
      </c>
      <c r="O1101" t="s">
        <v>1955</v>
      </c>
      <c r="P1101" t="s">
        <v>1940</v>
      </c>
      <c r="Q1101" t="s">
        <v>1955</v>
      </c>
      <c r="R1101" t="str">
        <f t="shared" si="35"/>
        <v>Sim</v>
      </c>
      <c r="S1101" t="s">
        <v>1955</v>
      </c>
      <c r="T1101" t="s">
        <v>30</v>
      </c>
      <c r="U1101" t="s">
        <v>49</v>
      </c>
      <c r="V1101" s="3">
        <v>6402</v>
      </c>
      <c r="W1101" t="s">
        <v>494</v>
      </c>
      <c r="X1101" s="3">
        <v>6402</v>
      </c>
    </row>
    <row r="1102" spans="1:24" s="2" customFormat="1" x14ac:dyDescent="0.2">
      <c r="A1102" s="2">
        <v>1102</v>
      </c>
      <c r="B1102"/>
      <c r="C1102" t="s">
        <v>153</v>
      </c>
      <c r="D1102" t="s">
        <v>1970</v>
      </c>
      <c r="E1102" t="s">
        <v>30</v>
      </c>
      <c r="F1102" t="s">
        <v>63</v>
      </c>
      <c r="G1102" t="s">
        <v>25</v>
      </c>
      <c r="H1102" t="str">
        <f t="shared" si="34"/>
        <v xml:space="preserve">7/12 - PRÓ LABORE MAYARA 7/12 | Recorrência: | Observações: </v>
      </c>
      <c r="I1102" t="s">
        <v>30</v>
      </c>
      <c r="J1102" s="5">
        <v>-15000</v>
      </c>
      <c r="K1102" s="4">
        <v>447608.61</v>
      </c>
      <c r="L1102" t="s">
        <v>27</v>
      </c>
      <c r="M1102" s="5">
        <v>-15000</v>
      </c>
      <c r="N1102" s="3">
        <v>0</v>
      </c>
      <c r="O1102" t="s">
        <v>1969</v>
      </c>
      <c r="P1102" t="s">
        <v>1457</v>
      </c>
      <c r="Q1102" t="s">
        <v>1928</v>
      </c>
      <c r="R1102" t="str">
        <f t="shared" si="35"/>
        <v>Sim</v>
      </c>
      <c r="S1102" t="s">
        <v>1928</v>
      </c>
      <c r="T1102" t="s">
        <v>30</v>
      </c>
      <c r="U1102" t="s">
        <v>631</v>
      </c>
      <c r="V1102" s="3">
        <v>-15000</v>
      </c>
      <c r="W1102" t="s">
        <v>1164</v>
      </c>
      <c r="X1102" s="3">
        <v>-15000</v>
      </c>
    </row>
    <row r="1103" spans="1:24" s="2" customFormat="1" x14ac:dyDescent="0.2">
      <c r="A1103">
        <v>1103</v>
      </c>
      <c r="B1103" t="s">
        <v>1971</v>
      </c>
      <c r="C1103" t="s">
        <v>1972</v>
      </c>
      <c r="D1103" t="s">
        <v>1973</v>
      </c>
      <c r="E1103" t="s">
        <v>30</v>
      </c>
      <c r="F1103" t="s">
        <v>24</v>
      </c>
      <c r="G1103" t="s">
        <v>25</v>
      </c>
      <c r="H1103" t="str">
        <f t="shared" si="34"/>
        <v>RT GABRIEL FIGUEIRA | Recorrência: | Observações: RT 10% &gt; VALOR LIQUIDO (-) VALOR DO FRETE 
PAGAMENTO RT SÓ É REALIZADA 7  DIAS DA CONFIRMAÇÃO DE ENTREGA E APRESENTAÇÃO DA NF</v>
      </c>
      <c r="I1103" t="s">
        <v>491</v>
      </c>
      <c r="J1103" s="4">
        <v>2349.2600000000002</v>
      </c>
      <c r="K1103" s="4">
        <v>449957.87</v>
      </c>
      <c r="L1103" t="s">
        <v>27</v>
      </c>
      <c r="M1103" s="4">
        <v>2349.2600000000002</v>
      </c>
      <c r="N1103" s="3">
        <v>0</v>
      </c>
      <c r="O1103" t="s">
        <v>1969</v>
      </c>
      <c r="P1103" t="s">
        <v>1704</v>
      </c>
      <c r="Q1103" t="s">
        <v>1969</v>
      </c>
      <c r="R1103" t="str">
        <f t="shared" si="35"/>
        <v>Sim</v>
      </c>
      <c r="S1103" t="s">
        <v>1969</v>
      </c>
      <c r="T1103" t="s">
        <v>1974</v>
      </c>
      <c r="U1103" t="s">
        <v>49</v>
      </c>
      <c r="V1103" s="3">
        <v>2349.2600000000002</v>
      </c>
      <c r="W1103" t="s">
        <v>494</v>
      </c>
      <c r="X1103" s="3">
        <v>2349.2600000000002</v>
      </c>
    </row>
    <row r="1104" spans="1:24" s="2" customFormat="1" x14ac:dyDescent="0.2">
      <c r="A1104" s="2">
        <v>1104</v>
      </c>
      <c r="B1104"/>
      <c r="C1104" t="s">
        <v>828</v>
      </c>
      <c r="D1104" t="s">
        <v>830</v>
      </c>
      <c r="E1104" t="s">
        <v>1976</v>
      </c>
      <c r="F1104" t="s">
        <v>63</v>
      </c>
      <c r="G1104" t="s">
        <v>25</v>
      </c>
      <c r="H1104" t="str">
        <f t="shared" si="34"/>
        <v xml:space="preserve">PREFEITURA DO MUNICIPIO DE BERTIOGA | Recorrência:16/41 | Observações: REF.02 PAGAMENTOS </v>
      </c>
      <c r="I1104" t="s">
        <v>26</v>
      </c>
      <c r="J1104" s="5">
        <v>-231.49</v>
      </c>
      <c r="K1104" s="4">
        <v>449726.38</v>
      </c>
      <c r="L1104" t="s">
        <v>27</v>
      </c>
      <c r="M1104" s="5">
        <v>-231.49</v>
      </c>
      <c r="N1104" s="3">
        <v>0</v>
      </c>
      <c r="O1104" t="s">
        <v>1975</v>
      </c>
      <c r="P1104" t="s">
        <v>1977</v>
      </c>
      <c r="Q1104" t="s">
        <v>1975</v>
      </c>
      <c r="R1104" t="str">
        <f t="shared" si="35"/>
        <v>Sim</v>
      </c>
      <c r="S1104" t="s">
        <v>1975</v>
      </c>
      <c r="T1104" t="s">
        <v>831</v>
      </c>
      <c r="U1104" t="s">
        <v>832</v>
      </c>
      <c r="V1104" s="3">
        <v>-231.49</v>
      </c>
    </row>
    <row r="1105" spans="1:24" s="2" customFormat="1" x14ac:dyDescent="0.2">
      <c r="A1105">
        <v>1105</v>
      </c>
      <c r="B1105"/>
      <c r="C1105" t="s">
        <v>710</v>
      </c>
      <c r="D1105" t="s">
        <v>1978</v>
      </c>
      <c r="E1105" t="s">
        <v>634</v>
      </c>
      <c r="F1105" t="s">
        <v>63</v>
      </c>
      <c r="G1105" t="s">
        <v>25</v>
      </c>
      <c r="H1105" t="str">
        <f t="shared" si="34"/>
        <v xml:space="preserve">ENÉRGIA ELETRICA | Recorrência:6/12 | Observações: </v>
      </c>
      <c r="I1105" t="s">
        <v>26</v>
      </c>
      <c r="J1105" s="5">
        <v>-222.5</v>
      </c>
      <c r="K1105" s="4">
        <v>449503.88</v>
      </c>
      <c r="L1105" t="s">
        <v>27</v>
      </c>
      <c r="M1105" s="5">
        <v>-222.5</v>
      </c>
      <c r="N1105" s="3">
        <v>0</v>
      </c>
      <c r="O1105" t="s">
        <v>1975</v>
      </c>
      <c r="P1105" t="s">
        <v>1975</v>
      </c>
      <c r="Q1105" t="s">
        <v>1975</v>
      </c>
      <c r="R1105" t="str">
        <f t="shared" si="35"/>
        <v>Sim</v>
      </c>
      <c r="S1105" t="s">
        <v>1975</v>
      </c>
      <c r="T1105" t="s">
        <v>30</v>
      </c>
      <c r="U1105" t="s">
        <v>125</v>
      </c>
      <c r="V1105" s="3">
        <v>-222.5</v>
      </c>
      <c r="W1105" t="s">
        <v>125</v>
      </c>
      <c r="X1105" s="3">
        <v>-222.5</v>
      </c>
    </row>
    <row r="1106" spans="1:24" s="2" customFormat="1" x14ac:dyDescent="0.2">
      <c r="A1106" s="2">
        <v>1106</v>
      </c>
      <c r="B1106" t="s">
        <v>1484</v>
      </c>
      <c r="C1106" t="s">
        <v>1485</v>
      </c>
      <c r="D1106" t="s">
        <v>1979</v>
      </c>
      <c r="E1106" t="s">
        <v>30</v>
      </c>
      <c r="F1106" t="s">
        <v>24</v>
      </c>
      <c r="G1106" t="s">
        <v>25</v>
      </c>
      <c r="H1106" t="str">
        <f t="shared" si="34"/>
        <v xml:space="preserve">RT - PEDIDO 194920 - TIAGO KOCH | Recorrência: | Observações: </v>
      </c>
      <c r="I1106" t="s">
        <v>491</v>
      </c>
      <c r="J1106" s="4">
        <v>1387</v>
      </c>
      <c r="K1106" s="4">
        <v>450890.88</v>
      </c>
      <c r="L1106" t="s">
        <v>27</v>
      </c>
      <c r="M1106" s="4">
        <v>1387</v>
      </c>
      <c r="N1106" s="3">
        <v>0</v>
      </c>
      <c r="O1106" t="s">
        <v>1975</v>
      </c>
      <c r="P1106" t="s">
        <v>1866</v>
      </c>
      <c r="Q1106" t="s">
        <v>1975</v>
      </c>
      <c r="R1106" t="str">
        <f t="shared" si="35"/>
        <v>nao</v>
      </c>
      <c r="S1106" t="s">
        <v>1980</v>
      </c>
      <c r="T1106" t="s">
        <v>30</v>
      </c>
      <c r="U1106" t="s">
        <v>49</v>
      </c>
      <c r="V1106" s="3">
        <v>1387</v>
      </c>
      <c r="W1106" t="s">
        <v>494</v>
      </c>
      <c r="X1106" s="3">
        <v>1387</v>
      </c>
    </row>
    <row r="1107" spans="1:24" s="2" customFormat="1" x14ac:dyDescent="0.2">
      <c r="A1107">
        <v>1107</v>
      </c>
      <c r="B1107"/>
      <c r="C1107" t="s">
        <v>866</v>
      </c>
      <c r="D1107" t="s">
        <v>1981</v>
      </c>
      <c r="E1107" t="s">
        <v>30</v>
      </c>
      <c r="F1107" t="s">
        <v>24</v>
      </c>
      <c r="G1107" t="s">
        <v>25</v>
      </c>
      <c r="H1107" t="str">
        <f t="shared" si="34"/>
        <v xml:space="preserve">1/2 - PRODUÇÃO - Condomínio Vila São Fernando-Cotia - SP 1/2 | Recorrência: | Observações: </v>
      </c>
      <c r="I1107" t="s">
        <v>491</v>
      </c>
      <c r="J1107" s="4">
        <v>1000</v>
      </c>
      <c r="K1107" s="4">
        <v>451890.88</v>
      </c>
      <c r="L1107" t="s">
        <v>27</v>
      </c>
      <c r="M1107" s="4">
        <v>1000</v>
      </c>
      <c r="N1107" s="3">
        <v>0</v>
      </c>
      <c r="O1107" t="s">
        <v>1975</v>
      </c>
      <c r="P1107" t="s">
        <v>1982</v>
      </c>
      <c r="Q1107" t="s">
        <v>1975</v>
      </c>
      <c r="R1107" t="str">
        <f t="shared" si="35"/>
        <v>Sim</v>
      </c>
      <c r="S1107" t="s">
        <v>1975</v>
      </c>
      <c r="T1107" t="s">
        <v>30</v>
      </c>
      <c r="U1107" t="s">
        <v>463</v>
      </c>
      <c r="V1107" s="3">
        <v>1000</v>
      </c>
      <c r="W1107" t="s">
        <v>463</v>
      </c>
      <c r="X1107" s="3">
        <v>1000</v>
      </c>
    </row>
    <row r="1108" spans="1:24" s="2" customFormat="1" x14ac:dyDescent="0.2">
      <c r="A1108" s="2">
        <v>1108</v>
      </c>
      <c r="B1108"/>
      <c r="C1108" t="s">
        <v>153</v>
      </c>
      <c r="D1108" t="s">
        <v>1983</v>
      </c>
      <c r="E1108" t="s">
        <v>634</v>
      </c>
      <c r="F1108" t="s">
        <v>63</v>
      </c>
      <c r="G1108" t="s">
        <v>25</v>
      </c>
      <c r="H1108" t="str">
        <f t="shared" si="34"/>
        <v>DIÁRIAS  JULIANA SOARES - REFERENTE JUNHO | Recorrência:6/12 | Observações: DIÁRIAS: 03-10-17-24-30</v>
      </c>
      <c r="I1108" t="s">
        <v>491</v>
      </c>
      <c r="J1108" s="5">
        <v>-600</v>
      </c>
      <c r="K1108" s="4">
        <v>451290.88</v>
      </c>
      <c r="L1108" t="s">
        <v>27</v>
      </c>
      <c r="M1108" s="5">
        <v>-600</v>
      </c>
      <c r="N1108" s="3">
        <v>0</v>
      </c>
      <c r="O1108" t="s">
        <v>1975</v>
      </c>
      <c r="P1108" t="s">
        <v>1883</v>
      </c>
      <c r="Q1108" t="s">
        <v>1975</v>
      </c>
      <c r="R1108" t="str">
        <f t="shared" si="35"/>
        <v>Sim</v>
      </c>
      <c r="S1108" t="s">
        <v>1975</v>
      </c>
      <c r="T1108" t="s">
        <v>1984</v>
      </c>
      <c r="U1108" t="s">
        <v>691</v>
      </c>
      <c r="V1108" s="3">
        <v>-600</v>
      </c>
      <c r="W1108" t="s">
        <v>1058</v>
      </c>
      <c r="X1108" s="3">
        <v>-600</v>
      </c>
    </row>
    <row r="1109" spans="1:24" s="2" customFormat="1" x14ac:dyDescent="0.2">
      <c r="A1109">
        <v>1109</v>
      </c>
      <c r="B1109"/>
      <c r="C1109" t="s">
        <v>153</v>
      </c>
      <c r="D1109" t="s">
        <v>1985</v>
      </c>
      <c r="E1109" t="s">
        <v>30</v>
      </c>
      <c r="F1109" t="s">
        <v>63</v>
      </c>
      <c r="G1109" t="s">
        <v>25</v>
      </c>
      <c r="H1109" t="str">
        <f t="shared" si="34"/>
        <v xml:space="preserve">7/7 - SALÁRIO MARCELA S CAVALCANTE 7/12 | Recorrência: | Observações: </v>
      </c>
      <c r="I1109" t="s">
        <v>991</v>
      </c>
      <c r="J1109" s="5">
        <v>-3549.34</v>
      </c>
      <c r="K1109" s="4">
        <v>447741.54</v>
      </c>
      <c r="L1109" t="s">
        <v>27</v>
      </c>
      <c r="M1109" s="5">
        <v>-3549.34</v>
      </c>
      <c r="N1109" s="3">
        <v>0</v>
      </c>
      <c r="O1109" t="s">
        <v>1928</v>
      </c>
      <c r="P1109" t="s">
        <v>1095</v>
      </c>
      <c r="Q1109" t="s">
        <v>1986</v>
      </c>
      <c r="R1109" t="str">
        <f t="shared" si="35"/>
        <v>nao</v>
      </c>
      <c r="S1109" t="s">
        <v>1928</v>
      </c>
      <c r="T1109" t="s">
        <v>30</v>
      </c>
      <c r="U1109" t="s">
        <v>323</v>
      </c>
      <c r="V1109" s="3">
        <v>-3549.34</v>
      </c>
      <c r="W1109" t="s">
        <v>1164</v>
      </c>
      <c r="X1109" s="3">
        <v>-3549.34</v>
      </c>
    </row>
    <row r="1110" spans="1:24" s="2" customFormat="1" x14ac:dyDescent="0.2">
      <c r="A1110" s="2">
        <v>1110</v>
      </c>
      <c r="B1110" t="s">
        <v>1987</v>
      </c>
      <c r="C1110" t="s">
        <v>1988</v>
      </c>
      <c r="D1110" t="s">
        <v>1989</v>
      </c>
      <c r="E1110" t="s">
        <v>30</v>
      </c>
      <c r="F1110" t="s">
        <v>63</v>
      </c>
      <c r="G1110" t="s">
        <v>25</v>
      </c>
      <c r="H1110" t="str">
        <f t="shared" si="34"/>
        <v>1/2 - COMISSÃO PROJETO MARCELO COSTA 1/2 | Recorrência: | Observações: COMISSÃO 5% DO PROJETO DO CLIENTE MARCELO COSTA -VALOR PROJETO R$ 7.500,00 FECHADO EM 2X</v>
      </c>
      <c r="I1110" t="s">
        <v>491</v>
      </c>
      <c r="J1110" s="5">
        <v>-187.5</v>
      </c>
      <c r="K1110" s="4">
        <v>447554.04</v>
      </c>
      <c r="L1110" t="s">
        <v>27</v>
      </c>
      <c r="M1110" s="5">
        <v>-187.5</v>
      </c>
      <c r="N1110" s="3">
        <v>0</v>
      </c>
      <c r="O1110" t="s">
        <v>1928</v>
      </c>
      <c r="P1110" t="s">
        <v>1963</v>
      </c>
      <c r="Q1110" t="s">
        <v>1928</v>
      </c>
      <c r="R1110" t="str">
        <f t="shared" si="35"/>
        <v>Sim</v>
      </c>
      <c r="S1110" t="s">
        <v>1928</v>
      </c>
      <c r="T1110" t="s">
        <v>1990</v>
      </c>
      <c r="U1110" t="s">
        <v>1991</v>
      </c>
      <c r="V1110" s="3">
        <v>-187.5</v>
      </c>
      <c r="W1110" t="s">
        <v>1722</v>
      </c>
      <c r="X1110" s="3">
        <v>-187.5</v>
      </c>
    </row>
    <row r="1111" spans="1:24" s="2" customFormat="1" x14ac:dyDescent="0.2">
      <c r="A1111">
        <v>1111</v>
      </c>
      <c r="B1111" t="s">
        <v>1987</v>
      </c>
      <c r="C1111" t="s">
        <v>1988</v>
      </c>
      <c r="D1111" t="s">
        <v>1992</v>
      </c>
      <c r="E1111" t="s">
        <v>30</v>
      </c>
      <c r="F1111" t="s">
        <v>63</v>
      </c>
      <c r="G1111" t="s">
        <v>25</v>
      </c>
      <c r="H1111" t="str">
        <f t="shared" si="34"/>
        <v>1/3 - COMISSÃO PROJETO STEPHANIE E ENRICO GUARUJA 1/3 | Recorrência: | Observações: COMISSÃO DE 5% DO PROJETO STEPHANIE E ENRICO GUARUJA
TOTAL PROJETO R$ 9.000,00 PAGO EM 3X</v>
      </c>
      <c r="I1111" t="s">
        <v>491</v>
      </c>
      <c r="J1111" s="5">
        <v>-150</v>
      </c>
      <c r="K1111" s="4">
        <v>447404.04</v>
      </c>
      <c r="L1111" t="s">
        <v>27</v>
      </c>
      <c r="M1111" s="5">
        <v>-150</v>
      </c>
      <c r="N1111" s="3">
        <v>0</v>
      </c>
      <c r="O1111" t="s">
        <v>1928</v>
      </c>
      <c r="P1111" t="s">
        <v>1928</v>
      </c>
      <c r="Q1111" t="s">
        <v>1928</v>
      </c>
      <c r="R1111" t="str">
        <f t="shared" si="35"/>
        <v>Sim</v>
      </c>
      <c r="S1111" t="s">
        <v>1928</v>
      </c>
      <c r="T1111" t="s">
        <v>1993</v>
      </c>
      <c r="U1111" t="s">
        <v>1991</v>
      </c>
      <c r="V1111" s="3">
        <v>-150</v>
      </c>
      <c r="W1111" t="s">
        <v>1722</v>
      </c>
      <c r="X1111" s="3">
        <v>-150</v>
      </c>
    </row>
    <row r="1112" spans="1:24" s="2" customFormat="1" x14ac:dyDescent="0.2">
      <c r="A1112" s="2">
        <v>1112</v>
      </c>
      <c r="B1112" t="s">
        <v>1987</v>
      </c>
      <c r="C1112" t="s">
        <v>1988</v>
      </c>
      <c r="D1112" t="s">
        <v>1994</v>
      </c>
      <c r="E1112" t="s">
        <v>30</v>
      </c>
      <c r="F1112" t="s">
        <v>63</v>
      </c>
      <c r="G1112" t="s">
        <v>25</v>
      </c>
      <c r="H1112" t="str">
        <f t="shared" si="34"/>
        <v>1/2 - COMISSÃO PROJETO ENTERPRISE 1/2 | Recorrência: | Observações: COMISSÃO 5% PROJETO EDIFICIO ENTERPRISE
VALOR PROJETO : R$ 1.500,00 EM 2X</v>
      </c>
      <c r="I1112" t="s">
        <v>491</v>
      </c>
      <c r="J1112" s="5">
        <v>-37.5</v>
      </c>
      <c r="K1112" s="4">
        <v>447366.54</v>
      </c>
      <c r="L1112" t="s">
        <v>27</v>
      </c>
      <c r="M1112" s="5">
        <v>-37.5</v>
      </c>
      <c r="N1112" s="3">
        <v>0</v>
      </c>
      <c r="O1112" t="s">
        <v>1928</v>
      </c>
      <c r="P1112" t="s">
        <v>1963</v>
      </c>
      <c r="Q1112" t="s">
        <v>1928</v>
      </c>
      <c r="R1112" t="str">
        <f t="shared" si="35"/>
        <v>Sim</v>
      </c>
      <c r="S1112" t="s">
        <v>1928</v>
      </c>
      <c r="T1112" t="s">
        <v>1995</v>
      </c>
      <c r="U1112" t="s">
        <v>1991</v>
      </c>
      <c r="V1112" s="3">
        <v>-37.5</v>
      </c>
      <c r="W1112" t="s">
        <v>1722</v>
      </c>
      <c r="X1112" s="3">
        <v>-37.5</v>
      </c>
    </row>
    <row r="1113" spans="1:24" s="2" customFormat="1" x14ac:dyDescent="0.2">
      <c r="A1113">
        <v>1113</v>
      </c>
      <c r="B1113"/>
      <c r="C1113" t="s">
        <v>153</v>
      </c>
      <c r="D1113" t="s">
        <v>1996</v>
      </c>
      <c r="E1113" t="s">
        <v>30</v>
      </c>
      <c r="F1113" t="s">
        <v>63</v>
      </c>
      <c r="G1113" t="s">
        <v>25</v>
      </c>
      <c r="H1113" t="str">
        <f t="shared" si="34"/>
        <v xml:space="preserve">Diferença de valor Ref NF 262 - RT BelColore_Tiago Koch | Recorrência: | Observações: </v>
      </c>
      <c r="I1113" t="s">
        <v>1113</v>
      </c>
      <c r="J1113" s="5">
        <v>-20.36</v>
      </c>
      <c r="K1113" s="4">
        <v>447346.18</v>
      </c>
      <c r="L1113" t="s">
        <v>27</v>
      </c>
      <c r="M1113" s="5">
        <v>-20.36</v>
      </c>
      <c r="N1113" s="3">
        <v>0</v>
      </c>
      <c r="O1113" t="s">
        <v>1986</v>
      </c>
      <c r="P1113" t="s">
        <v>1986</v>
      </c>
      <c r="Q1113" t="s">
        <v>1986</v>
      </c>
      <c r="R1113" t="str">
        <f t="shared" si="35"/>
        <v>Sim</v>
      </c>
      <c r="S1113" t="s">
        <v>1986</v>
      </c>
      <c r="T1113" t="s">
        <v>30</v>
      </c>
      <c r="U1113" t="s">
        <v>483</v>
      </c>
      <c r="V1113" s="3">
        <v>-20.36</v>
      </c>
      <c r="W1113" t="s">
        <v>1997</v>
      </c>
      <c r="X1113" s="3">
        <v>-20.36</v>
      </c>
    </row>
    <row r="1114" spans="1:24" s="2" customFormat="1" x14ac:dyDescent="0.2">
      <c r="A1114" s="2">
        <v>1114</v>
      </c>
      <c r="B1114"/>
      <c r="C1114" t="s">
        <v>574</v>
      </c>
      <c r="D1114" t="s">
        <v>1533</v>
      </c>
      <c r="E1114" t="s">
        <v>730</v>
      </c>
      <c r="F1114" t="s">
        <v>63</v>
      </c>
      <c r="G1114" t="s">
        <v>25</v>
      </c>
      <c r="H1114" t="str">
        <f t="shared" si="34"/>
        <v xml:space="preserve">CONDOMINIO + ALUGUEL | Recorrência:7/12 | Observações: </v>
      </c>
      <c r="I1114" t="s">
        <v>26</v>
      </c>
      <c r="J1114" s="5">
        <v>-6387.32</v>
      </c>
      <c r="K1114" s="4">
        <v>440958.86</v>
      </c>
      <c r="L1114" t="s">
        <v>27</v>
      </c>
      <c r="M1114" s="5">
        <v>-6387.32</v>
      </c>
      <c r="N1114" s="3">
        <v>0</v>
      </c>
      <c r="O1114" t="s">
        <v>1986</v>
      </c>
      <c r="P1114" t="s">
        <v>1998</v>
      </c>
      <c r="Q1114" t="s">
        <v>1982</v>
      </c>
      <c r="R1114" t="str">
        <f t="shared" si="35"/>
        <v>Sim</v>
      </c>
      <c r="S1114" t="s">
        <v>1982</v>
      </c>
      <c r="T1114" t="s">
        <v>30</v>
      </c>
      <c r="U1114" t="s">
        <v>571</v>
      </c>
      <c r="V1114" s="3">
        <v>-6387.32</v>
      </c>
      <c r="W1114" t="s">
        <v>1058</v>
      </c>
      <c r="X1114" s="3">
        <v>-6387.32</v>
      </c>
    </row>
    <row r="1115" spans="1:24" s="2" customFormat="1" x14ac:dyDescent="0.2">
      <c r="A1115">
        <v>1115</v>
      </c>
      <c r="B1115"/>
      <c r="C1115" t="s">
        <v>153</v>
      </c>
      <c r="D1115" t="s">
        <v>1999</v>
      </c>
      <c r="E1115" t="s">
        <v>30</v>
      </c>
      <c r="F1115" t="s">
        <v>63</v>
      </c>
      <c r="G1115" t="s">
        <v>25</v>
      </c>
      <c r="H1115" t="str">
        <f t="shared" si="34"/>
        <v xml:space="preserve">7/11 - SALÁRIO - JULYA 7/12 | Recorrência: | Observações: </v>
      </c>
      <c r="I1115" t="s">
        <v>991</v>
      </c>
      <c r="J1115" s="5">
        <v>-3928.65</v>
      </c>
      <c r="K1115" s="4">
        <v>437030.21</v>
      </c>
      <c r="L1115" t="s">
        <v>27</v>
      </c>
      <c r="M1115" s="5">
        <v>-3928.65</v>
      </c>
      <c r="N1115" s="3">
        <v>0</v>
      </c>
      <c r="O1115" t="s">
        <v>1986</v>
      </c>
      <c r="P1115" t="s">
        <v>1457</v>
      </c>
      <c r="Q1115" t="s">
        <v>1986</v>
      </c>
      <c r="R1115" t="str">
        <f t="shared" si="35"/>
        <v>Sim</v>
      </c>
      <c r="S1115" t="s">
        <v>1986</v>
      </c>
      <c r="T1115" t="s">
        <v>30</v>
      </c>
      <c r="U1115" t="s">
        <v>323</v>
      </c>
      <c r="V1115" s="3">
        <v>-3928.65</v>
      </c>
      <c r="W1115" t="s">
        <v>1164</v>
      </c>
      <c r="X1115" s="3">
        <v>-3928.65</v>
      </c>
    </row>
    <row r="1116" spans="1:24" s="2" customFormat="1" x14ac:dyDescent="0.2">
      <c r="A1116" s="2">
        <v>1116</v>
      </c>
      <c r="B1116"/>
      <c r="C1116" t="s">
        <v>153</v>
      </c>
      <c r="D1116" t="s">
        <v>1910</v>
      </c>
      <c r="E1116" t="s">
        <v>2000</v>
      </c>
      <c r="F1116" t="s">
        <v>63</v>
      </c>
      <c r="G1116" t="s">
        <v>25</v>
      </c>
      <c r="H1116" t="str">
        <f t="shared" si="34"/>
        <v xml:space="preserve">SALÁRIO_MAYARA OLIVEIRA | Recorrência:3/7 | Observações: </v>
      </c>
      <c r="I1116" t="s">
        <v>491</v>
      </c>
      <c r="J1116" s="5">
        <v>-2596.36</v>
      </c>
      <c r="K1116" s="4">
        <v>434433.85</v>
      </c>
      <c r="L1116" t="s">
        <v>27</v>
      </c>
      <c r="M1116" s="5">
        <v>-2596.36</v>
      </c>
      <c r="N1116" s="3">
        <v>0</v>
      </c>
      <c r="O1116" t="s">
        <v>1986</v>
      </c>
      <c r="P1116" t="s">
        <v>1951</v>
      </c>
      <c r="Q1116" t="s">
        <v>1986</v>
      </c>
      <c r="R1116" t="str">
        <f t="shared" si="35"/>
        <v>nao</v>
      </c>
      <c r="S1116" t="s">
        <v>1928</v>
      </c>
      <c r="T1116" t="s">
        <v>30</v>
      </c>
      <c r="U1116" t="s">
        <v>323</v>
      </c>
      <c r="V1116" s="3">
        <v>-2596.36</v>
      </c>
      <c r="W1116" t="s">
        <v>1043</v>
      </c>
      <c r="X1116" s="3">
        <v>-2596.36</v>
      </c>
    </row>
    <row r="1117" spans="1:24" s="2" customFormat="1" x14ac:dyDescent="0.2">
      <c r="A1117">
        <v>1117</v>
      </c>
      <c r="B1117"/>
      <c r="C1117" t="s">
        <v>153</v>
      </c>
      <c r="D1117" t="s">
        <v>636</v>
      </c>
      <c r="E1117" t="s">
        <v>730</v>
      </c>
      <c r="F1117" t="s">
        <v>63</v>
      </c>
      <c r="G1117" t="s">
        <v>25</v>
      </c>
      <c r="H1117" t="str">
        <f t="shared" si="34"/>
        <v xml:space="preserve">SALÁRIO ELIANE | Recorrência:7/12 | Observações: </v>
      </c>
      <c r="I1117" t="s">
        <v>491</v>
      </c>
      <c r="J1117" s="5">
        <v>-1615.23</v>
      </c>
      <c r="K1117" s="4">
        <v>432818.62</v>
      </c>
      <c r="L1117" t="s">
        <v>27</v>
      </c>
      <c r="M1117" s="5">
        <v>-1615.23</v>
      </c>
      <c r="N1117" s="3">
        <v>0</v>
      </c>
      <c r="O1117" t="s">
        <v>1986</v>
      </c>
      <c r="P1117" t="s">
        <v>2001</v>
      </c>
      <c r="Q1117" t="s">
        <v>1986</v>
      </c>
      <c r="R1117" t="str">
        <f t="shared" si="35"/>
        <v>nao</v>
      </c>
      <c r="S1117" t="s">
        <v>1928</v>
      </c>
      <c r="T1117" t="s">
        <v>30</v>
      </c>
      <c r="U1117" t="s">
        <v>323</v>
      </c>
      <c r="V1117" s="3">
        <v>-1615.23</v>
      </c>
      <c r="W1117" t="s">
        <v>1164</v>
      </c>
      <c r="X1117" s="3">
        <v>-1615.23</v>
      </c>
    </row>
    <row r="1118" spans="1:24" s="2" customFormat="1" x14ac:dyDescent="0.2">
      <c r="A1118" s="2">
        <v>1118</v>
      </c>
      <c r="B1118"/>
      <c r="C1118" t="s">
        <v>153</v>
      </c>
      <c r="D1118" t="s">
        <v>1585</v>
      </c>
      <c r="E1118" t="s">
        <v>634</v>
      </c>
      <c r="F1118" t="s">
        <v>63</v>
      </c>
      <c r="G1118" t="s">
        <v>25</v>
      </c>
      <c r="H1118" t="str">
        <f t="shared" si="34"/>
        <v xml:space="preserve">SODEXO - ELIANE | Recorrência:6/12 | Observações: </v>
      </c>
      <c r="I1118" t="s">
        <v>26</v>
      </c>
      <c r="J1118" s="5">
        <v>-610.04999999999995</v>
      </c>
      <c r="K1118" s="4">
        <v>432208.57</v>
      </c>
      <c r="L1118" t="s">
        <v>27</v>
      </c>
      <c r="M1118" s="5">
        <v>-610.04999999999995</v>
      </c>
      <c r="N1118" s="3">
        <v>0</v>
      </c>
      <c r="O1118" t="s">
        <v>1986</v>
      </c>
      <c r="P1118" t="s">
        <v>1975</v>
      </c>
      <c r="Q1118" t="s">
        <v>1986</v>
      </c>
      <c r="R1118" t="str">
        <f t="shared" si="35"/>
        <v>nao</v>
      </c>
      <c r="S1118" t="s">
        <v>1913</v>
      </c>
      <c r="T1118" t="s">
        <v>30</v>
      </c>
      <c r="U1118" t="s">
        <v>93</v>
      </c>
      <c r="V1118" s="3">
        <v>-610.04999999999995</v>
      </c>
      <c r="W1118" t="s">
        <v>331</v>
      </c>
      <c r="X1118" s="3">
        <v>-610.04999999999995</v>
      </c>
    </row>
    <row r="1119" spans="1:24" s="2" customFormat="1" x14ac:dyDescent="0.2">
      <c r="A1119">
        <v>1119</v>
      </c>
      <c r="B1119" t="s">
        <v>1509</v>
      </c>
      <c r="C1119" t="s">
        <v>1510</v>
      </c>
      <c r="D1119" t="s">
        <v>1915</v>
      </c>
      <c r="E1119" t="s">
        <v>195</v>
      </c>
      <c r="F1119" t="s">
        <v>24</v>
      </c>
      <c r="G1119" t="s">
        <v>25</v>
      </c>
      <c r="H1119" t="str">
        <f t="shared" si="34"/>
        <v xml:space="preserve">PROJETO -  SALÃO DE JOGOS_ACADEMIA | Recorrência:2/3 | Observações: </v>
      </c>
      <c r="I1119" t="s">
        <v>491</v>
      </c>
      <c r="J1119" s="4">
        <v>2334.0100000000002</v>
      </c>
      <c r="K1119" s="4">
        <v>434542.58</v>
      </c>
      <c r="L1119" t="s">
        <v>27</v>
      </c>
      <c r="M1119" s="4">
        <v>2334.0100000000002</v>
      </c>
      <c r="N1119" s="3">
        <v>0</v>
      </c>
      <c r="O1119" t="s">
        <v>1986</v>
      </c>
      <c r="P1119" t="s">
        <v>1945</v>
      </c>
      <c r="Q1119" t="s">
        <v>1840</v>
      </c>
      <c r="R1119" t="str">
        <f t="shared" si="35"/>
        <v>nao</v>
      </c>
      <c r="S1119" t="s">
        <v>1975</v>
      </c>
      <c r="T1119" t="s">
        <v>30</v>
      </c>
      <c r="U1119" t="s">
        <v>31</v>
      </c>
      <c r="V1119" s="3">
        <v>2334.0100000000002</v>
      </c>
      <c r="W1119" t="s">
        <v>32</v>
      </c>
      <c r="X1119" s="3">
        <v>2334.0100000000002</v>
      </c>
    </row>
    <row r="1120" spans="1:24" s="2" customFormat="1" x14ac:dyDescent="0.2">
      <c r="A1120" s="2">
        <v>1120</v>
      </c>
      <c r="B1120"/>
      <c r="C1120" t="s">
        <v>153</v>
      </c>
      <c r="D1120" t="s">
        <v>2002</v>
      </c>
      <c r="E1120" t="s">
        <v>30</v>
      </c>
      <c r="F1120" t="s">
        <v>63</v>
      </c>
      <c r="G1120" t="s">
        <v>25</v>
      </c>
      <c r="H1120" t="str">
        <f t="shared" si="34"/>
        <v xml:space="preserve">7/10 - ELIANE - VALE TRANSPORTE 7/12 | Recorrência: | Observações: </v>
      </c>
      <c r="I1120" t="s">
        <v>991</v>
      </c>
      <c r="J1120" s="5">
        <v>-352</v>
      </c>
      <c r="K1120" s="4">
        <v>434190.58</v>
      </c>
      <c r="L1120" t="s">
        <v>27</v>
      </c>
      <c r="M1120" s="5">
        <v>-352</v>
      </c>
      <c r="N1120" s="3">
        <v>0</v>
      </c>
      <c r="O1120" t="s">
        <v>1986</v>
      </c>
      <c r="P1120" t="s">
        <v>1500</v>
      </c>
      <c r="Q1120" t="s">
        <v>1928</v>
      </c>
      <c r="R1120" t="str">
        <f t="shared" si="35"/>
        <v>nao</v>
      </c>
      <c r="S1120" t="s">
        <v>1986</v>
      </c>
      <c r="T1120" t="s">
        <v>30</v>
      </c>
      <c r="U1120" t="s">
        <v>698</v>
      </c>
      <c r="V1120" s="3">
        <v>-352</v>
      </c>
      <c r="W1120" t="s">
        <v>698</v>
      </c>
      <c r="X1120" s="3">
        <v>-352</v>
      </c>
    </row>
    <row r="1121" spans="1:24" s="2" customFormat="1" x14ac:dyDescent="0.2">
      <c r="A1121">
        <v>1121</v>
      </c>
      <c r="B1121" t="s">
        <v>1373</v>
      </c>
      <c r="C1121" t="s">
        <v>1374</v>
      </c>
      <c r="D1121" t="s">
        <v>2003</v>
      </c>
      <c r="E1121" t="s">
        <v>30</v>
      </c>
      <c r="F1121" t="s">
        <v>24</v>
      </c>
      <c r="G1121" t="s">
        <v>25</v>
      </c>
      <c r="H1121" t="str">
        <f t="shared" si="34"/>
        <v xml:space="preserve">4/4 - GERENCIAMENTO -  QUAD STUDIO | Recorrência: | Observações: </v>
      </c>
      <c r="I1121" t="s">
        <v>491</v>
      </c>
      <c r="J1121" s="4">
        <v>2500</v>
      </c>
      <c r="K1121" s="4">
        <v>436690.58</v>
      </c>
      <c r="L1121" t="s">
        <v>27</v>
      </c>
      <c r="M1121" s="4">
        <v>2500</v>
      </c>
      <c r="N1121" s="3">
        <v>0</v>
      </c>
      <c r="O1121" t="s">
        <v>1986</v>
      </c>
      <c r="P1121" t="s">
        <v>1564</v>
      </c>
      <c r="Q1121" t="s">
        <v>1982</v>
      </c>
      <c r="R1121" t="str">
        <f t="shared" si="35"/>
        <v>Sim</v>
      </c>
      <c r="S1121" t="s">
        <v>1982</v>
      </c>
      <c r="T1121" t="s">
        <v>30</v>
      </c>
      <c r="U1121" t="s">
        <v>274</v>
      </c>
      <c r="V1121" s="3">
        <v>2500</v>
      </c>
    </row>
    <row r="1122" spans="1:24" s="2" customFormat="1" x14ac:dyDescent="0.2">
      <c r="A1122" s="2">
        <v>1122</v>
      </c>
      <c r="B1122" t="s">
        <v>647</v>
      </c>
      <c r="C1122" t="s">
        <v>648</v>
      </c>
      <c r="D1122" t="s">
        <v>2005</v>
      </c>
      <c r="E1122" t="s">
        <v>30</v>
      </c>
      <c r="F1122" t="s">
        <v>63</v>
      </c>
      <c r="G1122" t="s">
        <v>25</v>
      </c>
      <c r="H1122" t="str">
        <f t="shared" si="34"/>
        <v xml:space="preserve">7/12 - FGTS 7/12 | Recorrência: | Observações: </v>
      </c>
      <c r="I1122" t="s">
        <v>26</v>
      </c>
      <c r="J1122" s="5">
        <v>-140.25</v>
      </c>
      <c r="K1122" s="4">
        <v>436550.33</v>
      </c>
      <c r="L1122" t="s">
        <v>27</v>
      </c>
      <c r="M1122" s="5">
        <v>-140.25</v>
      </c>
      <c r="N1122" s="3">
        <v>0</v>
      </c>
      <c r="O1122" t="s">
        <v>2004</v>
      </c>
      <c r="P1122" t="s">
        <v>1469</v>
      </c>
      <c r="Q1122" t="s">
        <v>2004</v>
      </c>
      <c r="R1122" t="str">
        <f t="shared" si="35"/>
        <v>Sim</v>
      </c>
      <c r="S1122" t="s">
        <v>2004</v>
      </c>
      <c r="T1122" t="s">
        <v>30</v>
      </c>
      <c r="U1122" t="s">
        <v>1531</v>
      </c>
      <c r="V1122" s="3">
        <v>-140.25</v>
      </c>
    </row>
    <row r="1123" spans="1:24" s="2" customFormat="1" x14ac:dyDescent="0.2">
      <c r="A1123">
        <v>1123</v>
      </c>
      <c r="B1123" t="s">
        <v>1813</v>
      </c>
      <c r="C1123" t="s">
        <v>1814</v>
      </c>
      <c r="D1123" t="s">
        <v>1884</v>
      </c>
      <c r="E1123" t="s">
        <v>148</v>
      </c>
      <c r="F1123" t="s">
        <v>24</v>
      </c>
      <c r="G1123" t="s">
        <v>25</v>
      </c>
      <c r="H1123" t="str">
        <f t="shared" si="34"/>
        <v xml:space="preserve">RT PROPOSTA 221005 - TIAGO KOCH ♥ JULIANA IWAMOTO | Recorrência:3/3 | Observações: </v>
      </c>
      <c r="I1123" t="s">
        <v>991</v>
      </c>
      <c r="J1123" s="4">
        <v>116.46</v>
      </c>
      <c r="K1123" s="4">
        <v>436666.79</v>
      </c>
      <c r="L1123" t="s">
        <v>27</v>
      </c>
      <c r="M1123" s="4">
        <v>116.46</v>
      </c>
      <c r="N1123" s="3">
        <v>0</v>
      </c>
      <c r="O1123" t="s">
        <v>1982</v>
      </c>
      <c r="P1123" t="s">
        <v>1848</v>
      </c>
      <c r="Q1123" t="s">
        <v>1975</v>
      </c>
      <c r="R1123" t="str">
        <f t="shared" si="35"/>
        <v>Sim</v>
      </c>
      <c r="S1123" t="s">
        <v>1975</v>
      </c>
      <c r="T1123" t="s">
        <v>30</v>
      </c>
      <c r="U1123" t="s">
        <v>49</v>
      </c>
      <c r="V1123" s="3">
        <v>116.46</v>
      </c>
      <c r="W1123" t="s">
        <v>494</v>
      </c>
      <c r="X1123" s="3">
        <v>116.46</v>
      </c>
    </row>
    <row r="1124" spans="1:24" s="2" customFormat="1" x14ac:dyDescent="0.2">
      <c r="A1124" s="2">
        <v>1124</v>
      </c>
      <c r="B1124"/>
      <c r="C1124" t="s">
        <v>866</v>
      </c>
      <c r="D1124" t="s">
        <v>2006</v>
      </c>
      <c r="E1124" t="s">
        <v>30</v>
      </c>
      <c r="F1124" t="s">
        <v>24</v>
      </c>
      <c r="G1124" t="s">
        <v>25</v>
      </c>
      <c r="H1124" t="str">
        <f t="shared" si="34"/>
        <v xml:space="preserve">2/2 - PRODUÇÃO - Condomínio Vila São Fernando-Cotia - SP 2/2 | Recorrência: | Observações: </v>
      </c>
      <c r="I1124" t="s">
        <v>991</v>
      </c>
      <c r="J1124" s="4">
        <v>1000</v>
      </c>
      <c r="K1124" s="4">
        <v>437666.79</v>
      </c>
      <c r="L1124" t="s">
        <v>27</v>
      </c>
      <c r="M1124" s="4">
        <v>1000</v>
      </c>
      <c r="N1124" s="3">
        <v>0</v>
      </c>
      <c r="O1124" t="s">
        <v>1982</v>
      </c>
      <c r="P1124" t="s">
        <v>1982</v>
      </c>
      <c r="Q1124" t="s">
        <v>2007</v>
      </c>
      <c r="R1124" t="str">
        <f t="shared" si="35"/>
        <v>Sim</v>
      </c>
      <c r="S1124" t="s">
        <v>2007</v>
      </c>
      <c r="T1124" t="s">
        <v>30</v>
      </c>
      <c r="U1124" t="s">
        <v>463</v>
      </c>
      <c r="V1124" s="3">
        <v>1000</v>
      </c>
      <c r="W1124" t="s">
        <v>463</v>
      </c>
      <c r="X1124" s="3">
        <v>1000</v>
      </c>
    </row>
    <row r="1125" spans="1:24" s="2" customFormat="1" x14ac:dyDescent="0.2">
      <c r="A1125">
        <v>1125</v>
      </c>
      <c r="B1125"/>
      <c r="C1125" t="s">
        <v>943</v>
      </c>
      <c r="D1125" t="s">
        <v>2008</v>
      </c>
      <c r="E1125" t="s">
        <v>30</v>
      </c>
      <c r="F1125" t="s">
        <v>24</v>
      </c>
      <c r="G1125" t="s">
        <v>25</v>
      </c>
      <c r="H1125" t="str">
        <f t="shared" si="34"/>
        <v xml:space="preserve">1/5 - GERENCIAMENTO - ATMOSFERA VILA MARIANA | Recorrência: | Observações: </v>
      </c>
      <c r="I1125" t="s">
        <v>491</v>
      </c>
      <c r="J1125" s="4">
        <v>4000</v>
      </c>
      <c r="K1125" s="4">
        <v>441666.79</v>
      </c>
      <c r="L1125" t="s">
        <v>27</v>
      </c>
      <c r="M1125" s="4">
        <v>4000</v>
      </c>
      <c r="N1125" s="3">
        <v>0</v>
      </c>
      <c r="O1125" t="s">
        <v>1982</v>
      </c>
      <c r="P1125" t="s">
        <v>1938</v>
      </c>
      <c r="Q1125" t="s">
        <v>1982</v>
      </c>
      <c r="R1125" t="str">
        <f t="shared" si="35"/>
        <v>Sim</v>
      </c>
      <c r="S1125" t="s">
        <v>1982</v>
      </c>
      <c r="T1125" t="s">
        <v>30</v>
      </c>
      <c r="U1125" t="s">
        <v>274</v>
      </c>
      <c r="V1125" s="3">
        <v>4000</v>
      </c>
      <c r="W1125" t="s">
        <v>166</v>
      </c>
      <c r="X1125" s="3">
        <v>4000</v>
      </c>
    </row>
    <row r="1126" spans="1:24" s="2" customFormat="1" x14ac:dyDescent="0.2">
      <c r="A1126" s="2">
        <v>1126</v>
      </c>
      <c r="B1126" t="s">
        <v>1170</v>
      </c>
      <c r="C1126" t="s">
        <v>1171</v>
      </c>
      <c r="D1126" t="s">
        <v>2010</v>
      </c>
      <c r="E1126" t="s">
        <v>30</v>
      </c>
      <c r="F1126" t="s">
        <v>24</v>
      </c>
      <c r="G1126" t="s">
        <v>25</v>
      </c>
      <c r="H1126" t="str">
        <f t="shared" si="34"/>
        <v xml:space="preserve">CONTRATO 1039301 - RT RIVIERA_MARIO E ROBERTA | Recorrência: | Observações: </v>
      </c>
      <c r="I1126" t="s">
        <v>491</v>
      </c>
      <c r="J1126" s="4">
        <v>18875</v>
      </c>
      <c r="K1126" s="4">
        <v>460541.79</v>
      </c>
      <c r="L1126" t="s">
        <v>27</v>
      </c>
      <c r="M1126" s="4">
        <v>18875</v>
      </c>
      <c r="N1126" s="3">
        <v>0</v>
      </c>
      <c r="O1126" t="s">
        <v>2009</v>
      </c>
      <c r="P1126" t="s">
        <v>1952</v>
      </c>
      <c r="Q1126" t="s">
        <v>2009</v>
      </c>
      <c r="R1126" t="str">
        <f t="shared" si="35"/>
        <v>Sim</v>
      </c>
      <c r="S1126" t="s">
        <v>2009</v>
      </c>
      <c r="T1126" t="s">
        <v>30</v>
      </c>
      <c r="U1126" t="s">
        <v>49</v>
      </c>
      <c r="V1126" s="3">
        <v>18875</v>
      </c>
      <c r="W1126" t="s">
        <v>494</v>
      </c>
      <c r="X1126" s="3">
        <v>18875</v>
      </c>
    </row>
    <row r="1127" spans="1:24" s="2" customFormat="1" x14ac:dyDescent="0.2">
      <c r="A1127">
        <v>1127</v>
      </c>
      <c r="B1127" t="s">
        <v>1170</v>
      </c>
      <c r="C1127" t="s">
        <v>1171</v>
      </c>
      <c r="D1127" t="s">
        <v>2011</v>
      </c>
      <c r="E1127" t="s">
        <v>30</v>
      </c>
      <c r="F1127" t="s">
        <v>24</v>
      </c>
      <c r="G1127" t="s">
        <v>25</v>
      </c>
      <c r="H1127" t="str">
        <f t="shared" si="34"/>
        <v xml:space="preserve">CONTRATO 1039301 - RT RIVIERA_FABIO E ANA | Recorrência: | Observações: </v>
      </c>
      <c r="I1127" t="s">
        <v>491</v>
      </c>
      <c r="J1127" s="4">
        <v>19149</v>
      </c>
      <c r="K1127" s="4">
        <v>479690.79</v>
      </c>
      <c r="L1127" t="s">
        <v>27</v>
      </c>
      <c r="M1127" s="4">
        <v>19149</v>
      </c>
      <c r="N1127" s="3">
        <v>0</v>
      </c>
      <c r="O1127" t="s">
        <v>2009</v>
      </c>
      <c r="P1127" t="s">
        <v>1952</v>
      </c>
      <c r="Q1127" t="s">
        <v>2009</v>
      </c>
      <c r="R1127" t="str">
        <f t="shared" si="35"/>
        <v>Sim</v>
      </c>
      <c r="S1127" t="s">
        <v>2009</v>
      </c>
      <c r="T1127" t="s">
        <v>30</v>
      </c>
      <c r="U1127" t="s">
        <v>49</v>
      </c>
      <c r="V1127" s="3">
        <v>19149</v>
      </c>
      <c r="W1127" t="s">
        <v>494</v>
      </c>
      <c r="X1127" s="3">
        <v>19149</v>
      </c>
    </row>
    <row r="1128" spans="1:24" s="2" customFormat="1" x14ac:dyDescent="0.2">
      <c r="A1128" s="2">
        <v>1128</v>
      </c>
      <c r="B1128" t="s">
        <v>1170</v>
      </c>
      <c r="C1128" t="s">
        <v>1171</v>
      </c>
      <c r="D1128" t="s">
        <v>2012</v>
      </c>
      <c r="E1128" t="s">
        <v>30</v>
      </c>
      <c r="F1128" t="s">
        <v>24</v>
      </c>
      <c r="G1128" t="s">
        <v>25</v>
      </c>
      <c r="H1128" t="str">
        <f t="shared" si="34"/>
        <v xml:space="preserve">CONTRATO 1033002- RT RIVIERA_Ma ISABEL E FLÁVIO | Recorrência: | Observações: </v>
      </c>
      <c r="I1128" t="s">
        <v>491</v>
      </c>
      <c r="J1128" s="4">
        <v>18131</v>
      </c>
      <c r="K1128" s="4">
        <v>497821.79</v>
      </c>
      <c r="L1128" t="s">
        <v>27</v>
      </c>
      <c r="M1128" s="4">
        <v>18131</v>
      </c>
      <c r="N1128" s="3">
        <v>0</v>
      </c>
      <c r="O1128" t="s">
        <v>2009</v>
      </c>
      <c r="P1128" t="s">
        <v>1952</v>
      </c>
      <c r="Q1128" t="s">
        <v>2009</v>
      </c>
      <c r="R1128" t="str">
        <f t="shared" si="35"/>
        <v>Sim</v>
      </c>
      <c r="S1128" t="s">
        <v>2009</v>
      </c>
      <c r="T1128" t="s">
        <v>30</v>
      </c>
      <c r="U1128" t="s">
        <v>49</v>
      </c>
      <c r="V1128" s="3">
        <v>18131</v>
      </c>
      <c r="W1128" t="s">
        <v>494</v>
      </c>
      <c r="X1128" s="3">
        <v>18131</v>
      </c>
    </row>
    <row r="1129" spans="1:24" s="2" customFormat="1" x14ac:dyDescent="0.2">
      <c r="A1129">
        <v>1129</v>
      </c>
      <c r="B1129"/>
      <c r="C1129" t="s">
        <v>2013</v>
      </c>
      <c r="D1129" t="s">
        <v>2014</v>
      </c>
      <c r="E1129" t="s">
        <v>30</v>
      </c>
      <c r="F1129" t="s">
        <v>24</v>
      </c>
      <c r="G1129" t="s">
        <v>25</v>
      </c>
      <c r="H1129" t="str">
        <f t="shared" si="34"/>
        <v xml:space="preserve">1/3 - PROJETO ED. ALLE -  UNIDADES 05 E 06 1/3 | Recorrência: | Observações: </v>
      </c>
      <c r="I1129" t="s">
        <v>991</v>
      </c>
      <c r="J1129" s="4">
        <v>3000</v>
      </c>
      <c r="K1129" s="4">
        <v>500821.79</v>
      </c>
      <c r="L1129" t="s">
        <v>27</v>
      </c>
      <c r="M1129" s="4">
        <v>3000</v>
      </c>
      <c r="N1129" s="3">
        <v>0</v>
      </c>
      <c r="O1129" t="s">
        <v>2009</v>
      </c>
      <c r="P1129" t="s">
        <v>1982</v>
      </c>
      <c r="Q1129" t="s">
        <v>2015</v>
      </c>
      <c r="R1129" t="str">
        <f t="shared" si="35"/>
        <v>Sim</v>
      </c>
      <c r="S1129" t="s">
        <v>2015</v>
      </c>
      <c r="T1129" t="s">
        <v>30</v>
      </c>
      <c r="U1129" t="s">
        <v>31</v>
      </c>
      <c r="V1129" s="3">
        <v>3000</v>
      </c>
      <c r="W1129" t="s">
        <v>32</v>
      </c>
      <c r="X1129" s="3">
        <v>3000</v>
      </c>
    </row>
    <row r="1130" spans="1:24" s="2" customFormat="1" x14ac:dyDescent="0.2">
      <c r="A1130" s="2">
        <v>1130</v>
      </c>
      <c r="B1130" t="s">
        <v>1088</v>
      </c>
      <c r="C1130" t="s">
        <v>1089</v>
      </c>
      <c r="D1130" t="s">
        <v>2016</v>
      </c>
      <c r="E1130" t="s">
        <v>30</v>
      </c>
      <c r="F1130" t="s">
        <v>24</v>
      </c>
      <c r="G1130" t="s">
        <v>25</v>
      </c>
      <c r="H1130" t="str">
        <f t="shared" si="34"/>
        <v xml:space="preserve">RT - QUARTO_BARBARA E LEONARDO | Recorrência: | Observações: </v>
      </c>
      <c r="I1130" t="s">
        <v>491</v>
      </c>
      <c r="J1130" s="4">
        <v>1019</v>
      </c>
      <c r="K1130" s="4">
        <v>501840.79</v>
      </c>
      <c r="L1130" t="s">
        <v>27</v>
      </c>
      <c r="M1130" s="4">
        <v>1019</v>
      </c>
      <c r="N1130" s="3">
        <v>0</v>
      </c>
      <c r="O1130" t="s">
        <v>2009</v>
      </c>
      <c r="P1130" t="s">
        <v>2015</v>
      </c>
      <c r="Q1130" t="s">
        <v>2009</v>
      </c>
      <c r="R1130" t="str">
        <f t="shared" si="35"/>
        <v>Sim</v>
      </c>
      <c r="S1130" t="s">
        <v>2009</v>
      </c>
      <c r="T1130" t="s">
        <v>30</v>
      </c>
      <c r="U1130" t="s">
        <v>49</v>
      </c>
      <c r="V1130" s="3">
        <v>1019</v>
      </c>
      <c r="W1130" t="s">
        <v>494</v>
      </c>
      <c r="X1130" s="3">
        <v>1019</v>
      </c>
    </row>
    <row r="1131" spans="1:24" s="2" customFormat="1" x14ac:dyDescent="0.2">
      <c r="A1131">
        <v>1131</v>
      </c>
      <c r="B1131" t="s">
        <v>2017</v>
      </c>
      <c r="C1131" t="s">
        <v>2018</v>
      </c>
      <c r="D1131" t="s">
        <v>2019</v>
      </c>
      <c r="E1131" t="s">
        <v>30</v>
      </c>
      <c r="F1131" t="s">
        <v>24</v>
      </c>
      <c r="G1131" t="s">
        <v>25</v>
      </c>
      <c r="H1131" t="str">
        <f t="shared" si="34"/>
        <v xml:space="preserve">RT PEDIDO 10042503 - JULIANA♥TIAGO KOCH | Recorrência: | Observações: </v>
      </c>
      <c r="I1131" t="s">
        <v>991</v>
      </c>
      <c r="J1131" s="4">
        <v>421.21</v>
      </c>
      <c r="K1131" s="4">
        <v>502262</v>
      </c>
      <c r="L1131" t="s">
        <v>27</v>
      </c>
      <c r="M1131" s="4">
        <v>421.21</v>
      </c>
      <c r="N1131" s="3">
        <v>0</v>
      </c>
      <c r="O1131" t="s">
        <v>2009</v>
      </c>
      <c r="P1131" t="s">
        <v>1935</v>
      </c>
      <c r="Q1131" t="s">
        <v>2009</v>
      </c>
      <c r="R1131" t="str">
        <f t="shared" si="35"/>
        <v>Sim</v>
      </c>
      <c r="S1131" t="s">
        <v>2009</v>
      </c>
      <c r="T1131" t="s">
        <v>30</v>
      </c>
      <c r="U1131" t="s">
        <v>49</v>
      </c>
      <c r="V1131" s="3">
        <v>421.21</v>
      </c>
      <c r="W1131" t="s">
        <v>494</v>
      </c>
      <c r="X1131" s="3">
        <v>421.21</v>
      </c>
    </row>
    <row r="1132" spans="1:24" s="2" customFormat="1" x14ac:dyDescent="0.2">
      <c r="A1132" s="2">
        <v>1132</v>
      </c>
      <c r="B1132"/>
      <c r="C1132" t="s">
        <v>1611</v>
      </c>
      <c r="D1132" t="s">
        <v>1049</v>
      </c>
      <c r="E1132" t="s">
        <v>30</v>
      </c>
      <c r="F1132" t="s">
        <v>24</v>
      </c>
      <c r="G1132" t="s">
        <v>25</v>
      </c>
      <c r="H1132" t="str">
        <f t="shared" si="34"/>
        <v xml:space="preserve">ESPAÇO REFORMAR (DMP) | Recorrência: | Observações: </v>
      </c>
      <c r="I1132" t="s">
        <v>491</v>
      </c>
      <c r="J1132" s="4">
        <v>400</v>
      </c>
      <c r="K1132" s="4">
        <v>502662</v>
      </c>
      <c r="L1132" t="s">
        <v>27</v>
      </c>
      <c r="M1132" s="4">
        <v>400</v>
      </c>
      <c r="N1132" s="3">
        <v>0</v>
      </c>
      <c r="O1132" t="s">
        <v>2009</v>
      </c>
      <c r="P1132" t="s">
        <v>2020</v>
      </c>
      <c r="Q1132" t="s">
        <v>2009</v>
      </c>
      <c r="R1132" t="str">
        <f t="shared" si="35"/>
        <v>Sim</v>
      </c>
      <c r="S1132" t="s">
        <v>2009</v>
      </c>
      <c r="T1132" t="s">
        <v>30</v>
      </c>
      <c r="U1132" t="s">
        <v>49</v>
      </c>
      <c r="V1132" s="3">
        <v>400</v>
      </c>
      <c r="W1132" t="s">
        <v>494</v>
      </c>
      <c r="X1132" s="3">
        <v>400</v>
      </c>
    </row>
    <row r="1133" spans="1:24" s="2" customFormat="1" x14ac:dyDescent="0.2">
      <c r="A1133">
        <v>1133</v>
      </c>
      <c r="B1133" t="s">
        <v>1536</v>
      </c>
      <c r="C1133" t="s">
        <v>666</v>
      </c>
      <c r="D1133" t="s">
        <v>667</v>
      </c>
      <c r="E1133" t="s">
        <v>566</v>
      </c>
      <c r="F1133" t="s">
        <v>63</v>
      </c>
      <c r="G1133" t="s">
        <v>25</v>
      </c>
      <c r="H1133" t="str">
        <f t="shared" si="34"/>
        <v xml:space="preserve">TELEFONIA E INTERNET | Recorrência:5/12 | Observações: </v>
      </c>
      <c r="I1133" t="s">
        <v>26</v>
      </c>
      <c r="J1133" s="5">
        <v>-154</v>
      </c>
      <c r="K1133" s="4">
        <v>502508</v>
      </c>
      <c r="L1133" t="s">
        <v>27</v>
      </c>
      <c r="M1133" s="5">
        <v>-154</v>
      </c>
      <c r="N1133" s="3">
        <v>0</v>
      </c>
      <c r="O1133" t="s">
        <v>1929</v>
      </c>
      <c r="P1133" t="s">
        <v>1716</v>
      </c>
      <c r="Q1133" t="s">
        <v>1763</v>
      </c>
      <c r="R1133" t="str">
        <f t="shared" si="35"/>
        <v>Sim</v>
      </c>
      <c r="S1133" t="s">
        <v>1763</v>
      </c>
      <c r="T1133" t="s">
        <v>30</v>
      </c>
      <c r="U1133" t="s">
        <v>670</v>
      </c>
      <c r="V1133" s="3">
        <v>-154</v>
      </c>
      <c r="W1133" t="s">
        <v>324</v>
      </c>
      <c r="X1133" s="3">
        <v>-154</v>
      </c>
    </row>
    <row r="1134" spans="1:24" s="2" customFormat="1" x14ac:dyDescent="0.2">
      <c r="A1134" s="2">
        <v>1134</v>
      </c>
      <c r="B1134" t="s">
        <v>1536</v>
      </c>
      <c r="C1134" t="s">
        <v>666</v>
      </c>
      <c r="D1134" t="s">
        <v>667</v>
      </c>
      <c r="E1134" t="s">
        <v>634</v>
      </c>
      <c r="F1134" t="s">
        <v>63</v>
      </c>
      <c r="G1134" t="s">
        <v>25</v>
      </c>
      <c r="H1134" t="str">
        <f t="shared" si="34"/>
        <v xml:space="preserve">TELEFONIA E INTERNET | Recorrência:6/12 | Observações: </v>
      </c>
      <c r="I1134" t="s">
        <v>26</v>
      </c>
      <c r="J1134" s="5">
        <v>-157</v>
      </c>
      <c r="K1134" s="4">
        <v>502351</v>
      </c>
      <c r="L1134" t="s">
        <v>27</v>
      </c>
      <c r="M1134" s="5">
        <v>-157</v>
      </c>
      <c r="N1134" s="3">
        <v>0</v>
      </c>
      <c r="O1134" t="s">
        <v>1929</v>
      </c>
      <c r="P1134" t="s">
        <v>1787</v>
      </c>
      <c r="Q1134" t="s">
        <v>1843</v>
      </c>
      <c r="R1134" t="str">
        <f t="shared" si="35"/>
        <v>Sim</v>
      </c>
      <c r="S1134" t="s">
        <v>1843</v>
      </c>
      <c r="T1134" t="s">
        <v>30</v>
      </c>
      <c r="U1134" t="s">
        <v>670</v>
      </c>
      <c r="V1134" s="3">
        <v>-157</v>
      </c>
      <c r="W1134" t="s">
        <v>324</v>
      </c>
      <c r="X1134" s="3">
        <v>-157</v>
      </c>
    </row>
    <row r="1135" spans="1:24" s="2" customFormat="1" x14ac:dyDescent="0.2">
      <c r="A1135">
        <v>1135</v>
      </c>
      <c r="B1135" t="s">
        <v>1536</v>
      </c>
      <c r="C1135" t="s">
        <v>666</v>
      </c>
      <c r="D1135" t="s">
        <v>667</v>
      </c>
      <c r="E1135" t="s">
        <v>730</v>
      </c>
      <c r="F1135" t="s">
        <v>63</v>
      </c>
      <c r="G1135" t="s">
        <v>25</v>
      </c>
      <c r="H1135" t="str">
        <f t="shared" si="34"/>
        <v xml:space="preserve">TELEFONIA E INTERNET | Recorrência:7/12 | Observações: </v>
      </c>
      <c r="I1135" t="s">
        <v>26</v>
      </c>
      <c r="J1135" s="5">
        <v>-160</v>
      </c>
      <c r="K1135" s="4">
        <v>502351</v>
      </c>
      <c r="L1135" t="s">
        <v>756</v>
      </c>
      <c r="M1135" s="5">
        <v>-160</v>
      </c>
      <c r="N1135" s="3">
        <v>0</v>
      </c>
      <c r="O1135" t="s">
        <v>1929</v>
      </c>
      <c r="P1135" t="s">
        <v>1869</v>
      </c>
      <c r="Q1135" t="s">
        <v>1929</v>
      </c>
      <c r="R1135" t="str">
        <f t="shared" si="35"/>
        <v>Sim</v>
      </c>
      <c r="S1135" t="s">
        <v>1929</v>
      </c>
      <c r="T1135" t="s">
        <v>30</v>
      </c>
      <c r="U1135" t="s">
        <v>670</v>
      </c>
      <c r="V1135" s="3">
        <v>-160</v>
      </c>
      <c r="W1135" t="s">
        <v>324</v>
      </c>
      <c r="X1135" s="3">
        <v>-160</v>
      </c>
    </row>
    <row r="1136" spans="1:24" s="2" customFormat="1" x14ac:dyDescent="0.2">
      <c r="A1136" s="2">
        <v>1136</v>
      </c>
      <c r="B1136" t="s">
        <v>647</v>
      </c>
      <c r="C1136" t="s">
        <v>648</v>
      </c>
      <c r="D1136" t="s">
        <v>2021</v>
      </c>
      <c r="E1136" t="s">
        <v>30</v>
      </c>
      <c r="F1136" t="s">
        <v>63</v>
      </c>
      <c r="G1136" t="s">
        <v>25</v>
      </c>
      <c r="H1136" t="str">
        <f t="shared" si="34"/>
        <v xml:space="preserve">7/35 - DARF ISS 7/36 | Recorrência: | Observações: </v>
      </c>
      <c r="I1136" t="s">
        <v>26</v>
      </c>
      <c r="J1136" s="5">
        <v>-3426.18</v>
      </c>
      <c r="K1136" s="4">
        <v>498924.82</v>
      </c>
      <c r="L1136" t="s">
        <v>27</v>
      </c>
      <c r="M1136" s="5">
        <v>-3426.18</v>
      </c>
      <c r="N1136" s="3">
        <v>0</v>
      </c>
      <c r="O1136" t="s">
        <v>2015</v>
      </c>
      <c r="P1136" t="s">
        <v>1474</v>
      </c>
      <c r="Q1136" t="s">
        <v>2004</v>
      </c>
      <c r="R1136" t="str">
        <f t="shared" si="35"/>
        <v>Sim</v>
      </c>
      <c r="S1136" t="s">
        <v>2004</v>
      </c>
      <c r="T1136" t="s">
        <v>30</v>
      </c>
      <c r="U1136" t="s">
        <v>1098</v>
      </c>
      <c r="V1136" s="3">
        <v>-3426.18</v>
      </c>
      <c r="W1136" t="s">
        <v>324</v>
      </c>
      <c r="X1136" s="3">
        <v>-3426.18</v>
      </c>
    </row>
    <row r="1137" spans="1:24" s="2" customFormat="1" x14ac:dyDescent="0.2">
      <c r="A1137">
        <v>1137</v>
      </c>
      <c r="B1137" t="s">
        <v>647</v>
      </c>
      <c r="C1137" t="s">
        <v>648</v>
      </c>
      <c r="D1137" t="s">
        <v>1544</v>
      </c>
      <c r="E1137" t="s">
        <v>730</v>
      </c>
      <c r="F1137" t="s">
        <v>63</v>
      </c>
      <c r="G1137" t="s">
        <v>25</v>
      </c>
      <c r="H1137" t="str">
        <f t="shared" si="34"/>
        <v xml:space="preserve">HONORARIOS CONTABEIS | Recorrência:7/12 | Observações: </v>
      </c>
      <c r="I1137" t="s">
        <v>26</v>
      </c>
      <c r="J1137" s="5">
        <v>-925</v>
      </c>
      <c r="K1137" s="4">
        <v>497999.82</v>
      </c>
      <c r="L1137" t="s">
        <v>27</v>
      </c>
      <c r="M1137" s="5">
        <v>-925</v>
      </c>
      <c r="N1137" s="3">
        <v>0</v>
      </c>
      <c r="O1137" t="s">
        <v>2015</v>
      </c>
      <c r="P1137" t="s">
        <v>1986</v>
      </c>
      <c r="Q1137" t="s">
        <v>2015</v>
      </c>
      <c r="R1137" t="str">
        <f t="shared" si="35"/>
        <v>Sim</v>
      </c>
      <c r="S1137" t="s">
        <v>2015</v>
      </c>
      <c r="T1137" t="s">
        <v>30</v>
      </c>
      <c r="U1137" t="s">
        <v>608</v>
      </c>
      <c r="V1137" s="3">
        <v>-925</v>
      </c>
      <c r="W1137" t="s">
        <v>297</v>
      </c>
      <c r="X1137" s="3">
        <v>-925</v>
      </c>
    </row>
    <row r="1138" spans="1:24" s="2" customFormat="1" x14ac:dyDescent="0.2">
      <c r="A1138" s="2">
        <v>1138</v>
      </c>
      <c r="B1138" t="s">
        <v>1450</v>
      </c>
      <c r="C1138" t="s">
        <v>1451</v>
      </c>
      <c r="D1138" t="s">
        <v>2022</v>
      </c>
      <c r="E1138" t="s">
        <v>30</v>
      </c>
      <c r="F1138" t="s">
        <v>24</v>
      </c>
      <c r="G1138" t="s">
        <v>25</v>
      </c>
      <c r="H1138" t="str">
        <f t="shared" si="34"/>
        <v xml:space="preserve">1/2 - RT_AMAURI _ LUCIENE GIL MARCHI  1/2 | Recorrência: | Observações: </v>
      </c>
      <c r="I1138" t="s">
        <v>491</v>
      </c>
      <c r="J1138" s="4">
        <v>15000</v>
      </c>
      <c r="K1138" s="4">
        <v>512999.82</v>
      </c>
      <c r="L1138" t="s">
        <v>27</v>
      </c>
      <c r="M1138" s="4">
        <v>15000</v>
      </c>
      <c r="N1138" s="3">
        <v>0</v>
      </c>
      <c r="O1138" t="s">
        <v>2015</v>
      </c>
      <c r="P1138" t="s">
        <v>2020</v>
      </c>
      <c r="Q1138" t="s">
        <v>2015</v>
      </c>
      <c r="R1138" t="str">
        <f t="shared" si="35"/>
        <v>Sim</v>
      </c>
      <c r="S1138" t="s">
        <v>2015</v>
      </c>
      <c r="T1138" t="s">
        <v>30</v>
      </c>
      <c r="U1138" t="s">
        <v>2023</v>
      </c>
      <c r="V1138" s="3">
        <v>15000</v>
      </c>
      <c r="W1138" t="s">
        <v>494</v>
      </c>
      <c r="X1138" s="3">
        <v>15000</v>
      </c>
    </row>
    <row r="1139" spans="1:24" s="2" customFormat="1" x14ac:dyDescent="0.2">
      <c r="A1139">
        <v>1139</v>
      </c>
      <c r="B1139" t="s">
        <v>1309</v>
      </c>
      <c r="C1139" t="s">
        <v>1310</v>
      </c>
      <c r="D1139" t="s">
        <v>2025</v>
      </c>
      <c r="E1139" t="s">
        <v>30</v>
      </c>
      <c r="F1139" t="s">
        <v>24</v>
      </c>
      <c r="G1139" t="s">
        <v>25</v>
      </c>
      <c r="H1139" t="str">
        <f t="shared" si="34"/>
        <v xml:space="preserve">RT -  RIVIERA -  PEDIDO 94940 / 94941/94942 | Recorrência: | Observações: </v>
      </c>
      <c r="I1139" t="s">
        <v>491</v>
      </c>
      <c r="J1139" s="4">
        <v>5019.7299999999996</v>
      </c>
      <c r="K1139" s="4">
        <v>518019.55</v>
      </c>
      <c r="L1139" t="s">
        <v>27</v>
      </c>
      <c r="M1139" s="4">
        <v>5019.7299999999996</v>
      </c>
      <c r="N1139" s="3">
        <v>0</v>
      </c>
      <c r="O1139" t="s">
        <v>2024</v>
      </c>
      <c r="P1139" t="s">
        <v>1862</v>
      </c>
      <c r="Q1139" t="s">
        <v>1980</v>
      </c>
      <c r="R1139" t="str">
        <f t="shared" si="35"/>
        <v>Sim</v>
      </c>
      <c r="S1139" t="s">
        <v>1980</v>
      </c>
      <c r="T1139" t="s">
        <v>30</v>
      </c>
      <c r="U1139" t="s">
        <v>49</v>
      </c>
      <c r="V1139" s="3">
        <v>5019.7299999999996</v>
      </c>
      <c r="W1139" t="s">
        <v>494</v>
      </c>
      <c r="X1139" s="3">
        <v>5019.7299999999996</v>
      </c>
    </row>
    <row r="1140" spans="1:24" s="2" customFormat="1" x14ac:dyDescent="0.2">
      <c r="A1140" s="2">
        <v>1140</v>
      </c>
      <c r="B1140" t="s">
        <v>2026</v>
      </c>
      <c r="C1140" t="s">
        <v>2027</v>
      </c>
      <c r="D1140" t="s">
        <v>2028</v>
      </c>
      <c r="E1140" t="s">
        <v>30</v>
      </c>
      <c r="F1140" t="s">
        <v>24</v>
      </c>
      <c r="G1140" t="s">
        <v>25</v>
      </c>
      <c r="H1140" t="str">
        <f t="shared" si="34"/>
        <v xml:space="preserve">1/2 - PROJETO_BANHEIRO COM ACESSIBILIDADE 1/2 | Recorrência: | Observações: </v>
      </c>
      <c r="I1140" t="s">
        <v>491</v>
      </c>
      <c r="J1140" s="4">
        <v>715.13</v>
      </c>
      <c r="K1140" s="4">
        <v>518734.68</v>
      </c>
      <c r="L1140" t="s">
        <v>27</v>
      </c>
      <c r="M1140" s="4">
        <v>715.13</v>
      </c>
      <c r="N1140" s="3">
        <v>0</v>
      </c>
      <c r="O1140" t="s">
        <v>2024</v>
      </c>
      <c r="P1140" t="s">
        <v>2029</v>
      </c>
      <c r="Q1140" t="s">
        <v>2015</v>
      </c>
      <c r="R1140" t="str">
        <f t="shared" si="35"/>
        <v>Sim</v>
      </c>
      <c r="S1140" t="s">
        <v>2015</v>
      </c>
      <c r="T1140" t="s">
        <v>30</v>
      </c>
      <c r="U1140" t="s">
        <v>31</v>
      </c>
      <c r="V1140" s="3">
        <v>715.13</v>
      </c>
      <c r="W1140" t="s">
        <v>2030</v>
      </c>
      <c r="X1140" s="3">
        <v>715.13</v>
      </c>
    </row>
    <row r="1141" spans="1:24" s="2" customFormat="1" x14ac:dyDescent="0.2">
      <c r="A1141">
        <v>1141</v>
      </c>
      <c r="B1141" t="s">
        <v>1317</v>
      </c>
      <c r="C1141" t="s">
        <v>873</v>
      </c>
      <c r="D1141" t="s">
        <v>2032</v>
      </c>
      <c r="E1141" t="s">
        <v>30</v>
      </c>
      <c r="F1141" t="s">
        <v>24</v>
      </c>
      <c r="G1141" t="s">
        <v>25</v>
      </c>
      <c r="H1141" t="str">
        <f t="shared" si="34"/>
        <v xml:space="preserve">RT PEDIDO 116364 - Quartos - Bárbara | Recorrência: | Observações: </v>
      </c>
      <c r="I1141" t="s">
        <v>491</v>
      </c>
      <c r="J1141" s="4">
        <v>408</v>
      </c>
      <c r="K1141" s="4">
        <v>519142.68</v>
      </c>
      <c r="L1141" t="s">
        <v>27</v>
      </c>
      <c r="M1141" s="4">
        <v>408</v>
      </c>
      <c r="N1141" s="3">
        <v>0</v>
      </c>
      <c r="O1141" t="s">
        <v>2031</v>
      </c>
      <c r="P1141" t="s">
        <v>1744</v>
      </c>
      <c r="Q1141" t="s">
        <v>2007</v>
      </c>
      <c r="R1141" t="str">
        <f t="shared" si="35"/>
        <v>Sim</v>
      </c>
      <c r="S1141" t="s">
        <v>2007</v>
      </c>
      <c r="T1141" t="s">
        <v>30</v>
      </c>
      <c r="U1141" t="s">
        <v>49</v>
      </c>
      <c r="V1141" s="3">
        <v>408</v>
      </c>
      <c r="W1141" t="s">
        <v>494</v>
      </c>
      <c r="X1141" s="3">
        <v>408</v>
      </c>
    </row>
    <row r="1142" spans="1:24" s="2" customFormat="1" x14ac:dyDescent="0.2">
      <c r="A1142" s="2">
        <v>1142</v>
      </c>
      <c r="B1142" t="s">
        <v>1061</v>
      </c>
      <c r="C1142" t="s">
        <v>1062</v>
      </c>
      <c r="D1142" t="s">
        <v>2033</v>
      </c>
      <c r="E1142" t="s">
        <v>30</v>
      </c>
      <c r="F1142" t="s">
        <v>24</v>
      </c>
      <c r="G1142" t="s">
        <v>25</v>
      </c>
      <c r="H1142" t="str">
        <f t="shared" si="34"/>
        <v xml:space="preserve">RT Vanessa Fonseca - VENDA 176271 | Recorrência: | Observações: </v>
      </c>
      <c r="I1142" t="s">
        <v>491</v>
      </c>
      <c r="J1142" s="4">
        <v>985</v>
      </c>
      <c r="K1142" s="4">
        <v>520127.68</v>
      </c>
      <c r="L1142" t="s">
        <v>27</v>
      </c>
      <c r="M1142" s="4">
        <v>985</v>
      </c>
      <c r="N1142" s="3">
        <v>0</v>
      </c>
      <c r="O1142" t="s">
        <v>1980</v>
      </c>
      <c r="P1142" t="s">
        <v>2031</v>
      </c>
      <c r="Q1142" t="s">
        <v>1980</v>
      </c>
      <c r="R1142" t="str">
        <f t="shared" si="35"/>
        <v>nao</v>
      </c>
      <c r="S1142" t="s">
        <v>2020</v>
      </c>
      <c r="T1142" t="s">
        <v>30</v>
      </c>
      <c r="U1142" t="s">
        <v>49</v>
      </c>
      <c r="V1142" s="3">
        <v>985</v>
      </c>
      <c r="W1142" t="s">
        <v>494</v>
      </c>
      <c r="X1142" s="3">
        <v>985</v>
      </c>
    </row>
    <row r="1143" spans="1:24" s="2" customFormat="1" x14ac:dyDescent="0.2">
      <c r="A1143">
        <v>1143</v>
      </c>
      <c r="B1143" t="s">
        <v>1581</v>
      </c>
      <c r="C1143" t="s">
        <v>1582</v>
      </c>
      <c r="D1143" t="s">
        <v>2034</v>
      </c>
      <c r="E1143" t="s">
        <v>30</v>
      </c>
      <c r="F1143" t="s">
        <v>24</v>
      </c>
      <c r="G1143" t="s">
        <v>25</v>
      </c>
      <c r="H1143" t="str">
        <f t="shared" si="34"/>
        <v xml:space="preserve">RT EDUARDO_MÃO DE OBRA | Recorrência: | Observações: </v>
      </c>
      <c r="I1143" t="s">
        <v>491</v>
      </c>
      <c r="J1143" s="4">
        <v>15000</v>
      </c>
      <c r="K1143" s="4">
        <v>535127.68000000005</v>
      </c>
      <c r="L1143" t="s">
        <v>27</v>
      </c>
      <c r="M1143" s="4">
        <v>15000</v>
      </c>
      <c r="N1143" s="3">
        <v>0</v>
      </c>
      <c r="O1143" t="s">
        <v>2007</v>
      </c>
      <c r="P1143" t="s">
        <v>2007</v>
      </c>
      <c r="Q1143" t="s">
        <v>2035</v>
      </c>
      <c r="R1143" t="str">
        <f t="shared" si="35"/>
        <v>Sim</v>
      </c>
      <c r="S1143" t="s">
        <v>2035</v>
      </c>
      <c r="T1143" t="s">
        <v>30</v>
      </c>
      <c r="U1143" t="s">
        <v>49</v>
      </c>
      <c r="V1143" s="3">
        <v>15000</v>
      </c>
      <c r="W1143" t="s">
        <v>494</v>
      </c>
      <c r="X1143" s="3">
        <v>15000</v>
      </c>
    </row>
    <row r="1144" spans="1:24" s="2" customFormat="1" x14ac:dyDescent="0.2">
      <c r="A1144" s="2">
        <v>1144</v>
      </c>
      <c r="B1144" t="s">
        <v>647</v>
      </c>
      <c r="C1144" t="s">
        <v>648</v>
      </c>
      <c r="D1144" t="s">
        <v>1556</v>
      </c>
      <c r="E1144" t="s">
        <v>730</v>
      </c>
      <c r="F1144" t="s">
        <v>63</v>
      </c>
      <c r="G1144" t="s">
        <v>25</v>
      </c>
      <c r="H1144" t="str">
        <f t="shared" si="34"/>
        <v xml:space="preserve">DARF PREVIDÊNCIARIO | Recorrência:7/12 | Observações: </v>
      </c>
      <c r="I1144" t="s">
        <v>26</v>
      </c>
      <c r="J1144" s="5">
        <v>-1434.97</v>
      </c>
      <c r="K1144" s="4">
        <v>533692.71</v>
      </c>
      <c r="L1144" t="s">
        <v>27</v>
      </c>
      <c r="M1144" s="5">
        <v>-1434.97</v>
      </c>
      <c r="N1144" s="3">
        <v>0</v>
      </c>
      <c r="O1144" t="s">
        <v>2036</v>
      </c>
      <c r="P1144" t="s">
        <v>2037</v>
      </c>
      <c r="Q1144" t="s">
        <v>2038</v>
      </c>
      <c r="R1144" t="str">
        <f t="shared" si="35"/>
        <v>nao</v>
      </c>
      <c r="S1144" t="s">
        <v>2039</v>
      </c>
      <c r="T1144" t="s">
        <v>30</v>
      </c>
      <c r="U1144" t="s">
        <v>601</v>
      </c>
      <c r="V1144" s="3">
        <v>-1434.97</v>
      </c>
      <c r="W1144" t="s">
        <v>376</v>
      </c>
      <c r="X1144" s="3">
        <v>-1434.97</v>
      </c>
    </row>
    <row r="1145" spans="1:24" s="2" customFormat="1" x14ac:dyDescent="0.2">
      <c r="A1145">
        <v>1145</v>
      </c>
      <c r="B1145" t="s">
        <v>647</v>
      </c>
      <c r="C1145" t="s">
        <v>648</v>
      </c>
      <c r="D1145" t="s">
        <v>2041</v>
      </c>
      <c r="E1145" t="s">
        <v>30</v>
      </c>
      <c r="F1145" t="s">
        <v>63</v>
      </c>
      <c r="G1145" t="s">
        <v>25</v>
      </c>
      <c r="H1145" t="str">
        <f t="shared" si="34"/>
        <v xml:space="preserve">6/35 - DARF ISS _Incidência Maio/2023  6/36 | Recorrência: | Observações: </v>
      </c>
      <c r="I1145" t="s">
        <v>26</v>
      </c>
      <c r="J1145" s="5">
        <v>-1609.04</v>
      </c>
      <c r="K1145" s="4">
        <v>532083.67000000004</v>
      </c>
      <c r="L1145" t="s">
        <v>27</v>
      </c>
      <c r="M1145" s="5">
        <v>-1609.04</v>
      </c>
      <c r="N1145" s="3">
        <v>0</v>
      </c>
      <c r="O1145" t="s">
        <v>2040</v>
      </c>
      <c r="P1145" t="s">
        <v>1474</v>
      </c>
      <c r="Q1145" t="s">
        <v>1975</v>
      </c>
      <c r="R1145" t="str">
        <f t="shared" si="35"/>
        <v>nao</v>
      </c>
      <c r="S1145" t="s">
        <v>2040</v>
      </c>
      <c r="T1145" t="s">
        <v>30</v>
      </c>
      <c r="U1145" t="s">
        <v>1098</v>
      </c>
      <c r="V1145" s="3">
        <v>-1609.04</v>
      </c>
      <c r="W1145" t="s">
        <v>324</v>
      </c>
      <c r="X1145" s="3">
        <v>-1609.04</v>
      </c>
    </row>
    <row r="1146" spans="1:24" s="2" customFormat="1" x14ac:dyDescent="0.2">
      <c r="A1146" s="2">
        <v>1146</v>
      </c>
      <c r="B1146" t="s">
        <v>1133</v>
      </c>
      <c r="C1146" t="s">
        <v>1134</v>
      </c>
      <c r="D1146" t="s">
        <v>2042</v>
      </c>
      <c r="E1146" t="s">
        <v>30</v>
      </c>
      <c r="F1146" t="s">
        <v>24</v>
      </c>
      <c r="G1146" t="s">
        <v>25</v>
      </c>
      <c r="H1146" t="str">
        <f t="shared" si="34"/>
        <v xml:space="preserve">RT PEDIDO 281797 - JULIANA♥TIAGO KOCH | Recorrência: | Observações: </v>
      </c>
      <c r="I1146" t="s">
        <v>991</v>
      </c>
      <c r="J1146" s="4">
        <v>787.5</v>
      </c>
      <c r="K1146" s="4">
        <v>532871.17000000004</v>
      </c>
      <c r="L1146" t="s">
        <v>27</v>
      </c>
      <c r="M1146" s="4">
        <v>787.5</v>
      </c>
      <c r="N1146" s="3">
        <v>0</v>
      </c>
      <c r="O1146" t="s">
        <v>2040</v>
      </c>
      <c r="P1146" t="s">
        <v>1935</v>
      </c>
      <c r="Q1146" t="s">
        <v>2038</v>
      </c>
      <c r="R1146" t="str">
        <f t="shared" si="35"/>
        <v>Sim</v>
      </c>
      <c r="S1146" t="s">
        <v>2038</v>
      </c>
      <c r="T1146" t="s">
        <v>30</v>
      </c>
      <c r="U1146" t="s">
        <v>49</v>
      </c>
      <c r="V1146" s="3">
        <v>787.5</v>
      </c>
      <c r="W1146" t="s">
        <v>494</v>
      </c>
      <c r="X1146" s="3">
        <v>787.5</v>
      </c>
    </row>
    <row r="1147" spans="1:24" s="2" customFormat="1" x14ac:dyDescent="0.2">
      <c r="A1147">
        <v>1147</v>
      </c>
      <c r="B1147" t="s">
        <v>1133</v>
      </c>
      <c r="C1147" t="s">
        <v>1134</v>
      </c>
      <c r="D1147" t="s">
        <v>2043</v>
      </c>
      <c r="E1147" t="s">
        <v>30</v>
      </c>
      <c r="F1147" t="s">
        <v>24</v>
      </c>
      <c r="G1147" t="s">
        <v>25</v>
      </c>
      <c r="H1147" t="str">
        <f t="shared" si="34"/>
        <v xml:space="preserve">RT Pedido 282027 - ANA CAROLINA FURQUIM DE CAMPOS BERTONI | Recorrência: | Observações: </v>
      </c>
      <c r="I1147" t="s">
        <v>491</v>
      </c>
      <c r="J1147" s="4">
        <v>2280.5500000000002</v>
      </c>
      <c r="K1147" s="4">
        <v>535151.72</v>
      </c>
      <c r="L1147" t="s">
        <v>27</v>
      </c>
      <c r="M1147" s="4">
        <v>2280.5500000000002</v>
      </c>
      <c r="N1147" s="3">
        <v>0</v>
      </c>
      <c r="O1147" t="s">
        <v>2040</v>
      </c>
      <c r="P1147" t="s">
        <v>1982</v>
      </c>
      <c r="Q1147" t="s">
        <v>2040</v>
      </c>
      <c r="R1147" t="str">
        <f t="shared" si="35"/>
        <v>nao</v>
      </c>
      <c r="S1147" t="s">
        <v>2020</v>
      </c>
      <c r="T1147" t="s">
        <v>30</v>
      </c>
      <c r="U1147" t="s">
        <v>49</v>
      </c>
      <c r="V1147" s="3">
        <v>2280.5500000000002</v>
      </c>
      <c r="W1147" t="s">
        <v>494</v>
      </c>
      <c r="X1147" s="3">
        <v>2280.5500000000002</v>
      </c>
    </row>
    <row r="1148" spans="1:24" s="2" customFormat="1" x14ac:dyDescent="0.2">
      <c r="A1148" s="2">
        <v>1148</v>
      </c>
      <c r="B1148"/>
      <c r="C1148" t="s">
        <v>153</v>
      </c>
      <c r="D1148" t="s">
        <v>2045</v>
      </c>
      <c r="E1148" t="s">
        <v>30</v>
      </c>
      <c r="F1148" t="s">
        <v>63</v>
      </c>
      <c r="G1148" t="s">
        <v>25</v>
      </c>
      <c r="H1148" t="str">
        <f t="shared" si="34"/>
        <v xml:space="preserve">3/3 - TERAPLUS SERVIÇOS EM INFORMÁTICA  3/3 | Recorrência: | Observações: </v>
      </c>
      <c r="I1148" t="s">
        <v>755</v>
      </c>
      <c r="J1148" s="5">
        <v>-933</v>
      </c>
      <c r="K1148" s="4">
        <v>534218.72</v>
      </c>
      <c r="L1148" t="s">
        <v>27</v>
      </c>
      <c r="M1148" s="5">
        <v>-933</v>
      </c>
      <c r="N1148" s="3">
        <v>0</v>
      </c>
      <c r="O1148" t="s">
        <v>2044</v>
      </c>
      <c r="P1148" t="s">
        <v>1864</v>
      </c>
      <c r="Q1148" t="s">
        <v>2046</v>
      </c>
      <c r="R1148" t="str">
        <f t="shared" si="35"/>
        <v>Sim</v>
      </c>
      <c r="S1148" t="s">
        <v>2046</v>
      </c>
      <c r="T1148" t="s">
        <v>30</v>
      </c>
      <c r="U1148" t="s">
        <v>1371</v>
      </c>
      <c r="V1148" s="3">
        <v>-933</v>
      </c>
      <c r="W1148" t="s">
        <v>344</v>
      </c>
      <c r="X1148" s="3">
        <v>-933</v>
      </c>
    </row>
    <row r="1149" spans="1:24" s="2" customFormat="1" x14ac:dyDescent="0.2">
      <c r="A1149">
        <v>1149</v>
      </c>
      <c r="B1149" t="s">
        <v>647</v>
      </c>
      <c r="C1149" t="s">
        <v>648</v>
      </c>
      <c r="D1149" t="s">
        <v>1794</v>
      </c>
      <c r="E1149" t="s">
        <v>730</v>
      </c>
      <c r="F1149" t="s">
        <v>63</v>
      </c>
      <c r="G1149" t="s">
        <v>25</v>
      </c>
      <c r="H1149" t="str">
        <f t="shared" si="34"/>
        <v xml:space="preserve">DARF COFINS - | Recorrência:7/12 | Observações: </v>
      </c>
      <c r="I1149" t="s">
        <v>26</v>
      </c>
      <c r="J1149" s="5">
        <v>-260.33999999999997</v>
      </c>
      <c r="K1149" s="4">
        <v>533958.38</v>
      </c>
      <c r="L1149" t="s">
        <v>27</v>
      </c>
      <c r="M1149" s="5">
        <v>-260.33999999999997</v>
      </c>
      <c r="N1149" s="3">
        <v>0</v>
      </c>
      <c r="O1149" t="s">
        <v>2044</v>
      </c>
      <c r="P1149" t="s">
        <v>1935</v>
      </c>
      <c r="Q1149" t="s">
        <v>2046</v>
      </c>
      <c r="R1149" t="str">
        <f t="shared" si="35"/>
        <v>Sim</v>
      </c>
      <c r="S1149" t="s">
        <v>2046</v>
      </c>
      <c r="T1149" t="s">
        <v>30</v>
      </c>
      <c r="U1149" t="s">
        <v>1508</v>
      </c>
      <c r="V1149" s="3">
        <v>-260.33999999999997</v>
      </c>
      <c r="W1149" t="s">
        <v>297</v>
      </c>
      <c r="X1149" s="3">
        <v>-260.33999999999997</v>
      </c>
    </row>
    <row r="1150" spans="1:24" s="2" customFormat="1" x14ac:dyDescent="0.2">
      <c r="A1150" s="2">
        <v>1150</v>
      </c>
      <c r="B1150" t="s">
        <v>647</v>
      </c>
      <c r="C1150" t="s">
        <v>648</v>
      </c>
      <c r="D1150" t="s">
        <v>2047</v>
      </c>
      <c r="E1150" t="s">
        <v>30</v>
      </c>
      <c r="F1150" t="s">
        <v>63</v>
      </c>
      <c r="G1150" t="s">
        <v>25</v>
      </c>
      <c r="H1150" t="str">
        <f t="shared" si="34"/>
        <v xml:space="preserve">1/59 - DARF PIS 1/60 | Recorrência: | Observações: </v>
      </c>
      <c r="I1150" t="s">
        <v>26</v>
      </c>
      <c r="J1150" s="5">
        <v>-66.37</v>
      </c>
      <c r="K1150" s="4">
        <v>533892.01</v>
      </c>
      <c r="L1150" t="s">
        <v>27</v>
      </c>
      <c r="M1150" s="5">
        <v>-66.37</v>
      </c>
      <c r="N1150" s="3">
        <v>0</v>
      </c>
      <c r="O1150" t="s">
        <v>2044</v>
      </c>
      <c r="P1150" t="s">
        <v>1502</v>
      </c>
      <c r="Q1150" t="s">
        <v>2046</v>
      </c>
      <c r="R1150" t="str">
        <f t="shared" si="35"/>
        <v>Sim</v>
      </c>
      <c r="S1150" t="s">
        <v>2046</v>
      </c>
      <c r="T1150" t="s">
        <v>30</v>
      </c>
      <c r="U1150" t="s">
        <v>601</v>
      </c>
      <c r="V1150" s="3">
        <v>-66.37</v>
      </c>
      <c r="W1150" t="s">
        <v>324</v>
      </c>
      <c r="X1150" s="3">
        <v>-66.37</v>
      </c>
    </row>
    <row r="1151" spans="1:24" s="2" customFormat="1" x14ac:dyDescent="0.2">
      <c r="A1151">
        <v>1151</v>
      </c>
      <c r="B1151" t="s">
        <v>1393</v>
      </c>
      <c r="C1151" t="s">
        <v>1394</v>
      </c>
      <c r="D1151" t="s">
        <v>2048</v>
      </c>
      <c r="E1151" t="s">
        <v>30</v>
      </c>
      <c r="F1151" t="s">
        <v>24</v>
      </c>
      <c r="G1151" t="s">
        <v>25</v>
      </c>
      <c r="H1151" t="str">
        <f t="shared" si="34"/>
        <v xml:space="preserve">RESGATE DE PONTOS_TIAGO KOCH | Recorrência: | Observações: </v>
      </c>
      <c r="I1151" t="s">
        <v>491</v>
      </c>
      <c r="J1151" s="4">
        <v>128.71</v>
      </c>
      <c r="K1151" s="4">
        <v>534020.72</v>
      </c>
      <c r="L1151" t="s">
        <v>27</v>
      </c>
      <c r="M1151" s="4">
        <v>128.71</v>
      </c>
      <c r="N1151" s="3">
        <v>0</v>
      </c>
      <c r="O1151" t="s">
        <v>2044</v>
      </c>
      <c r="P1151" t="s">
        <v>2007</v>
      </c>
      <c r="Q1151" t="s">
        <v>2007</v>
      </c>
      <c r="R1151" t="str">
        <f t="shared" si="35"/>
        <v>Sim</v>
      </c>
      <c r="S1151" t="s">
        <v>2007</v>
      </c>
      <c r="T1151" t="s">
        <v>30</v>
      </c>
      <c r="U1151" t="s">
        <v>49</v>
      </c>
      <c r="V1151" s="3">
        <v>128.71</v>
      </c>
      <c r="W1151" t="s">
        <v>128</v>
      </c>
      <c r="X1151" s="3">
        <v>128.71</v>
      </c>
    </row>
    <row r="1152" spans="1:24" s="2" customFormat="1" x14ac:dyDescent="0.2">
      <c r="A1152" s="2">
        <v>1152</v>
      </c>
      <c r="B1152" t="s">
        <v>1304</v>
      </c>
      <c r="C1152" t="s">
        <v>1305</v>
      </c>
      <c r="D1152" t="s">
        <v>2049</v>
      </c>
      <c r="E1152" t="s">
        <v>266</v>
      </c>
      <c r="F1152" t="s">
        <v>24</v>
      </c>
      <c r="G1152" t="s">
        <v>25</v>
      </c>
      <c r="H1152" t="str">
        <f t="shared" si="34"/>
        <v xml:space="preserve">RT PROJETO TIAGO KOCHI♥JULIANA IWAMOTO - ORÇ 0115/22 + ADITIVOS | Recorrência:4/5 | Observações: </v>
      </c>
      <c r="I1152" t="s">
        <v>491</v>
      </c>
      <c r="J1152" s="4">
        <v>5852</v>
      </c>
      <c r="K1152" s="4">
        <v>539872.72</v>
      </c>
      <c r="L1152" t="s">
        <v>27</v>
      </c>
      <c r="M1152" s="4">
        <v>5852</v>
      </c>
      <c r="N1152" s="3">
        <v>0</v>
      </c>
      <c r="O1152" t="s">
        <v>2046</v>
      </c>
      <c r="P1152" t="s">
        <v>1932</v>
      </c>
      <c r="Q1152" t="s">
        <v>2046</v>
      </c>
      <c r="R1152" t="str">
        <f t="shared" si="35"/>
        <v>Sim</v>
      </c>
      <c r="S1152" t="s">
        <v>2046</v>
      </c>
      <c r="T1152" t="s">
        <v>30</v>
      </c>
      <c r="U1152" t="s">
        <v>49</v>
      </c>
      <c r="V1152" s="3">
        <v>5852</v>
      </c>
      <c r="W1152" t="s">
        <v>494</v>
      </c>
      <c r="X1152" s="3">
        <v>5852</v>
      </c>
    </row>
    <row r="1153" spans="1:24" s="2" customFormat="1" x14ac:dyDescent="0.2">
      <c r="A1153">
        <v>1153</v>
      </c>
      <c r="B1153" t="s">
        <v>1947</v>
      </c>
      <c r="C1153" t="s">
        <v>1948</v>
      </c>
      <c r="D1153" t="s">
        <v>2051</v>
      </c>
      <c r="E1153" t="s">
        <v>30</v>
      </c>
      <c r="F1153" t="s">
        <v>24</v>
      </c>
      <c r="G1153" t="s">
        <v>25</v>
      </c>
      <c r="H1153" t="str">
        <f t="shared" si="34"/>
        <v xml:space="preserve">3/3 - RT PEDIDO CRISTIANE UFLACKER♥RICARDO GALVÃO 3/3 | Recorrência: | Observações: </v>
      </c>
      <c r="I1153" t="s">
        <v>491</v>
      </c>
      <c r="J1153" s="4">
        <v>305.56</v>
      </c>
      <c r="K1153" s="4">
        <v>540178.28</v>
      </c>
      <c r="L1153" t="s">
        <v>27</v>
      </c>
      <c r="M1153" s="4">
        <v>305.56</v>
      </c>
      <c r="N1153" s="3">
        <v>0</v>
      </c>
      <c r="O1153" t="s">
        <v>2050</v>
      </c>
      <c r="P1153" t="s">
        <v>1870</v>
      </c>
      <c r="Q1153" t="s">
        <v>2052</v>
      </c>
      <c r="R1153" t="str">
        <f t="shared" si="35"/>
        <v>Sim</v>
      </c>
      <c r="S1153" t="s">
        <v>2052</v>
      </c>
      <c r="T1153" t="s">
        <v>30</v>
      </c>
      <c r="U1153" t="s">
        <v>49</v>
      </c>
      <c r="V1153" s="3">
        <v>305.56</v>
      </c>
      <c r="W1153" t="s">
        <v>494</v>
      </c>
      <c r="X1153" s="3">
        <v>305.56</v>
      </c>
    </row>
    <row r="1154" spans="1:24" s="2" customFormat="1" x14ac:dyDescent="0.2">
      <c r="A1154" s="2">
        <v>1154</v>
      </c>
      <c r="B1154"/>
      <c r="C1154" t="s">
        <v>2053</v>
      </c>
      <c r="D1154" t="s">
        <v>2054</v>
      </c>
      <c r="E1154" t="s">
        <v>30</v>
      </c>
      <c r="F1154" t="s">
        <v>24</v>
      </c>
      <c r="G1154" t="s">
        <v>25</v>
      </c>
      <c r="H1154" t="str">
        <f t="shared" si="34"/>
        <v xml:space="preserve">1/2 - PROJETO GUARUJÁ _ACAPULCO 1/2 | Recorrência: | Observações: </v>
      </c>
      <c r="I1154" t="s">
        <v>491</v>
      </c>
      <c r="J1154" s="4">
        <v>6000</v>
      </c>
      <c r="K1154" s="4">
        <v>546178.28</v>
      </c>
      <c r="L1154" t="s">
        <v>27</v>
      </c>
      <c r="M1154" s="4">
        <v>6000</v>
      </c>
      <c r="N1154" s="3">
        <v>0</v>
      </c>
      <c r="O1154" t="s">
        <v>2052</v>
      </c>
      <c r="P1154" t="s">
        <v>2020</v>
      </c>
      <c r="Q1154" t="s">
        <v>2035</v>
      </c>
      <c r="R1154" t="str">
        <f t="shared" si="35"/>
        <v>Sim</v>
      </c>
      <c r="S1154" t="s">
        <v>2035</v>
      </c>
      <c r="T1154" t="s">
        <v>30</v>
      </c>
      <c r="U1154" t="s">
        <v>40</v>
      </c>
      <c r="V1154" s="3">
        <v>6000</v>
      </c>
      <c r="W1154" t="s">
        <v>32</v>
      </c>
      <c r="X1154" s="3">
        <v>6000</v>
      </c>
    </row>
    <row r="1155" spans="1:24" s="2" customFormat="1" x14ac:dyDescent="0.2">
      <c r="A1155">
        <v>1155</v>
      </c>
      <c r="B1155" t="s">
        <v>1048</v>
      </c>
      <c r="C1155" t="s">
        <v>1049</v>
      </c>
      <c r="D1155" t="s">
        <v>1784</v>
      </c>
      <c r="E1155" t="s">
        <v>465</v>
      </c>
      <c r="F1155" t="s">
        <v>24</v>
      </c>
      <c r="G1155" t="s">
        <v>25</v>
      </c>
      <c r="H1155" t="str">
        <f t="shared" ref="H1155:H1218" si="36">D1155&amp;" | "&amp;$E$1&amp;E1155&amp;" | Observações: "&amp;T1155</f>
        <v>RT - ORÇ 0115122 - TIAGO KOCH ♥ JULIANA IWAMOTO | Recorrência:4/4 | Observações: PAGAMENTO RT SERÁ REALIZADO MEDIANTE AS CONDIÇÕES DE PAGAMENTO DO CLIENTE</v>
      </c>
      <c r="I1155" t="s">
        <v>491</v>
      </c>
      <c r="J1155" s="4">
        <v>1500</v>
      </c>
      <c r="K1155" s="4">
        <v>547678.28</v>
      </c>
      <c r="L1155" t="s">
        <v>27</v>
      </c>
      <c r="M1155" s="4">
        <v>1500</v>
      </c>
      <c r="N1155" s="3">
        <v>0</v>
      </c>
      <c r="O1155" t="s">
        <v>2035</v>
      </c>
      <c r="P1155" t="s">
        <v>1923</v>
      </c>
      <c r="Q1155" t="s">
        <v>2046</v>
      </c>
      <c r="R1155" t="str">
        <f t="shared" ref="R1155:R1218" si="37">IF(Q1155=S1155,"Sim","nao")</f>
        <v>Sim</v>
      </c>
      <c r="S1155" t="s">
        <v>2046</v>
      </c>
      <c r="T1155" t="s">
        <v>1698</v>
      </c>
      <c r="U1155" t="s">
        <v>49</v>
      </c>
      <c r="V1155" s="3">
        <v>1500</v>
      </c>
      <c r="W1155" t="s">
        <v>494</v>
      </c>
      <c r="X1155" s="3">
        <v>1500</v>
      </c>
    </row>
    <row r="1156" spans="1:24" s="2" customFormat="1" x14ac:dyDescent="0.2">
      <c r="A1156" s="2">
        <v>1156</v>
      </c>
      <c r="B1156" t="s">
        <v>1607</v>
      </c>
      <c r="C1156" t="s">
        <v>1608</v>
      </c>
      <c r="D1156" t="s">
        <v>2055</v>
      </c>
      <c r="E1156" t="s">
        <v>30</v>
      </c>
      <c r="F1156" t="s">
        <v>24</v>
      </c>
      <c r="G1156" t="s">
        <v>25</v>
      </c>
      <c r="H1156" t="str">
        <f t="shared" si="36"/>
        <v xml:space="preserve">RT TIAGO KOCH - PEDIDO 7119 | Recorrência: | Observações: </v>
      </c>
      <c r="I1156" t="s">
        <v>491</v>
      </c>
      <c r="J1156" s="4">
        <v>854</v>
      </c>
      <c r="K1156" s="4">
        <v>548532.28</v>
      </c>
      <c r="L1156" t="s">
        <v>27</v>
      </c>
      <c r="M1156" s="4">
        <v>854</v>
      </c>
      <c r="N1156" s="3">
        <v>0</v>
      </c>
      <c r="O1156" t="s">
        <v>2035</v>
      </c>
      <c r="P1156" t="s">
        <v>2052</v>
      </c>
      <c r="Q1156" t="s">
        <v>2035</v>
      </c>
      <c r="R1156" t="str">
        <f t="shared" si="37"/>
        <v>Sim</v>
      </c>
      <c r="S1156" t="s">
        <v>2035</v>
      </c>
      <c r="T1156" t="s">
        <v>30</v>
      </c>
      <c r="U1156" t="s">
        <v>49</v>
      </c>
      <c r="V1156" s="3">
        <v>854</v>
      </c>
      <c r="W1156" t="s">
        <v>494</v>
      </c>
      <c r="X1156" s="3">
        <v>854</v>
      </c>
    </row>
    <row r="1157" spans="1:24" s="2" customFormat="1" x14ac:dyDescent="0.2">
      <c r="A1157">
        <v>1157</v>
      </c>
      <c r="B1157"/>
      <c r="C1157" t="s">
        <v>153</v>
      </c>
      <c r="D1157" t="s">
        <v>2057</v>
      </c>
      <c r="E1157" t="s">
        <v>30</v>
      </c>
      <c r="F1157" t="s">
        <v>63</v>
      </c>
      <c r="G1157" t="s">
        <v>25</v>
      </c>
      <c r="H1157" t="str">
        <f t="shared" si="36"/>
        <v xml:space="preserve">8/11 - SALÁRIO - JULYA 8/12 | Recorrência: | Observações: </v>
      </c>
      <c r="I1157" t="s">
        <v>991</v>
      </c>
      <c r="J1157" s="5">
        <v>-3854.13</v>
      </c>
      <c r="K1157" s="4">
        <v>544678.15</v>
      </c>
      <c r="L1157" t="s">
        <v>27</v>
      </c>
      <c r="M1157" s="5">
        <v>-3854.13</v>
      </c>
      <c r="N1157" s="3">
        <v>0</v>
      </c>
      <c r="O1157" t="s">
        <v>2056</v>
      </c>
      <c r="P1157" t="s">
        <v>1457</v>
      </c>
      <c r="Q1157" t="s">
        <v>2058</v>
      </c>
      <c r="R1157" t="str">
        <f t="shared" si="37"/>
        <v>nao</v>
      </c>
      <c r="S1157" t="s">
        <v>2056</v>
      </c>
      <c r="T1157" t="s">
        <v>30</v>
      </c>
      <c r="U1157" t="s">
        <v>323</v>
      </c>
      <c r="V1157" s="3">
        <v>-3854.13</v>
      </c>
      <c r="W1157" t="s">
        <v>1164</v>
      </c>
      <c r="X1157" s="3">
        <v>-3854.13</v>
      </c>
    </row>
    <row r="1158" spans="1:24" s="2" customFormat="1" x14ac:dyDescent="0.2">
      <c r="A1158" s="2">
        <v>1158</v>
      </c>
      <c r="B1158" t="s">
        <v>647</v>
      </c>
      <c r="C1158" t="s">
        <v>648</v>
      </c>
      <c r="D1158" t="s">
        <v>2059</v>
      </c>
      <c r="E1158" t="s">
        <v>30</v>
      </c>
      <c r="F1158" t="s">
        <v>63</v>
      </c>
      <c r="G1158" t="s">
        <v>25</v>
      </c>
      <c r="H1158" t="str">
        <f t="shared" si="36"/>
        <v xml:space="preserve">3/12 - DARF IRPJ 3/12 | Recorrência: | Observações: </v>
      </c>
      <c r="I1158" t="s">
        <v>26</v>
      </c>
      <c r="J1158" s="5">
        <v>-709.59</v>
      </c>
      <c r="K1158" s="4">
        <v>543968.56000000006</v>
      </c>
      <c r="L1158" t="s">
        <v>27</v>
      </c>
      <c r="M1158" s="5">
        <v>-709.59</v>
      </c>
      <c r="N1158" s="3">
        <v>0</v>
      </c>
      <c r="O1158" t="s">
        <v>2020</v>
      </c>
      <c r="P1158" t="s">
        <v>1392</v>
      </c>
      <c r="Q1158" t="s">
        <v>2020</v>
      </c>
      <c r="R1158" t="str">
        <f t="shared" si="37"/>
        <v>Sim</v>
      </c>
      <c r="S1158" t="s">
        <v>2020</v>
      </c>
      <c r="T1158" t="s">
        <v>30</v>
      </c>
      <c r="U1158" t="s">
        <v>1508</v>
      </c>
      <c r="V1158" s="3">
        <v>-709.59</v>
      </c>
      <c r="W1158" t="s">
        <v>1115</v>
      </c>
      <c r="X1158" s="3">
        <v>-709.59</v>
      </c>
    </row>
    <row r="1159" spans="1:24" s="2" customFormat="1" x14ac:dyDescent="0.2">
      <c r="A1159">
        <v>1159</v>
      </c>
      <c r="B1159" t="s">
        <v>647</v>
      </c>
      <c r="C1159" t="s">
        <v>648</v>
      </c>
      <c r="D1159" t="s">
        <v>2060</v>
      </c>
      <c r="E1159" t="s">
        <v>30</v>
      </c>
      <c r="F1159" t="s">
        <v>63</v>
      </c>
      <c r="G1159" t="s">
        <v>25</v>
      </c>
      <c r="H1159" t="str">
        <f t="shared" si="36"/>
        <v xml:space="preserve">3/11 - DARF CSLL 3/12 | Recorrência: | Observações: </v>
      </c>
      <c r="I1159" t="s">
        <v>26</v>
      </c>
      <c r="J1159" s="5">
        <v>-1694.78</v>
      </c>
      <c r="K1159" s="4">
        <v>542273.78</v>
      </c>
      <c r="L1159" t="s">
        <v>27</v>
      </c>
      <c r="M1159" s="5">
        <v>-1694.78</v>
      </c>
      <c r="N1159" s="3">
        <v>0</v>
      </c>
      <c r="O1159" t="s">
        <v>2020</v>
      </c>
      <c r="P1159" t="s">
        <v>1391</v>
      </c>
      <c r="Q1159" t="s">
        <v>2020</v>
      </c>
      <c r="R1159" t="str">
        <f t="shared" si="37"/>
        <v>Sim</v>
      </c>
      <c r="S1159" t="s">
        <v>2020</v>
      </c>
      <c r="T1159" t="s">
        <v>30</v>
      </c>
      <c r="U1159" t="s">
        <v>728</v>
      </c>
      <c r="V1159" s="3">
        <v>-1694.78</v>
      </c>
      <c r="W1159" t="s">
        <v>1115</v>
      </c>
      <c r="X1159" s="3">
        <v>-1694.78</v>
      </c>
    </row>
    <row r="1160" spans="1:24" s="2" customFormat="1" x14ac:dyDescent="0.2">
      <c r="A1160" s="2">
        <v>1160</v>
      </c>
      <c r="B1160"/>
      <c r="C1160" t="s">
        <v>710</v>
      </c>
      <c r="D1160" t="s">
        <v>1978</v>
      </c>
      <c r="E1160" t="s">
        <v>730</v>
      </c>
      <c r="F1160" t="s">
        <v>63</v>
      </c>
      <c r="G1160" t="s">
        <v>25</v>
      </c>
      <c r="H1160" t="str">
        <f t="shared" si="36"/>
        <v xml:space="preserve">ENÉRGIA ELETRICA | Recorrência:7/12 | Observações: </v>
      </c>
      <c r="I1160" t="s">
        <v>26</v>
      </c>
      <c r="J1160" s="5">
        <v>-220.97</v>
      </c>
      <c r="K1160" s="4">
        <v>542052.81000000006</v>
      </c>
      <c r="L1160" t="s">
        <v>27</v>
      </c>
      <c r="M1160" s="5">
        <v>-220.97</v>
      </c>
      <c r="N1160" s="3">
        <v>0</v>
      </c>
      <c r="O1160" t="s">
        <v>2020</v>
      </c>
      <c r="P1160" t="s">
        <v>2020</v>
      </c>
      <c r="Q1160" t="s">
        <v>2020</v>
      </c>
      <c r="R1160" t="str">
        <f t="shared" si="37"/>
        <v>nao</v>
      </c>
      <c r="S1160" t="s">
        <v>2056</v>
      </c>
      <c r="T1160" t="s">
        <v>30</v>
      </c>
      <c r="U1160" t="s">
        <v>125</v>
      </c>
      <c r="V1160" s="3">
        <v>-220.97</v>
      </c>
      <c r="W1160" t="s">
        <v>125</v>
      </c>
      <c r="X1160" s="3">
        <v>-220.97</v>
      </c>
    </row>
    <row r="1161" spans="1:24" s="2" customFormat="1" x14ac:dyDescent="0.2">
      <c r="A1161">
        <v>1161</v>
      </c>
      <c r="B1161"/>
      <c r="C1161" t="s">
        <v>828</v>
      </c>
      <c r="D1161" t="s">
        <v>830</v>
      </c>
      <c r="E1161" t="s">
        <v>2061</v>
      </c>
      <c r="F1161" t="s">
        <v>63</v>
      </c>
      <c r="G1161" t="s">
        <v>25</v>
      </c>
      <c r="H1161" t="str">
        <f t="shared" si="36"/>
        <v>PREFEITURA DO MUNICIPIO DE BERTIOGA | Recorrência:17/41 | Observações: Pagamento ok &gt; não saiu o comprovante na impressão  &gt; Confirmado por Mayara pagamento OK</v>
      </c>
      <c r="I1161" t="s">
        <v>26</v>
      </c>
      <c r="J1161" s="5">
        <v>-232.16</v>
      </c>
      <c r="K1161" s="4">
        <v>541820.65</v>
      </c>
      <c r="L1161" t="s">
        <v>27</v>
      </c>
      <c r="M1161" s="5">
        <v>-232.16</v>
      </c>
      <c r="N1161" s="3">
        <v>0</v>
      </c>
      <c r="O1161" t="s">
        <v>2020</v>
      </c>
      <c r="P1161" t="s">
        <v>2062</v>
      </c>
      <c r="Q1161" t="s">
        <v>2020</v>
      </c>
      <c r="R1161" t="str">
        <f t="shared" si="37"/>
        <v>Sim</v>
      </c>
      <c r="S1161" t="s">
        <v>2020</v>
      </c>
      <c r="T1161" t="s">
        <v>2063</v>
      </c>
      <c r="U1161" t="s">
        <v>832</v>
      </c>
      <c r="V1161" s="3">
        <v>-232.16</v>
      </c>
      <c r="W1161" t="s">
        <v>376</v>
      </c>
      <c r="X1161" s="3">
        <v>-232.16</v>
      </c>
    </row>
    <row r="1162" spans="1:24" s="2" customFormat="1" x14ac:dyDescent="0.2">
      <c r="A1162" s="2">
        <v>1162</v>
      </c>
      <c r="B1162"/>
      <c r="C1162" t="s">
        <v>153</v>
      </c>
      <c r="D1162" t="s">
        <v>2064</v>
      </c>
      <c r="E1162" t="s">
        <v>30</v>
      </c>
      <c r="F1162" t="s">
        <v>63</v>
      </c>
      <c r="G1162" t="s">
        <v>25</v>
      </c>
      <c r="H1162" t="str">
        <f t="shared" si="36"/>
        <v xml:space="preserve">8/12 - PRÓ LABORE MAYARA 8/12 | Recorrência: | Observações: </v>
      </c>
      <c r="I1162" t="s">
        <v>30</v>
      </c>
      <c r="J1162" s="5">
        <v>-15000</v>
      </c>
      <c r="K1162" s="4">
        <v>526820.65</v>
      </c>
      <c r="L1162" t="s">
        <v>27</v>
      </c>
      <c r="M1162" s="5">
        <v>-15000</v>
      </c>
      <c r="N1162" s="3">
        <v>0</v>
      </c>
      <c r="O1162" t="s">
        <v>2020</v>
      </c>
      <c r="P1162" t="s">
        <v>1457</v>
      </c>
      <c r="Q1162" t="s">
        <v>2058</v>
      </c>
      <c r="R1162" t="str">
        <f t="shared" si="37"/>
        <v>nao</v>
      </c>
      <c r="S1162" t="s">
        <v>2020</v>
      </c>
      <c r="T1162" t="s">
        <v>30</v>
      </c>
      <c r="U1162" t="s">
        <v>631</v>
      </c>
      <c r="V1162" s="3">
        <v>-15000</v>
      </c>
      <c r="W1162" t="s">
        <v>1164</v>
      </c>
      <c r="X1162" s="3">
        <v>-15000</v>
      </c>
    </row>
    <row r="1163" spans="1:24" s="2" customFormat="1" x14ac:dyDescent="0.2">
      <c r="A1163">
        <v>1163</v>
      </c>
      <c r="B1163"/>
      <c r="C1163" t="s">
        <v>153</v>
      </c>
      <c r="D1163" t="s">
        <v>2065</v>
      </c>
      <c r="E1163" t="s">
        <v>30</v>
      </c>
      <c r="F1163" t="s">
        <v>63</v>
      </c>
      <c r="G1163" t="s">
        <v>25</v>
      </c>
      <c r="H1163" t="str">
        <f t="shared" si="36"/>
        <v xml:space="preserve">8/12 - PRÓ LABORE - NATASHA 8/12 | Recorrência: | Observações: </v>
      </c>
      <c r="I1163" t="s">
        <v>30</v>
      </c>
      <c r="J1163" s="5">
        <v>-15000</v>
      </c>
      <c r="K1163" s="4">
        <v>511820.65</v>
      </c>
      <c r="L1163" t="s">
        <v>27</v>
      </c>
      <c r="M1163" s="5">
        <v>-15000</v>
      </c>
      <c r="N1163" s="3">
        <v>0</v>
      </c>
      <c r="O1163" t="s">
        <v>2020</v>
      </c>
      <c r="P1163" t="s">
        <v>1457</v>
      </c>
      <c r="Q1163" t="s">
        <v>2058</v>
      </c>
      <c r="R1163" t="str">
        <f t="shared" si="37"/>
        <v>nao</v>
      </c>
      <c r="S1163" t="s">
        <v>2020</v>
      </c>
      <c r="T1163" t="s">
        <v>30</v>
      </c>
      <c r="U1163" t="s">
        <v>631</v>
      </c>
      <c r="V1163" s="3">
        <v>-15000</v>
      </c>
      <c r="W1163" t="s">
        <v>1164</v>
      </c>
      <c r="X1163" s="3">
        <v>-15000</v>
      </c>
    </row>
    <row r="1164" spans="1:24" s="2" customFormat="1" x14ac:dyDescent="0.2">
      <c r="A1164" s="2">
        <v>1164</v>
      </c>
      <c r="B1164"/>
      <c r="C1164" t="s">
        <v>153</v>
      </c>
      <c r="D1164" t="s">
        <v>2066</v>
      </c>
      <c r="E1164" t="s">
        <v>730</v>
      </c>
      <c r="F1164" t="s">
        <v>63</v>
      </c>
      <c r="G1164" t="s">
        <v>25</v>
      </c>
      <c r="H1164" t="str">
        <f t="shared" si="36"/>
        <v>DIÁRIAS  JULIANA SOARES - REFERENTE JULHO | Recorrência:7/12 | Observações: DIÁRIAS: 03-11-18 E 26 JANEIRO</v>
      </c>
      <c r="I1164" t="s">
        <v>491</v>
      </c>
      <c r="J1164" s="5">
        <v>-480</v>
      </c>
      <c r="K1164" s="4">
        <v>511340.65</v>
      </c>
      <c r="L1164" t="s">
        <v>27</v>
      </c>
      <c r="M1164" s="5">
        <v>-480</v>
      </c>
      <c r="N1164" s="3">
        <v>0</v>
      </c>
      <c r="O1164" t="s">
        <v>2020</v>
      </c>
      <c r="P1164" t="s">
        <v>1928</v>
      </c>
      <c r="Q1164" t="s">
        <v>2020</v>
      </c>
      <c r="R1164" t="str">
        <f t="shared" si="37"/>
        <v>nao</v>
      </c>
      <c r="S1164" t="s">
        <v>1928</v>
      </c>
      <c r="T1164" t="s">
        <v>1668</v>
      </c>
      <c r="U1164" t="s">
        <v>691</v>
      </c>
      <c r="V1164" s="3">
        <v>-480</v>
      </c>
      <c r="W1164" t="s">
        <v>1058</v>
      </c>
      <c r="X1164" s="3">
        <v>-480</v>
      </c>
    </row>
    <row r="1165" spans="1:24" s="2" customFormat="1" x14ac:dyDescent="0.2">
      <c r="A1165">
        <v>1165</v>
      </c>
      <c r="B1165"/>
      <c r="C1165" t="s">
        <v>2067</v>
      </c>
      <c r="D1165" t="s">
        <v>1746</v>
      </c>
      <c r="E1165" t="s">
        <v>30</v>
      </c>
      <c r="F1165" t="s">
        <v>24</v>
      </c>
      <c r="G1165" t="s">
        <v>25</v>
      </c>
      <c r="H1165" t="str">
        <f t="shared" si="36"/>
        <v>RT LUCIENE GIL MARCHI | Recorrência: | Observações: Ronaldo teve um AVC e por eta razão, a Glaucia solicitou prorrogação para JUNHO 
Ronaldo Cortinas Persianas Elétricas -   11 99477-4330</v>
      </c>
      <c r="I1165" t="s">
        <v>491</v>
      </c>
      <c r="J1165" s="4">
        <v>1030</v>
      </c>
      <c r="K1165" s="4">
        <v>512370.65</v>
      </c>
      <c r="L1165" t="s">
        <v>27</v>
      </c>
      <c r="M1165" s="4">
        <v>1030</v>
      </c>
      <c r="N1165" s="3">
        <v>0</v>
      </c>
      <c r="O1165" t="s">
        <v>2058</v>
      </c>
      <c r="P1165" t="s">
        <v>1859</v>
      </c>
      <c r="Q1165" t="s">
        <v>2058</v>
      </c>
      <c r="R1165" t="str">
        <f t="shared" si="37"/>
        <v>nao</v>
      </c>
      <c r="S1165" t="s">
        <v>2052</v>
      </c>
      <c r="T1165" t="s">
        <v>2068</v>
      </c>
      <c r="U1165" t="s">
        <v>49</v>
      </c>
      <c r="V1165" s="3">
        <v>1030</v>
      </c>
      <c r="W1165" t="s">
        <v>494</v>
      </c>
      <c r="X1165" s="3">
        <v>1030</v>
      </c>
    </row>
    <row r="1166" spans="1:24" s="2" customFormat="1" x14ac:dyDescent="0.2">
      <c r="A1166" s="2">
        <v>1166</v>
      </c>
      <c r="B1166" t="s">
        <v>1987</v>
      </c>
      <c r="C1166" t="s">
        <v>1988</v>
      </c>
      <c r="D1166" t="s">
        <v>2069</v>
      </c>
      <c r="E1166" t="s">
        <v>30</v>
      </c>
      <c r="F1166" t="s">
        <v>63</v>
      </c>
      <c r="G1166" t="s">
        <v>25</v>
      </c>
      <c r="H1166" t="str">
        <f t="shared" si="36"/>
        <v>2/2 - COMISSÃO PROJETO MARCELO COSTA 2/2 | Recorrência: | Observações: COMISSÃO 5% DO PROJETO DO CLIENTE MARCELO COSTA -VALOR PROJETO R$ 7.500,00 FECHADO EM 2X</v>
      </c>
      <c r="I1166" t="s">
        <v>491</v>
      </c>
      <c r="J1166" s="5">
        <v>-187.5</v>
      </c>
      <c r="K1166" s="4">
        <v>512183.15</v>
      </c>
      <c r="L1166" t="s">
        <v>27</v>
      </c>
      <c r="M1166" s="5">
        <v>-187.5</v>
      </c>
      <c r="N1166" s="3">
        <v>0</v>
      </c>
      <c r="O1166" t="s">
        <v>2058</v>
      </c>
      <c r="P1166" t="s">
        <v>1963</v>
      </c>
      <c r="Q1166" t="s">
        <v>2058</v>
      </c>
      <c r="R1166" t="str">
        <f t="shared" si="37"/>
        <v>Sim</v>
      </c>
      <c r="S1166" t="s">
        <v>2058</v>
      </c>
      <c r="T1166" t="s">
        <v>1990</v>
      </c>
      <c r="U1166" t="s">
        <v>1991</v>
      </c>
      <c r="V1166" s="3">
        <v>-187.5</v>
      </c>
      <c r="W1166" t="s">
        <v>1722</v>
      </c>
      <c r="X1166" s="3">
        <v>-187.5</v>
      </c>
    </row>
    <row r="1167" spans="1:24" s="2" customFormat="1" x14ac:dyDescent="0.2">
      <c r="A1167">
        <v>1167</v>
      </c>
      <c r="B1167" t="s">
        <v>1987</v>
      </c>
      <c r="C1167" t="s">
        <v>1988</v>
      </c>
      <c r="D1167" t="s">
        <v>2070</v>
      </c>
      <c r="E1167" t="s">
        <v>30</v>
      </c>
      <c r="F1167" t="s">
        <v>63</v>
      </c>
      <c r="G1167" t="s">
        <v>25</v>
      </c>
      <c r="H1167" t="str">
        <f t="shared" si="36"/>
        <v>2/3 - COMISSÃO PROJETO STEPHANIE E ENRICO GUARUJA 2/3 | Recorrência: | Observações: COMISSÃO DE 5% DO PROJETO STEPHANIE E ENRICO GUARUJA
TOTAL PROJETO R$ 9.000,00 PAGO EM 3X</v>
      </c>
      <c r="I1167" t="s">
        <v>491</v>
      </c>
      <c r="J1167" s="5">
        <v>-150</v>
      </c>
      <c r="K1167" s="4">
        <v>512033.15</v>
      </c>
      <c r="L1167" t="s">
        <v>27</v>
      </c>
      <c r="M1167" s="5">
        <v>-150</v>
      </c>
      <c r="N1167" s="3">
        <v>0</v>
      </c>
      <c r="O1167" t="s">
        <v>2058</v>
      </c>
      <c r="P1167" t="s">
        <v>1928</v>
      </c>
      <c r="Q1167" t="s">
        <v>2058</v>
      </c>
      <c r="R1167" t="str">
        <f t="shared" si="37"/>
        <v>Sim</v>
      </c>
      <c r="S1167" t="s">
        <v>2058</v>
      </c>
      <c r="T1167" t="s">
        <v>1993</v>
      </c>
      <c r="U1167" t="s">
        <v>1991</v>
      </c>
      <c r="V1167" s="3">
        <v>-150</v>
      </c>
      <c r="W1167" t="s">
        <v>1722</v>
      </c>
      <c r="X1167" s="3">
        <v>-150</v>
      </c>
    </row>
    <row r="1168" spans="1:24" s="2" customFormat="1" x14ac:dyDescent="0.2">
      <c r="A1168" s="2">
        <v>1168</v>
      </c>
      <c r="B1168" t="s">
        <v>1987</v>
      </c>
      <c r="C1168" t="s">
        <v>1988</v>
      </c>
      <c r="D1168" t="s">
        <v>2071</v>
      </c>
      <c r="E1168" t="s">
        <v>30</v>
      </c>
      <c r="F1168" t="s">
        <v>63</v>
      </c>
      <c r="G1168" t="s">
        <v>25</v>
      </c>
      <c r="H1168" t="str">
        <f t="shared" si="36"/>
        <v>2/2 - COMISSÃO PROJETO ENTRE PRISE 2/2 | Recorrência: | Observações: COMISSÃO 5% PROJETO EDIFICIO ENTERPRISE
VALOR PROJETO : R$ 1.500,00 EM 2X</v>
      </c>
      <c r="I1168" t="s">
        <v>491</v>
      </c>
      <c r="J1168" s="5">
        <v>-37.5</v>
      </c>
      <c r="K1168" s="4">
        <v>511995.65</v>
      </c>
      <c r="L1168" t="s">
        <v>27</v>
      </c>
      <c r="M1168" s="5">
        <v>-37.5</v>
      </c>
      <c r="N1168" s="3">
        <v>0</v>
      </c>
      <c r="O1168" t="s">
        <v>2058</v>
      </c>
      <c r="P1168" t="s">
        <v>1963</v>
      </c>
      <c r="Q1168" t="s">
        <v>2058</v>
      </c>
      <c r="R1168" t="str">
        <f t="shared" si="37"/>
        <v>Sim</v>
      </c>
      <c r="S1168" t="s">
        <v>2058</v>
      </c>
      <c r="T1168" t="s">
        <v>1995</v>
      </c>
      <c r="U1168" t="s">
        <v>1991</v>
      </c>
      <c r="V1168" s="3">
        <v>-37.5</v>
      </c>
      <c r="W1168" t="s">
        <v>1722</v>
      </c>
      <c r="X1168" s="3">
        <v>-37.5</v>
      </c>
    </row>
    <row r="1169" spans="1:24" s="2" customFormat="1" x14ac:dyDescent="0.2">
      <c r="A1169">
        <v>1169</v>
      </c>
      <c r="B1169" t="s">
        <v>1987</v>
      </c>
      <c r="C1169" t="s">
        <v>1988</v>
      </c>
      <c r="D1169" t="s">
        <v>2072</v>
      </c>
      <c r="E1169" t="s">
        <v>30</v>
      </c>
      <c r="F1169" t="s">
        <v>63</v>
      </c>
      <c r="G1169" t="s">
        <v>25</v>
      </c>
      <c r="H1169" t="str">
        <f t="shared" si="36"/>
        <v>1/3 - COMISSÃO VERA  1/3 | Recorrência: | Observações: COMISSÃO CLIENTE VERA PARASMO 
5% VALOR PROJETO R$ 9.000,00 =R$ 450,00 EM 3X</v>
      </c>
      <c r="I1169" t="s">
        <v>30</v>
      </c>
      <c r="J1169" s="5">
        <v>-150</v>
      </c>
      <c r="K1169" s="4">
        <v>511845.65</v>
      </c>
      <c r="L1169" t="s">
        <v>27</v>
      </c>
      <c r="M1169" s="5">
        <v>-150</v>
      </c>
      <c r="N1169" s="3">
        <v>0</v>
      </c>
      <c r="O1169" t="s">
        <v>2058</v>
      </c>
      <c r="P1169" t="s">
        <v>2015</v>
      </c>
      <c r="Q1169" t="s">
        <v>2058</v>
      </c>
      <c r="R1169" t="str">
        <f t="shared" si="37"/>
        <v>Sim</v>
      </c>
      <c r="S1169" t="s">
        <v>2058</v>
      </c>
      <c r="T1169" t="s">
        <v>2073</v>
      </c>
      <c r="U1169" t="s">
        <v>1991</v>
      </c>
      <c r="V1169" s="3">
        <v>-150</v>
      </c>
      <c r="W1169" t="s">
        <v>1722</v>
      </c>
      <c r="X1169" s="3">
        <v>-150</v>
      </c>
    </row>
    <row r="1170" spans="1:24" s="2" customFormat="1" x14ac:dyDescent="0.2">
      <c r="A1170" s="2">
        <v>1170</v>
      </c>
      <c r="B1170"/>
      <c r="C1170" t="s">
        <v>153</v>
      </c>
      <c r="D1170" t="s">
        <v>2074</v>
      </c>
      <c r="E1170" t="s">
        <v>30</v>
      </c>
      <c r="F1170" t="s">
        <v>63</v>
      </c>
      <c r="G1170" t="s">
        <v>25</v>
      </c>
      <c r="H1170" t="str">
        <f t="shared" si="36"/>
        <v xml:space="preserve">8/10 - ELIANE - VALE TRANSPORTE 8/12 | Recorrência: | Observações: </v>
      </c>
      <c r="I1170" t="s">
        <v>491</v>
      </c>
      <c r="J1170" s="5">
        <v>-404.8</v>
      </c>
      <c r="K1170" s="4">
        <v>511440.85</v>
      </c>
      <c r="L1170" t="s">
        <v>27</v>
      </c>
      <c r="M1170" s="5">
        <v>-404.8</v>
      </c>
      <c r="N1170" s="3">
        <v>0</v>
      </c>
      <c r="O1170" t="s">
        <v>2058</v>
      </c>
      <c r="P1170" t="s">
        <v>1500</v>
      </c>
      <c r="Q1170" t="s">
        <v>2020</v>
      </c>
      <c r="R1170" t="str">
        <f t="shared" si="37"/>
        <v>Sim</v>
      </c>
      <c r="S1170" t="s">
        <v>2020</v>
      </c>
      <c r="T1170" t="s">
        <v>30</v>
      </c>
      <c r="U1170" t="s">
        <v>698</v>
      </c>
      <c r="V1170" s="3">
        <v>-404.8</v>
      </c>
      <c r="W1170" t="s">
        <v>698</v>
      </c>
      <c r="X1170" s="3">
        <v>-404.8</v>
      </c>
    </row>
    <row r="1171" spans="1:24" s="2" customFormat="1" x14ac:dyDescent="0.2">
      <c r="A1171">
        <v>1171</v>
      </c>
      <c r="B1171"/>
      <c r="C1171" t="s">
        <v>153</v>
      </c>
      <c r="D1171" t="s">
        <v>1910</v>
      </c>
      <c r="E1171" t="s">
        <v>2075</v>
      </c>
      <c r="F1171" t="s">
        <v>63</v>
      </c>
      <c r="G1171" t="s">
        <v>25</v>
      </c>
      <c r="H1171" t="str">
        <f t="shared" si="36"/>
        <v xml:space="preserve">SALÁRIO_MAYARA OLIVEIRA | Recorrência:4/7 | Observações: </v>
      </c>
      <c r="I1171" t="s">
        <v>491</v>
      </c>
      <c r="J1171" s="5">
        <v>-2750</v>
      </c>
      <c r="K1171" s="4">
        <v>508690.85</v>
      </c>
      <c r="L1171" t="s">
        <v>27</v>
      </c>
      <c r="M1171" s="5">
        <v>-2750</v>
      </c>
      <c r="N1171" s="3">
        <v>0</v>
      </c>
      <c r="O1171" t="s">
        <v>2058</v>
      </c>
      <c r="P1171" t="s">
        <v>1928</v>
      </c>
      <c r="Q1171" t="s">
        <v>2058</v>
      </c>
      <c r="R1171" t="str">
        <f t="shared" si="37"/>
        <v>Sim</v>
      </c>
      <c r="S1171" t="s">
        <v>2058</v>
      </c>
      <c r="T1171" t="s">
        <v>30</v>
      </c>
      <c r="U1171" t="s">
        <v>323</v>
      </c>
      <c r="V1171" s="3">
        <v>-2750</v>
      </c>
      <c r="W1171" t="s">
        <v>1043</v>
      </c>
      <c r="X1171" s="3">
        <v>-2750</v>
      </c>
    </row>
    <row r="1172" spans="1:24" s="2" customFormat="1" x14ac:dyDescent="0.2">
      <c r="A1172" s="2">
        <v>1172</v>
      </c>
      <c r="B1172"/>
      <c r="C1172" t="s">
        <v>153</v>
      </c>
      <c r="D1172" t="s">
        <v>636</v>
      </c>
      <c r="E1172" t="s">
        <v>778</v>
      </c>
      <c r="F1172" t="s">
        <v>63</v>
      </c>
      <c r="G1172" t="s">
        <v>25</v>
      </c>
      <c r="H1172" t="str">
        <f t="shared" si="36"/>
        <v xml:space="preserve">SALÁRIO ELIANE | Recorrência:8/12 | Observações: </v>
      </c>
      <c r="I1172" t="s">
        <v>491</v>
      </c>
      <c r="J1172" s="5">
        <v>-1615.23</v>
      </c>
      <c r="K1172" s="4">
        <v>507075.62</v>
      </c>
      <c r="L1172" t="s">
        <v>27</v>
      </c>
      <c r="M1172" s="5">
        <v>-1615.23</v>
      </c>
      <c r="N1172" s="3">
        <v>0</v>
      </c>
      <c r="O1172" t="s">
        <v>2001</v>
      </c>
      <c r="P1172" t="s">
        <v>2076</v>
      </c>
      <c r="Q1172" t="s">
        <v>2001</v>
      </c>
      <c r="R1172" t="str">
        <f t="shared" si="37"/>
        <v>nao</v>
      </c>
      <c r="S1172" t="s">
        <v>2058</v>
      </c>
      <c r="T1172" t="s">
        <v>30</v>
      </c>
      <c r="U1172" t="s">
        <v>323</v>
      </c>
      <c r="V1172" s="3">
        <v>-1615.23</v>
      </c>
      <c r="W1172" t="s">
        <v>1164</v>
      </c>
      <c r="X1172" s="3">
        <v>-1615.23</v>
      </c>
    </row>
    <row r="1173" spans="1:24" s="2" customFormat="1" x14ac:dyDescent="0.2">
      <c r="A1173">
        <v>1173</v>
      </c>
      <c r="B1173"/>
      <c r="C1173" t="s">
        <v>153</v>
      </c>
      <c r="D1173" t="s">
        <v>1585</v>
      </c>
      <c r="E1173" t="s">
        <v>730</v>
      </c>
      <c r="F1173" t="s">
        <v>63</v>
      </c>
      <c r="G1173" t="s">
        <v>25</v>
      </c>
      <c r="H1173" t="str">
        <f t="shared" si="36"/>
        <v xml:space="preserve">SODEXO - ELIANE | Recorrência:7/12 | Observações: </v>
      </c>
      <c r="I1173" t="s">
        <v>26</v>
      </c>
      <c r="J1173" s="5">
        <v>-668.15</v>
      </c>
      <c r="K1173" s="4">
        <v>506407.47</v>
      </c>
      <c r="L1173" t="s">
        <v>27</v>
      </c>
      <c r="M1173" s="5">
        <v>-668.15</v>
      </c>
      <c r="N1173" s="3">
        <v>0</v>
      </c>
      <c r="O1173" t="s">
        <v>2001</v>
      </c>
      <c r="P1173" t="s">
        <v>2056</v>
      </c>
      <c r="Q1173" t="s">
        <v>2001</v>
      </c>
      <c r="R1173" t="str">
        <f t="shared" si="37"/>
        <v>Sim</v>
      </c>
      <c r="S1173" t="s">
        <v>2001</v>
      </c>
      <c r="T1173" t="s">
        <v>30</v>
      </c>
      <c r="U1173" t="s">
        <v>93</v>
      </c>
      <c r="V1173" s="3">
        <v>-668.15</v>
      </c>
      <c r="W1173" t="s">
        <v>331</v>
      </c>
      <c r="X1173" s="3">
        <v>-668.15</v>
      </c>
    </row>
    <row r="1174" spans="1:24" s="2" customFormat="1" x14ac:dyDescent="0.2">
      <c r="A1174" s="2">
        <v>1174</v>
      </c>
      <c r="B1174"/>
      <c r="C1174" t="s">
        <v>574</v>
      </c>
      <c r="D1174" t="s">
        <v>1533</v>
      </c>
      <c r="E1174" t="s">
        <v>778</v>
      </c>
      <c r="F1174" t="s">
        <v>63</v>
      </c>
      <c r="G1174" t="s">
        <v>25</v>
      </c>
      <c r="H1174" t="str">
        <f t="shared" si="36"/>
        <v xml:space="preserve">CONDOMINIO + ALUGUEL | Recorrência:8/12 | Observações: </v>
      </c>
      <c r="I1174" t="s">
        <v>26</v>
      </c>
      <c r="J1174" s="5">
        <v>-6387.32</v>
      </c>
      <c r="K1174" s="4">
        <v>500020.15</v>
      </c>
      <c r="L1174" t="s">
        <v>27</v>
      </c>
      <c r="M1174" s="5">
        <v>-6387.32</v>
      </c>
      <c r="N1174" s="3">
        <v>0</v>
      </c>
      <c r="O1174" t="s">
        <v>2077</v>
      </c>
      <c r="P1174" t="s">
        <v>2078</v>
      </c>
      <c r="Q1174" t="s">
        <v>2079</v>
      </c>
      <c r="R1174" t="str">
        <f t="shared" si="37"/>
        <v>Sim</v>
      </c>
      <c r="S1174" t="s">
        <v>2079</v>
      </c>
      <c r="T1174" t="s">
        <v>30</v>
      </c>
      <c r="U1174" t="s">
        <v>571</v>
      </c>
      <c r="V1174" s="3">
        <v>-6387.32</v>
      </c>
      <c r="W1174" t="s">
        <v>1058</v>
      </c>
      <c r="X1174" s="3">
        <v>-6387.32</v>
      </c>
    </row>
    <row r="1175" spans="1:24" s="2" customFormat="1" x14ac:dyDescent="0.2">
      <c r="A1175">
        <v>1175</v>
      </c>
      <c r="B1175" t="s">
        <v>647</v>
      </c>
      <c r="C1175" t="s">
        <v>648</v>
      </c>
      <c r="D1175" t="s">
        <v>2080</v>
      </c>
      <c r="E1175" t="s">
        <v>30</v>
      </c>
      <c r="F1175" t="s">
        <v>63</v>
      </c>
      <c r="G1175" t="s">
        <v>25</v>
      </c>
      <c r="H1175" t="str">
        <f t="shared" si="36"/>
        <v xml:space="preserve">8/35 - DARF ISS 8/36 | Recorrência: | Observações: </v>
      </c>
      <c r="I1175" t="s">
        <v>26</v>
      </c>
      <c r="J1175" s="5">
        <v>-992.93</v>
      </c>
      <c r="K1175" s="4">
        <v>499027.22</v>
      </c>
      <c r="L1175" t="s">
        <v>27</v>
      </c>
      <c r="M1175" s="5">
        <v>-992.93</v>
      </c>
      <c r="N1175" s="3">
        <v>0</v>
      </c>
      <c r="O1175" t="s">
        <v>2077</v>
      </c>
      <c r="P1175" t="s">
        <v>1474</v>
      </c>
      <c r="Q1175" t="s">
        <v>2077</v>
      </c>
      <c r="R1175" t="str">
        <f t="shared" si="37"/>
        <v>Sim</v>
      </c>
      <c r="S1175" t="s">
        <v>2077</v>
      </c>
      <c r="T1175" t="s">
        <v>30</v>
      </c>
      <c r="U1175" t="s">
        <v>1098</v>
      </c>
      <c r="V1175" s="3">
        <v>-992.93</v>
      </c>
      <c r="W1175" t="s">
        <v>324</v>
      </c>
      <c r="X1175" s="3">
        <v>-992.93</v>
      </c>
    </row>
    <row r="1176" spans="1:24" s="2" customFormat="1" x14ac:dyDescent="0.2">
      <c r="A1176" s="2">
        <v>1176</v>
      </c>
      <c r="B1176" t="s">
        <v>2081</v>
      </c>
      <c r="C1176" t="s">
        <v>2082</v>
      </c>
      <c r="D1176" t="s">
        <v>2083</v>
      </c>
      <c r="E1176" t="s">
        <v>30</v>
      </c>
      <c r="F1176" t="s">
        <v>63</v>
      </c>
      <c r="G1176" t="s">
        <v>25</v>
      </c>
      <c r="H1176" t="str">
        <f t="shared" si="36"/>
        <v xml:space="preserve">REFIL &gt; FILTRO DE ÁGUA | Recorrência: | Observações: </v>
      </c>
      <c r="I1176" t="s">
        <v>1219</v>
      </c>
      <c r="J1176" s="5">
        <v>-89.9</v>
      </c>
      <c r="K1176" s="4">
        <v>498937.32</v>
      </c>
      <c r="L1176" t="s">
        <v>27</v>
      </c>
      <c r="M1176" s="5">
        <v>-89.9</v>
      </c>
      <c r="N1176" s="3">
        <v>0</v>
      </c>
      <c r="O1176" t="s">
        <v>2079</v>
      </c>
      <c r="P1176" t="s">
        <v>2037</v>
      </c>
      <c r="Q1176" t="s">
        <v>2079</v>
      </c>
      <c r="R1176" t="str">
        <f t="shared" si="37"/>
        <v>Sim</v>
      </c>
      <c r="S1176" t="s">
        <v>2079</v>
      </c>
      <c r="T1176" t="s">
        <v>30</v>
      </c>
      <c r="U1176" t="s">
        <v>628</v>
      </c>
      <c r="V1176" s="3">
        <v>-89.9</v>
      </c>
      <c r="W1176" t="s">
        <v>2084</v>
      </c>
      <c r="X1176" s="3">
        <v>-89.9</v>
      </c>
    </row>
    <row r="1177" spans="1:24" s="2" customFormat="1" x14ac:dyDescent="0.2">
      <c r="A1177">
        <v>1177</v>
      </c>
      <c r="B1177"/>
      <c r="C1177" t="s">
        <v>943</v>
      </c>
      <c r="D1177" t="s">
        <v>2086</v>
      </c>
      <c r="E1177" t="s">
        <v>30</v>
      </c>
      <c r="F1177" t="s">
        <v>24</v>
      </c>
      <c r="G1177" t="s">
        <v>25</v>
      </c>
      <c r="H1177" t="str">
        <f t="shared" si="36"/>
        <v xml:space="preserve">2/5 - GERENCIAMENTO  ATMOSFERA VILA MARIANA | Recorrência: | Observações: </v>
      </c>
      <c r="I1177" t="s">
        <v>491</v>
      </c>
      <c r="J1177" s="4">
        <v>4000</v>
      </c>
      <c r="K1177" s="4">
        <v>502937.32</v>
      </c>
      <c r="L1177" t="s">
        <v>27</v>
      </c>
      <c r="M1177" s="4">
        <v>4000</v>
      </c>
      <c r="N1177" s="3">
        <v>0</v>
      </c>
      <c r="O1177" t="s">
        <v>2085</v>
      </c>
      <c r="P1177" t="s">
        <v>1938</v>
      </c>
      <c r="Q1177" t="s">
        <v>2085</v>
      </c>
      <c r="R1177" t="str">
        <f t="shared" si="37"/>
        <v>Sim</v>
      </c>
      <c r="S1177" t="s">
        <v>2085</v>
      </c>
      <c r="T1177" t="s">
        <v>30</v>
      </c>
      <c r="U1177" t="s">
        <v>274</v>
      </c>
      <c r="V1177" s="3">
        <v>4000</v>
      </c>
      <c r="W1177" t="s">
        <v>166</v>
      </c>
      <c r="X1177" s="3">
        <v>4000</v>
      </c>
    </row>
    <row r="1178" spans="1:24" s="2" customFormat="1" x14ac:dyDescent="0.2">
      <c r="A1178" s="2">
        <v>1178</v>
      </c>
      <c r="B1178" t="s">
        <v>1016</v>
      </c>
      <c r="C1178" t="s">
        <v>1017</v>
      </c>
      <c r="D1178" t="s">
        <v>1017</v>
      </c>
      <c r="E1178" t="s">
        <v>471</v>
      </c>
      <c r="F1178" t="s">
        <v>63</v>
      </c>
      <c r="G1178" t="s">
        <v>25</v>
      </c>
      <c r="H1178" t="str">
        <f t="shared" si="36"/>
        <v xml:space="preserve">WEBDAS | Recorrência:3/12 | Observações: </v>
      </c>
      <c r="I1178" t="s">
        <v>26</v>
      </c>
      <c r="J1178" s="5">
        <v>-135.80000000000001</v>
      </c>
      <c r="K1178" s="4">
        <v>502801.52</v>
      </c>
      <c r="L1178" t="s">
        <v>27</v>
      </c>
      <c r="M1178" s="5">
        <v>-135.80000000000001</v>
      </c>
      <c r="N1178" s="3">
        <v>0</v>
      </c>
      <c r="O1178" t="s">
        <v>1998</v>
      </c>
      <c r="P1178" t="s">
        <v>2056</v>
      </c>
      <c r="Q1178" t="s">
        <v>2085</v>
      </c>
      <c r="R1178" t="str">
        <f t="shared" si="37"/>
        <v>nao</v>
      </c>
      <c r="S1178" t="s">
        <v>2079</v>
      </c>
      <c r="T1178" t="s">
        <v>30</v>
      </c>
      <c r="U1178" t="s">
        <v>344</v>
      </c>
      <c r="V1178" s="3">
        <v>-135.80000000000001</v>
      </c>
      <c r="W1178" t="s">
        <v>1058</v>
      </c>
      <c r="X1178" s="3">
        <v>-135.80000000000001</v>
      </c>
    </row>
    <row r="1179" spans="1:24" s="2" customFormat="1" x14ac:dyDescent="0.2">
      <c r="A1179">
        <v>1179</v>
      </c>
      <c r="B1179" t="s">
        <v>647</v>
      </c>
      <c r="C1179" t="s">
        <v>648</v>
      </c>
      <c r="D1179" t="s">
        <v>1544</v>
      </c>
      <c r="E1179" t="s">
        <v>778</v>
      </c>
      <c r="F1179" t="s">
        <v>63</v>
      </c>
      <c r="G1179" t="s">
        <v>25</v>
      </c>
      <c r="H1179" t="str">
        <f t="shared" si="36"/>
        <v xml:space="preserve">HONORARIOS CONTABEIS | Recorrência:8/12 | Observações: </v>
      </c>
      <c r="I1179" t="s">
        <v>26</v>
      </c>
      <c r="J1179" s="5">
        <v>-925</v>
      </c>
      <c r="K1179" s="4">
        <v>501876.52</v>
      </c>
      <c r="L1179" t="s">
        <v>27</v>
      </c>
      <c r="M1179" s="5">
        <v>-925</v>
      </c>
      <c r="N1179" s="3">
        <v>0</v>
      </c>
      <c r="O1179" t="s">
        <v>1998</v>
      </c>
      <c r="P1179" t="s">
        <v>2077</v>
      </c>
      <c r="Q1179" t="s">
        <v>2087</v>
      </c>
      <c r="R1179" t="str">
        <f t="shared" si="37"/>
        <v>Sim</v>
      </c>
      <c r="S1179" t="s">
        <v>2087</v>
      </c>
      <c r="T1179" t="s">
        <v>30</v>
      </c>
      <c r="U1179" t="s">
        <v>608</v>
      </c>
      <c r="V1179" s="3">
        <v>-925</v>
      </c>
      <c r="W1179" t="s">
        <v>297</v>
      </c>
      <c r="X1179" s="3">
        <v>-925</v>
      </c>
    </row>
    <row r="1180" spans="1:24" s="2" customFormat="1" x14ac:dyDescent="0.2">
      <c r="A1180" s="2">
        <v>1180</v>
      </c>
      <c r="B1180" t="s">
        <v>1509</v>
      </c>
      <c r="C1180" t="s">
        <v>1510</v>
      </c>
      <c r="D1180" t="s">
        <v>2088</v>
      </c>
      <c r="E1180" t="s">
        <v>30</v>
      </c>
      <c r="F1180" t="s">
        <v>24</v>
      </c>
      <c r="G1180" t="s">
        <v>25</v>
      </c>
      <c r="H1180" t="str">
        <f t="shared" si="36"/>
        <v xml:space="preserve">3/3 - PROJETO  - SALÃO DE FESTA_CHURRASQUEIRA_HALL SOCIAL | Recorrência: | Observações: </v>
      </c>
      <c r="I1180" t="s">
        <v>491</v>
      </c>
      <c r="J1180" s="4">
        <v>4333.0600000000004</v>
      </c>
      <c r="K1180" s="4">
        <v>506209.58</v>
      </c>
      <c r="L1180" t="s">
        <v>27</v>
      </c>
      <c r="M1180" s="4">
        <v>4333.0600000000004</v>
      </c>
      <c r="N1180" s="3">
        <v>0</v>
      </c>
      <c r="O1180" t="s">
        <v>1998</v>
      </c>
      <c r="P1180" t="s">
        <v>1512</v>
      </c>
      <c r="Q1180" t="s">
        <v>2020</v>
      </c>
      <c r="R1180" t="str">
        <f t="shared" si="37"/>
        <v>nao</v>
      </c>
      <c r="S1180" t="s">
        <v>1998</v>
      </c>
      <c r="T1180" t="s">
        <v>30</v>
      </c>
      <c r="U1180" t="s">
        <v>31</v>
      </c>
      <c r="V1180" s="3">
        <v>4333.0600000000004</v>
      </c>
      <c r="W1180" t="s">
        <v>32</v>
      </c>
      <c r="X1180" s="3">
        <v>4333.0600000000004</v>
      </c>
    </row>
    <row r="1181" spans="1:24" s="2" customFormat="1" x14ac:dyDescent="0.2">
      <c r="A1181">
        <v>1181</v>
      </c>
      <c r="B1181" t="s">
        <v>1509</v>
      </c>
      <c r="C1181" t="s">
        <v>1510</v>
      </c>
      <c r="D1181" t="s">
        <v>1915</v>
      </c>
      <c r="E1181" t="s">
        <v>148</v>
      </c>
      <c r="F1181" t="s">
        <v>24</v>
      </c>
      <c r="G1181" t="s">
        <v>25</v>
      </c>
      <c r="H1181" t="str">
        <f t="shared" si="36"/>
        <v xml:space="preserve">PROJETO -  SALÃO DE JOGOS_ACADEMIA | Recorrência:3/3 | Observações: </v>
      </c>
      <c r="I1181" t="s">
        <v>491</v>
      </c>
      <c r="J1181" s="4">
        <v>2333</v>
      </c>
      <c r="K1181" s="4">
        <v>508542.58</v>
      </c>
      <c r="L1181" t="s">
        <v>27</v>
      </c>
      <c r="M1181" s="4">
        <v>2333</v>
      </c>
      <c r="N1181" s="3">
        <v>0</v>
      </c>
      <c r="O1181" t="s">
        <v>1998</v>
      </c>
      <c r="P1181" t="s">
        <v>2024</v>
      </c>
      <c r="Q1181" t="s">
        <v>2020</v>
      </c>
      <c r="R1181" t="str">
        <f t="shared" si="37"/>
        <v>Sim</v>
      </c>
      <c r="S1181" t="s">
        <v>2020</v>
      </c>
      <c r="T1181" t="s">
        <v>30</v>
      </c>
      <c r="U1181" t="s">
        <v>31</v>
      </c>
      <c r="V1181" s="3">
        <v>2333</v>
      </c>
      <c r="W1181" t="s">
        <v>32</v>
      </c>
      <c r="X1181" s="3">
        <v>2333</v>
      </c>
    </row>
    <row r="1182" spans="1:24" s="2" customFormat="1" x14ac:dyDescent="0.2">
      <c r="A1182" s="2">
        <v>1182</v>
      </c>
      <c r="B1182" t="s">
        <v>1536</v>
      </c>
      <c r="C1182" t="s">
        <v>666</v>
      </c>
      <c r="D1182" t="s">
        <v>667</v>
      </c>
      <c r="E1182" t="s">
        <v>778</v>
      </c>
      <c r="F1182" t="s">
        <v>63</v>
      </c>
      <c r="G1182" t="s">
        <v>25</v>
      </c>
      <c r="H1182" t="str">
        <f t="shared" si="36"/>
        <v xml:space="preserve">TELEFONIA E INTERNET | Recorrência:8/12 | Observações: </v>
      </c>
      <c r="I1182" t="s">
        <v>26</v>
      </c>
      <c r="J1182" s="5">
        <v>-130.09</v>
      </c>
      <c r="K1182" s="4">
        <v>508412.49</v>
      </c>
      <c r="L1182" t="s">
        <v>27</v>
      </c>
      <c r="M1182" s="5">
        <v>-130.09</v>
      </c>
      <c r="N1182" s="3">
        <v>0</v>
      </c>
      <c r="O1182" t="s">
        <v>1998</v>
      </c>
      <c r="P1182" t="s">
        <v>1959</v>
      </c>
      <c r="Q1182" t="s">
        <v>1998</v>
      </c>
      <c r="R1182" t="str">
        <f t="shared" si="37"/>
        <v>Sim</v>
      </c>
      <c r="S1182" t="s">
        <v>1998</v>
      </c>
      <c r="T1182" t="s">
        <v>30</v>
      </c>
      <c r="U1182" t="s">
        <v>670</v>
      </c>
      <c r="V1182" s="3">
        <v>-130.09</v>
      </c>
      <c r="W1182" t="s">
        <v>324</v>
      </c>
      <c r="X1182" s="3">
        <v>-130.09</v>
      </c>
    </row>
    <row r="1183" spans="1:24" s="2" customFormat="1" x14ac:dyDescent="0.2">
      <c r="A1183">
        <v>1183</v>
      </c>
      <c r="B1183" t="s">
        <v>647</v>
      </c>
      <c r="C1183" t="s">
        <v>648</v>
      </c>
      <c r="D1183" t="s">
        <v>2089</v>
      </c>
      <c r="E1183" t="s">
        <v>30</v>
      </c>
      <c r="F1183" t="s">
        <v>63</v>
      </c>
      <c r="G1183" t="s">
        <v>25</v>
      </c>
      <c r="H1183" t="str">
        <f t="shared" si="36"/>
        <v xml:space="preserve">8/12 - FGTS 8/12 | Recorrência: | Observações: </v>
      </c>
      <c r="I1183" t="s">
        <v>26</v>
      </c>
      <c r="J1183" s="5">
        <v>-147.97999999999999</v>
      </c>
      <c r="K1183" s="4">
        <v>508264.51</v>
      </c>
      <c r="L1183" t="s">
        <v>27</v>
      </c>
      <c r="M1183" s="5">
        <v>-147.97999999999999</v>
      </c>
      <c r="N1183" s="3">
        <v>0</v>
      </c>
      <c r="O1183" t="s">
        <v>1998</v>
      </c>
      <c r="P1183" t="s">
        <v>1469</v>
      </c>
      <c r="Q1183" t="s">
        <v>2085</v>
      </c>
      <c r="R1183" t="str">
        <f t="shared" si="37"/>
        <v>nao</v>
      </c>
      <c r="S1183" t="s">
        <v>1998</v>
      </c>
      <c r="T1183" t="s">
        <v>30</v>
      </c>
      <c r="U1183" t="s">
        <v>1531</v>
      </c>
      <c r="V1183" s="3">
        <v>-147.97999999999999</v>
      </c>
    </row>
    <row r="1184" spans="1:24" s="2" customFormat="1" x14ac:dyDescent="0.2">
      <c r="A1184" s="2">
        <v>1184</v>
      </c>
      <c r="B1184" t="s">
        <v>1777</v>
      </c>
      <c r="C1184" t="s">
        <v>1778</v>
      </c>
      <c r="D1184" t="s">
        <v>2090</v>
      </c>
      <c r="E1184" t="s">
        <v>30</v>
      </c>
      <c r="F1184" t="s">
        <v>24</v>
      </c>
      <c r="G1184" t="s">
        <v>25</v>
      </c>
      <c r="H1184" t="str">
        <f t="shared" si="36"/>
        <v xml:space="preserve">RT PEDIDO 176285 -TIAGO♥JJULIANA IWAMOTO | Recorrência: | Observações: </v>
      </c>
      <c r="I1184" t="s">
        <v>491</v>
      </c>
      <c r="J1184" s="4">
        <v>1203</v>
      </c>
      <c r="K1184" s="4">
        <v>509467.51</v>
      </c>
      <c r="L1184" t="s">
        <v>27</v>
      </c>
      <c r="M1184" s="4">
        <v>1203</v>
      </c>
      <c r="N1184" s="3">
        <v>0</v>
      </c>
      <c r="O1184" t="s">
        <v>2037</v>
      </c>
      <c r="P1184" t="s">
        <v>2052</v>
      </c>
      <c r="Q1184" t="s">
        <v>2087</v>
      </c>
      <c r="R1184" t="str">
        <f t="shared" si="37"/>
        <v>Sim</v>
      </c>
      <c r="S1184" t="s">
        <v>2087</v>
      </c>
      <c r="T1184" t="s">
        <v>30</v>
      </c>
      <c r="U1184" t="s">
        <v>49</v>
      </c>
      <c r="V1184" s="3">
        <v>1203</v>
      </c>
      <c r="W1184" t="s">
        <v>494</v>
      </c>
      <c r="X1184" s="3">
        <v>1203</v>
      </c>
    </row>
    <row r="1185" spans="1:24" s="2" customFormat="1" x14ac:dyDescent="0.2">
      <c r="A1185">
        <v>1185</v>
      </c>
      <c r="B1185" t="s">
        <v>2026</v>
      </c>
      <c r="C1185" t="s">
        <v>2027</v>
      </c>
      <c r="D1185" t="s">
        <v>2091</v>
      </c>
      <c r="E1185" t="s">
        <v>30</v>
      </c>
      <c r="F1185" t="s">
        <v>24</v>
      </c>
      <c r="G1185" t="s">
        <v>25</v>
      </c>
      <c r="H1185" t="str">
        <f t="shared" si="36"/>
        <v xml:space="preserve">2/2 - PROJETO_BANHEIRO COM ACESSIBILIDADE 2/2 | Recorrência: | Observações: </v>
      </c>
      <c r="I1185" t="s">
        <v>491</v>
      </c>
      <c r="J1185" s="4">
        <v>715.12</v>
      </c>
      <c r="K1185" s="4">
        <v>510182.63</v>
      </c>
      <c r="L1185" t="s">
        <v>27</v>
      </c>
      <c r="M1185" s="4">
        <v>715.12</v>
      </c>
      <c r="N1185" s="3">
        <v>0</v>
      </c>
      <c r="O1185" t="s">
        <v>2037</v>
      </c>
      <c r="P1185" t="s">
        <v>2029</v>
      </c>
      <c r="Q1185" t="s">
        <v>2037</v>
      </c>
      <c r="R1185" t="str">
        <f t="shared" si="37"/>
        <v>Sim</v>
      </c>
      <c r="S1185" t="s">
        <v>2037</v>
      </c>
      <c r="T1185" t="s">
        <v>30</v>
      </c>
      <c r="U1185" t="s">
        <v>31</v>
      </c>
      <c r="V1185" s="3">
        <v>715.12</v>
      </c>
      <c r="W1185" t="s">
        <v>2030</v>
      </c>
      <c r="X1185" s="3">
        <v>715.12</v>
      </c>
    </row>
    <row r="1186" spans="1:24" s="2" customFormat="1" x14ac:dyDescent="0.2">
      <c r="A1186" s="2">
        <v>1186</v>
      </c>
      <c r="B1186"/>
      <c r="C1186" t="s">
        <v>2013</v>
      </c>
      <c r="D1186" t="s">
        <v>2092</v>
      </c>
      <c r="E1186" t="s">
        <v>30</v>
      </c>
      <c r="F1186" t="s">
        <v>24</v>
      </c>
      <c r="G1186" t="s">
        <v>25</v>
      </c>
      <c r="H1186" t="str">
        <f t="shared" si="36"/>
        <v xml:space="preserve">2/3 - PROJETO ED. ALLE -  UNIDADES 05 E 06 2/3 | Recorrência: | Observações: </v>
      </c>
      <c r="I1186" t="s">
        <v>991</v>
      </c>
      <c r="J1186" s="4">
        <v>3000</v>
      </c>
      <c r="K1186" s="4">
        <v>513182.63</v>
      </c>
      <c r="L1186" t="s">
        <v>27</v>
      </c>
      <c r="M1186" s="4">
        <v>3000</v>
      </c>
      <c r="N1186" s="3">
        <v>0</v>
      </c>
      <c r="O1186" t="s">
        <v>2087</v>
      </c>
      <c r="P1186" t="s">
        <v>1982</v>
      </c>
      <c r="Q1186" t="s">
        <v>2037</v>
      </c>
      <c r="R1186" t="str">
        <f t="shared" si="37"/>
        <v>Sim</v>
      </c>
      <c r="S1186" t="s">
        <v>2037</v>
      </c>
      <c r="T1186" t="s">
        <v>30</v>
      </c>
      <c r="U1186" t="s">
        <v>31</v>
      </c>
      <c r="V1186" s="3">
        <v>3000</v>
      </c>
      <c r="W1186" t="s">
        <v>32</v>
      </c>
      <c r="X1186" s="3">
        <v>3000</v>
      </c>
    </row>
    <row r="1187" spans="1:24" s="2" customFormat="1" x14ac:dyDescent="0.2">
      <c r="A1187">
        <v>1187</v>
      </c>
      <c r="B1187" t="s">
        <v>1170</v>
      </c>
      <c r="C1187" t="s">
        <v>1171</v>
      </c>
      <c r="D1187" t="s">
        <v>2094</v>
      </c>
      <c r="E1187" t="s">
        <v>30</v>
      </c>
      <c r="F1187" t="s">
        <v>24</v>
      </c>
      <c r="G1187" t="s">
        <v>25</v>
      </c>
      <c r="H1187" t="str">
        <f t="shared" si="36"/>
        <v xml:space="preserve">RT CONTRATO 1053001 - ELIANA NAJM | Recorrência: | Observações: Obs - Valores sem os descontos dos impostos &gt; Contratos de 02 irmãos da Sobloco que não realizaram projeto mas que a Bontempo liberou a Rt para MN pelo fato de ter fechado os pedidos com CNPJ da empresa
</v>
      </c>
      <c r="I1187" t="s">
        <v>491</v>
      </c>
      <c r="J1187" s="4">
        <v>33755.03</v>
      </c>
      <c r="K1187" s="4">
        <v>546937.66</v>
      </c>
      <c r="L1187" t="s">
        <v>27</v>
      </c>
      <c r="M1187" s="4">
        <v>33755.03</v>
      </c>
      <c r="N1187" s="3">
        <v>0</v>
      </c>
      <c r="O1187" t="s">
        <v>2093</v>
      </c>
      <c r="P1187" t="s">
        <v>2077</v>
      </c>
      <c r="Q1187" t="s">
        <v>2085</v>
      </c>
      <c r="R1187" t="str">
        <f t="shared" si="37"/>
        <v>Sim</v>
      </c>
      <c r="S1187" t="s">
        <v>2085</v>
      </c>
      <c r="T1187" t="s">
        <v>2095</v>
      </c>
      <c r="U1187" t="s">
        <v>49</v>
      </c>
      <c r="V1187" s="3">
        <v>33755.03</v>
      </c>
      <c r="W1187" t="s">
        <v>494</v>
      </c>
      <c r="X1187" s="3">
        <v>33755.03</v>
      </c>
    </row>
    <row r="1188" spans="1:24" s="2" customFormat="1" x14ac:dyDescent="0.2">
      <c r="A1188" s="2">
        <v>1188</v>
      </c>
      <c r="B1188" t="s">
        <v>1170</v>
      </c>
      <c r="C1188" t="s">
        <v>1171</v>
      </c>
      <c r="D1188" t="s">
        <v>2096</v>
      </c>
      <c r="E1188" t="s">
        <v>30</v>
      </c>
      <c r="F1188" t="s">
        <v>24</v>
      </c>
      <c r="G1188" t="s">
        <v>25</v>
      </c>
      <c r="H1188" t="str">
        <f t="shared" si="36"/>
        <v xml:space="preserve">RT CONTRATO 1053901 - PAULA NAJM | Recorrência: | Observações: Obs - Valores sem os descontos dos impostos &gt; Contratos de 02 irmãos da Sobloco que não realizaram projeto mas que a Bontempo liberou a Rt para MN pelo fato de ter fechado os pedidos com CNPJ da empresa
</v>
      </c>
      <c r="I1188" t="s">
        <v>491</v>
      </c>
      <c r="J1188" s="4">
        <v>10889.42</v>
      </c>
      <c r="K1188" s="4">
        <v>557827.07999999996</v>
      </c>
      <c r="L1188" t="s">
        <v>27</v>
      </c>
      <c r="M1188" s="4">
        <v>10889.42</v>
      </c>
      <c r="N1188" s="3">
        <v>0</v>
      </c>
      <c r="O1188" t="s">
        <v>2093</v>
      </c>
      <c r="P1188" t="s">
        <v>2077</v>
      </c>
      <c r="Q1188" t="s">
        <v>2085</v>
      </c>
      <c r="R1188" t="str">
        <f t="shared" si="37"/>
        <v>Sim</v>
      </c>
      <c r="S1188" t="s">
        <v>2085</v>
      </c>
      <c r="T1188" t="s">
        <v>2095</v>
      </c>
      <c r="U1188" t="s">
        <v>49</v>
      </c>
      <c r="V1188" s="3">
        <v>10889.42</v>
      </c>
      <c r="W1188" t="s">
        <v>494</v>
      </c>
      <c r="X1188" s="3">
        <v>10889.42</v>
      </c>
    </row>
    <row r="1189" spans="1:24" s="2" customFormat="1" x14ac:dyDescent="0.2">
      <c r="A1189">
        <v>1189</v>
      </c>
      <c r="B1189" t="s">
        <v>1088</v>
      </c>
      <c r="C1189" t="s">
        <v>1089</v>
      </c>
      <c r="D1189" t="s">
        <v>2097</v>
      </c>
      <c r="E1189" t="s">
        <v>30</v>
      </c>
      <c r="F1189" t="s">
        <v>24</v>
      </c>
      <c r="G1189" t="s">
        <v>25</v>
      </c>
      <c r="H1189" t="str">
        <f t="shared" si="36"/>
        <v xml:space="preserve">RT - QUARTO BARABARA E LEONARDO | Recorrência: | Observações: </v>
      </c>
      <c r="I1189" t="s">
        <v>491</v>
      </c>
      <c r="J1189" s="4">
        <v>1020</v>
      </c>
      <c r="K1189" s="4">
        <v>558847.07999999996</v>
      </c>
      <c r="L1189" t="s">
        <v>27</v>
      </c>
      <c r="M1189" s="4">
        <v>1020</v>
      </c>
      <c r="N1189" s="3">
        <v>0</v>
      </c>
      <c r="O1189" t="s">
        <v>2093</v>
      </c>
      <c r="P1189" t="s">
        <v>2098</v>
      </c>
      <c r="Q1189" t="s">
        <v>2093</v>
      </c>
      <c r="R1189" t="str">
        <f t="shared" si="37"/>
        <v>Sim</v>
      </c>
      <c r="S1189" t="s">
        <v>2093</v>
      </c>
      <c r="T1189" t="s">
        <v>30</v>
      </c>
      <c r="U1189" t="s">
        <v>49</v>
      </c>
      <c r="V1189" s="3">
        <v>1020</v>
      </c>
      <c r="W1189" t="s">
        <v>494</v>
      </c>
      <c r="X1189" s="3">
        <v>1020</v>
      </c>
    </row>
    <row r="1190" spans="1:24" s="2" customFormat="1" x14ac:dyDescent="0.2">
      <c r="A1190" s="2">
        <v>1190</v>
      </c>
      <c r="B1190" t="s">
        <v>1170</v>
      </c>
      <c r="C1190" t="s">
        <v>1171</v>
      </c>
      <c r="D1190" t="s">
        <v>2100</v>
      </c>
      <c r="E1190" t="s">
        <v>30</v>
      </c>
      <c r="F1190" t="s">
        <v>63</v>
      </c>
      <c r="G1190" t="s">
        <v>25</v>
      </c>
      <c r="H1190" t="str">
        <f t="shared" si="36"/>
        <v>DARF IRRF Ref. Diferença da NF emitida 294-295-296 | Recorrência: | Observações: Valores recebidos integralmente (bruto)</v>
      </c>
      <c r="I1190" t="s">
        <v>26</v>
      </c>
      <c r="J1190" s="5">
        <v>-842.33</v>
      </c>
      <c r="K1190" s="4">
        <v>558004.75</v>
      </c>
      <c r="L1190" t="s">
        <v>27</v>
      </c>
      <c r="M1190" s="5">
        <v>-842.33</v>
      </c>
      <c r="N1190" s="3">
        <v>0</v>
      </c>
      <c r="O1190" t="s">
        <v>2099</v>
      </c>
      <c r="P1190" t="s">
        <v>2040</v>
      </c>
      <c r="Q1190" t="s">
        <v>2101</v>
      </c>
      <c r="R1190" t="str">
        <f t="shared" si="37"/>
        <v>Sim</v>
      </c>
      <c r="S1190" t="s">
        <v>2101</v>
      </c>
      <c r="T1190" t="s">
        <v>2102</v>
      </c>
      <c r="U1190" t="s">
        <v>483</v>
      </c>
      <c r="V1190" s="3">
        <v>-842.33</v>
      </c>
      <c r="W1190" t="s">
        <v>1997</v>
      </c>
      <c r="X1190" s="3">
        <v>-842.33</v>
      </c>
    </row>
    <row r="1191" spans="1:24" s="2" customFormat="1" x14ac:dyDescent="0.2">
      <c r="A1191">
        <v>1191</v>
      </c>
      <c r="B1191" t="s">
        <v>1170</v>
      </c>
      <c r="C1191" t="s">
        <v>1171</v>
      </c>
      <c r="D1191" t="s">
        <v>2103</v>
      </c>
      <c r="E1191" t="s">
        <v>30</v>
      </c>
      <c r="F1191" t="s">
        <v>63</v>
      </c>
      <c r="G1191" t="s">
        <v>25</v>
      </c>
      <c r="H1191" t="str">
        <f t="shared" si="36"/>
        <v xml:space="preserve">DARF IRRF Ref. Diferença da NF emitida Isage (Bontempo) 294-295-296 | Recorrência: | Observações: </v>
      </c>
      <c r="I1191" t="s">
        <v>26</v>
      </c>
      <c r="J1191" s="5">
        <v>-2611.21</v>
      </c>
      <c r="K1191" s="4">
        <v>555393.54</v>
      </c>
      <c r="L1191" t="s">
        <v>27</v>
      </c>
      <c r="M1191" s="5">
        <v>-2611.21</v>
      </c>
      <c r="N1191" s="3">
        <v>0</v>
      </c>
      <c r="O1191" t="s">
        <v>2099</v>
      </c>
      <c r="P1191" t="s">
        <v>2040</v>
      </c>
      <c r="Q1191" t="s">
        <v>2101</v>
      </c>
      <c r="R1191" t="str">
        <f t="shared" si="37"/>
        <v>Sim</v>
      </c>
      <c r="S1191" t="s">
        <v>2101</v>
      </c>
      <c r="T1191" t="s">
        <v>30</v>
      </c>
      <c r="U1191" t="s">
        <v>483</v>
      </c>
      <c r="V1191" s="3">
        <v>-2611.21</v>
      </c>
      <c r="W1191" t="s">
        <v>1997</v>
      </c>
      <c r="X1191" s="3">
        <v>-2611.21</v>
      </c>
    </row>
    <row r="1192" spans="1:24" s="2" customFormat="1" x14ac:dyDescent="0.2">
      <c r="A1192" s="2">
        <v>1192</v>
      </c>
      <c r="B1192" t="s">
        <v>647</v>
      </c>
      <c r="C1192" t="s">
        <v>648</v>
      </c>
      <c r="D1192" t="s">
        <v>1556</v>
      </c>
      <c r="E1192" t="s">
        <v>778</v>
      </c>
      <c r="F1192" t="s">
        <v>63</v>
      </c>
      <c r="G1192" t="s">
        <v>25</v>
      </c>
      <c r="H1192" t="str">
        <f t="shared" si="36"/>
        <v xml:space="preserve">DARF PREVIDÊNCIARIO | Recorrência:8/12 | Observações: </v>
      </c>
      <c r="I1192" t="s">
        <v>26</v>
      </c>
      <c r="J1192" s="5">
        <v>-1434.97</v>
      </c>
      <c r="K1192" s="4">
        <v>553958.56999999995</v>
      </c>
      <c r="L1192" t="s">
        <v>27</v>
      </c>
      <c r="M1192" s="5">
        <v>-1434.97</v>
      </c>
      <c r="N1192" s="3">
        <v>0</v>
      </c>
      <c r="O1192" t="s">
        <v>2099</v>
      </c>
      <c r="P1192" t="s">
        <v>2104</v>
      </c>
      <c r="Q1192" t="s">
        <v>2105</v>
      </c>
      <c r="R1192" t="str">
        <f t="shared" si="37"/>
        <v>Sim</v>
      </c>
      <c r="S1192" t="s">
        <v>2105</v>
      </c>
      <c r="T1192" t="s">
        <v>30</v>
      </c>
      <c r="U1192" t="s">
        <v>601</v>
      </c>
      <c r="V1192" s="3">
        <v>-1434.97</v>
      </c>
      <c r="W1192" t="s">
        <v>376</v>
      </c>
      <c r="X1192" s="3">
        <v>-1434.97</v>
      </c>
    </row>
    <row r="1193" spans="1:24" s="2" customFormat="1" x14ac:dyDescent="0.2">
      <c r="A1193">
        <v>1193</v>
      </c>
      <c r="B1193" t="s">
        <v>1654</v>
      </c>
      <c r="C1193" t="s">
        <v>1655</v>
      </c>
      <c r="D1193" t="s">
        <v>2106</v>
      </c>
      <c r="E1193" t="s">
        <v>30</v>
      </c>
      <c r="F1193" t="s">
        <v>24</v>
      </c>
      <c r="G1193" t="s">
        <v>25</v>
      </c>
      <c r="H1193" t="str">
        <f t="shared" si="36"/>
        <v xml:space="preserve">RT - PEDIDO OT0591 - TIAGO KOCH | Recorrência: | Observações: </v>
      </c>
      <c r="I1193" t="s">
        <v>991</v>
      </c>
      <c r="J1193" s="4">
        <v>70</v>
      </c>
      <c r="K1193" s="4">
        <v>554028.56999999995</v>
      </c>
      <c r="L1193" t="s">
        <v>27</v>
      </c>
      <c r="M1193" s="4">
        <v>70</v>
      </c>
      <c r="N1193" s="3">
        <v>0</v>
      </c>
      <c r="O1193" t="s">
        <v>2099</v>
      </c>
      <c r="P1193" t="s">
        <v>2107</v>
      </c>
      <c r="Q1193" t="s">
        <v>2107</v>
      </c>
      <c r="R1193" t="str">
        <f t="shared" si="37"/>
        <v>Sim</v>
      </c>
      <c r="S1193" t="s">
        <v>2107</v>
      </c>
      <c r="T1193" t="s">
        <v>30</v>
      </c>
      <c r="U1193" t="s">
        <v>49</v>
      </c>
      <c r="V1193" s="3">
        <v>70</v>
      </c>
      <c r="W1193" t="s">
        <v>494</v>
      </c>
      <c r="X1193" s="3">
        <v>70</v>
      </c>
    </row>
    <row r="1194" spans="1:24" s="2" customFormat="1" x14ac:dyDescent="0.2">
      <c r="A1194" s="2">
        <v>1194</v>
      </c>
      <c r="B1194" t="s">
        <v>1654</v>
      </c>
      <c r="C1194" t="s">
        <v>1655</v>
      </c>
      <c r="D1194" t="s">
        <v>2108</v>
      </c>
      <c r="E1194" t="s">
        <v>30</v>
      </c>
      <c r="F1194" t="s">
        <v>24</v>
      </c>
      <c r="G1194" t="s">
        <v>25</v>
      </c>
      <c r="H1194" t="str">
        <f t="shared" si="36"/>
        <v xml:space="preserve">RT - PEDIDO OR 0396  BARBARA MILZEN | Recorrência: | Observações: </v>
      </c>
      <c r="I1194" t="s">
        <v>491</v>
      </c>
      <c r="J1194" s="4">
        <v>120</v>
      </c>
      <c r="K1194" s="4">
        <v>554148.56999999995</v>
      </c>
      <c r="L1194" t="s">
        <v>27</v>
      </c>
      <c r="M1194" s="4">
        <v>120</v>
      </c>
      <c r="N1194" s="3">
        <v>0</v>
      </c>
      <c r="O1194" t="s">
        <v>2099</v>
      </c>
      <c r="P1194" t="s">
        <v>2107</v>
      </c>
      <c r="Q1194" t="s">
        <v>2107</v>
      </c>
      <c r="R1194" t="str">
        <f t="shared" si="37"/>
        <v>Sim</v>
      </c>
      <c r="S1194" t="s">
        <v>2107</v>
      </c>
      <c r="T1194" t="s">
        <v>30</v>
      </c>
      <c r="U1194" t="s">
        <v>49</v>
      </c>
      <c r="V1194" s="3">
        <v>120</v>
      </c>
      <c r="W1194" t="s">
        <v>494</v>
      </c>
      <c r="X1194" s="3">
        <v>120</v>
      </c>
    </row>
    <row r="1195" spans="1:24" s="2" customFormat="1" x14ac:dyDescent="0.2">
      <c r="A1195">
        <v>1195</v>
      </c>
      <c r="B1195" t="s">
        <v>2109</v>
      </c>
      <c r="C1195" t="s">
        <v>2110</v>
      </c>
      <c r="D1195" t="s">
        <v>2111</v>
      </c>
      <c r="E1195" t="s">
        <v>30</v>
      </c>
      <c r="F1195" t="s">
        <v>24</v>
      </c>
      <c r="G1195" t="s">
        <v>25</v>
      </c>
      <c r="H1195" t="str">
        <f t="shared" si="36"/>
        <v xml:space="preserve">1/2 - PROJETO  COORPORATIVO 1/2 | Recorrência: | Observações: </v>
      </c>
      <c r="I1195" t="s">
        <v>491</v>
      </c>
      <c r="J1195" s="4">
        <v>8150</v>
      </c>
      <c r="K1195" s="4">
        <v>562298.56999999995</v>
      </c>
      <c r="L1195" t="s">
        <v>27</v>
      </c>
      <c r="M1195" s="4">
        <v>8150</v>
      </c>
      <c r="N1195" s="3">
        <v>0</v>
      </c>
      <c r="O1195" t="s">
        <v>2099</v>
      </c>
      <c r="P1195" t="s">
        <v>2099</v>
      </c>
      <c r="Q1195" t="s">
        <v>2099</v>
      </c>
      <c r="R1195" t="str">
        <f t="shared" si="37"/>
        <v>Sim</v>
      </c>
      <c r="S1195" t="s">
        <v>2099</v>
      </c>
      <c r="T1195" t="s">
        <v>30</v>
      </c>
      <c r="U1195" t="s">
        <v>31</v>
      </c>
      <c r="V1195" s="3">
        <v>8150</v>
      </c>
      <c r="W1195" t="s">
        <v>32</v>
      </c>
      <c r="X1195" s="3">
        <v>8150</v>
      </c>
    </row>
    <row r="1196" spans="1:24" s="2" customFormat="1" x14ac:dyDescent="0.2">
      <c r="A1196" s="2">
        <v>1196</v>
      </c>
      <c r="B1196" t="s">
        <v>2112</v>
      </c>
      <c r="C1196" t="s">
        <v>2113</v>
      </c>
      <c r="D1196" t="s">
        <v>2114</v>
      </c>
      <c r="E1196" t="s">
        <v>30</v>
      </c>
      <c r="F1196" t="s">
        <v>24</v>
      </c>
      <c r="G1196" t="s">
        <v>25</v>
      </c>
      <c r="H1196" t="str">
        <f t="shared" si="36"/>
        <v xml:space="preserve">RT PEDIDO 034 - AMAURI MARCHI | Recorrência: | Observações: </v>
      </c>
      <c r="I1196" t="s">
        <v>491</v>
      </c>
      <c r="J1196" s="4">
        <v>5963.06</v>
      </c>
      <c r="K1196" s="4">
        <v>568261.63</v>
      </c>
      <c r="L1196" t="s">
        <v>27</v>
      </c>
      <c r="M1196" s="4">
        <v>5963.06</v>
      </c>
      <c r="N1196" s="3">
        <v>0</v>
      </c>
      <c r="O1196" t="s">
        <v>2107</v>
      </c>
      <c r="P1196" t="s">
        <v>2001</v>
      </c>
      <c r="Q1196" t="s">
        <v>2107</v>
      </c>
      <c r="R1196" t="str">
        <f t="shared" si="37"/>
        <v>Sim</v>
      </c>
      <c r="S1196" t="s">
        <v>2107</v>
      </c>
      <c r="T1196" t="s">
        <v>30</v>
      </c>
      <c r="U1196" t="s">
        <v>49</v>
      </c>
      <c r="V1196" s="3">
        <v>5963.06</v>
      </c>
      <c r="W1196" t="s">
        <v>2023</v>
      </c>
      <c r="X1196" s="3">
        <v>5963.06</v>
      </c>
    </row>
    <row r="1197" spans="1:24" s="2" customFormat="1" x14ac:dyDescent="0.2">
      <c r="A1197">
        <v>1197</v>
      </c>
      <c r="B1197" t="s">
        <v>2115</v>
      </c>
      <c r="C1197" t="s">
        <v>2116</v>
      </c>
      <c r="D1197" t="s">
        <v>2117</v>
      </c>
      <c r="E1197" t="s">
        <v>30</v>
      </c>
      <c r="F1197" t="s">
        <v>63</v>
      </c>
      <c r="G1197" t="s">
        <v>25</v>
      </c>
      <c r="H1197" t="str">
        <f t="shared" si="36"/>
        <v xml:space="preserve">HORA TÉCNICA INTERNA &gt; SUPORTE REMOTO #103947 | Recorrência: | Observações: </v>
      </c>
      <c r="I1197" t="s">
        <v>1113</v>
      </c>
      <c r="J1197" s="5">
        <v>-150</v>
      </c>
      <c r="K1197" s="4">
        <v>568111.63</v>
      </c>
      <c r="L1197" t="s">
        <v>27</v>
      </c>
      <c r="M1197" s="5">
        <v>-150</v>
      </c>
      <c r="N1197" s="3">
        <v>0</v>
      </c>
      <c r="O1197" t="s">
        <v>2098</v>
      </c>
      <c r="P1197" t="s">
        <v>2098</v>
      </c>
      <c r="Q1197" t="s">
        <v>2098</v>
      </c>
      <c r="R1197" t="str">
        <f t="shared" si="37"/>
        <v>Sim</v>
      </c>
      <c r="S1197" t="s">
        <v>2098</v>
      </c>
      <c r="T1197" t="s">
        <v>30</v>
      </c>
      <c r="U1197" t="s">
        <v>2118</v>
      </c>
      <c r="V1197" s="3">
        <v>-150</v>
      </c>
      <c r="W1197" t="s">
        <v>344</v>
      </c>
      <c r="X1197" s="3">
        <v>-150</v>
      </c>
    </row>
    <row r="1198" spans="1:24" s="2" customFormat="1" x14ac:dyDescent="0.2">
      <c r="A1198" s="2">
        <v>1198</v>
      </c>
      <c r="B1198" t="s">
        <v>2119</v>
      </c>
      <c r="C1198" t="s">
        <v>2120</v>
      </c>
      <c r="D1198" t="s">
        <v>2121</v>
      </c>
      <c r="E1198" t="s">
        <v>30</v>
      </c>
      <c r="F1198" t="s">
        <v>24</v>
      </c>
      <c r="G1198" t="s">
        <v>25</v>
      </c>
      <c r="H1198" t="str">
        <f t="shared" si="36"/>
        <v>RT AMAURI E LUCIENE - 30% SINAL | Recorrência: | Observações: CONFORME CONDIÇÕES DE PAGAMENTO DO CLIENTE
30% SINAL &gt; DEMAIS 4X 55 DIAS</v>
      </c>
      <c r="I1198" t="s">
        <v>491</v>
      </c>
      <c r="J1198" s="4">
        <v>840</v>
      </c>
      <c r="K1198" s="4">
        <v>568951.63</v>
      </c>
      <c r="L1198" t="s">
        <v>27</v>
      </c>
      <c r="M1198" s="4">
        <v>840</v>
      </c>
      <c r="N1198" s="3">
        <v>0</v>
      </c>
      <c r="O1198" t="s">
        <v>2098</v>
      </c>
      <c r="P1198" t="s">
        <v>2122</v>
      </c>
      <c r="Q1198" t="s">
        <v>2098</v>
      </c>
      <c r="R1198" t="str">
        <f t="shared" si="37"/>
        <v>Sim</v>
      </c>
      <c r="S1198" t="s">
        <v>2098</v>
      </c>
      <c r="T1198" t="s">
        <v>2123</v>
      </c>
      <c r="U1198" t="s">
        <v>49</v>
      </c>
      <c r="V1198" s="3">
        <v>840</v>
      </c>
      <c r="W1198" t="s">
        <v>494</v>
      </c>
      <c r="X1198" s="3">
        <v>840</v>
      </c>
    </row>
    <row r="1199" spans="1:24" s="2" customFormat="1" x14ac:dyDescent="0.2">
      <c r="A1199">
        <v>1199</v>
      </c>
      <c r="B1199"/>
      <c r="C1199" t="s">
        <v>992</v>
      </c>
      <c r="D1199" t="s">
        <v>2124</v>
      </c>
      <c r="E1199" t="s">
        <v>30</v>
      </c>
      <c r="F1199" t="s">
        <v>24</v>
      </c>
      <c r="G1199" t="s">
        <v>25</v>
      </c>
      <c r="H1199" t="str">
        <f t="shared" si="36"/>
        <v xml:space="preserve">2/3 - GERENCIAMENTO COND JD ACAPULCO_GUARUJÁ 2/3 | Recorrência: | Observações: </v>
      </c>
      <c r="I1199" t="s">
        <v>491</v>
      </c>
      <c r="J1199" s="4">
        <v>3000</v>
      </c>
      <c r="K1199" s="4">
        <v>571951.63</v>
      </c>
      <c r="L1199" t="s">
        <v>27</v>
      </c>
      <c r="M1199" s="4">
        <v>3000</v>
      </c>
      <c r="N1199" s="3">
        <v>0</v>
      </c>
      <c r="O1199" t="s">
        <v>2101</v>
      </c>
      <c r="P1199" t="s">
        <v>1954</v>
      </c>
      <c r="Q1199" t="s">
        <v>2101</v>
      </c>
      <c r="R1199" t="str">
        <f t="shared" si="37"/>
        <v>Sim</v>
      </c>
      <c r="S1199" t="s">
        <v>2101</v>
      </c>
      <c r="T1199" t="s">
        <v>30</v>
      </c>
      <c r="U1199" t="s">
        <v>274</v>
      </c>
      <c r="V1199" s="3">
        <v>3000</v>
      </c>
      <c r="W1199" t="s">
        <v>166</v>
      </c>
      <c r="X1199" s="3">
        <v>3000</v>
      </c>
    </row>
    <row r="1200" spans="1:24" s="2" customFormat="1" x14ac:dyDescent="0.2">
      <c r="A1200" s="2">
        <v>1200</v>
      </c>
      <c r="B1200" t="s">
        <v>1515</v>
      </c>
      <c r="C1200" t="s">
        <v>1516</v>
      </c>
      <c r="D1200" t="s">
        <v>2125</v>
      </c>
      <c r="E1200" t="s">
        <v>30</v>
      </c>
      <c r="F1200" t="s">
        <v>24</v>
      </c>
      <c r="G1200" t="s">
        <v>25</v>
      </c>
      <c r="H1200" t="str">
        <f t="shared" si="36"/>
        <v xml:space="preserve">RT TIAGO KOCH | Recorrência: | Observações: </v>
      </c>
      <c r="I1200" t="s">
        <v>491</v>
      </c>
      <c r="J1200" s="4">
        <v>141.55000000000001</v>
      </c>
      <c r="K1200" s="4">
        <v>572093.18000000005</v>
      </c>
      <c r="L1200" t="s">
        <v>27</v>
      </c>
      <c r="M1200" s="4">
        <v>141.55000000000001</v>
      </c>
      <c r="N1200" s="3">
        <v>0</v>
      </c>
      <c r="O1200" t="s">
        <v>2101</v>
      </c>
      <c r="P1200" t="s">
        <v>2126</v>
      </c>
      <c r="Q1200" t="s">
        <v>2101</v>
      </c>
      <c r="R1200" t="str">
        <f t="shared" si="37"/>
        <v>Sim</v>
      </c>
      <c r="S1200" t="s">
        <v>2101</v>
      </c>
      <c r="T1200" t="s">
        <v>30</v>
      </c>
      <c r="U1200" t="s">
        <v>49</v>
      </c>
      <c r="V1200" s="3">
        <v>141.55000000000001</v>
      </c>
      <c r="W1200" t="s">
        <v>494</v>
      </c>
      <c r="X1200" s="3">
        <v>141.55000000000001</v>
      </c>
    </row>
    <row r="1201" spans="1:24" s="2" customFormat="1" x14ac:dyDescent="0.2">
      <c r="A1201">
        <v>1201</v>
      </c>
      <c r="B1201" t="s">
        <v>647</v>
      </c>
      <c r="C1201" t="s">
        <v>648</v>
      </c>
      <c r="D1201" t="s">
        <v>1794</v>
      </c>
      <c r="E1201" t="s">
        <v>778</v>
      </c>
      <c r="F1201" t="s">
        <v>63</v>
      </c>
      <c r="G1201" t="s">
        <v>25</v>
      </c>
      <c r="H1201" t="str">
        <f t="shared" si="36"/>
        <v xml:space="preserve">DARF COFINS - | Recorrência:8/12 | Observações: </v>
      </c>
      <c r="I1201" t="s">
        <v>26</v>
      </c>
      <c r="J1201" s="5">
        <v>-37.76</v>
      </c>
      <c r="K1201" s="4">
        <v>572055.42000000004</v>
      </c>
      <c r="L1201" t="s">
        <v>27</v>
      </c>
      <c r="M1201" s="5">
        <v>-37.76</v>
      </c>
      <c r="N1201" s="3">
        <v>0</v>
      </c>
      <c r="O1201" t="s">
        <v>2126</v>
      </c>
      <c r="P1201" t="s">
        <v>2056</v>
      </c>
      <c r="Q1201" t="s">
        <v>2127</v>
      </c>
      <c r="R1201" t="str">
        <f t="shared" si="37"/>
        <v>nao</v>
      </c>
      <c r="S1201" t="s">
        <v>2128</v>
      </c>
      <c r="T1201" t="s">
        <v>30</v>
      </c>
      <c r="U1201" t="s">
        <v>1508</v>
      </c>
      <c r="V1201" s="3">
        <v>-37.76</v>
      </c>
      <c r="W1201" t="s">
        <v>297</v>
      </c>
      <c r="X1201" s="3">
        <v>-37.76</v>
      </c>
    </row>
    <row r="1202" spans="1:24" s="2" customFormat="1" x14ac:dyDescent="0.2">
      <c r="A1202" s="2">
        <v>1202</v>
      </c>
      <c r="B1202"/>
      <c r="C1202"/>
      <c r="D1202" t="s">
        <v>2129</v>
      </c>
      <c r="E1202" t="s">
        <v>30</v>
      </c>
      <c r="F1202" t="s">
        <v>63</v>
      </c>
      <c r="G1202" t="s">
        <v>25</v>
      </c>
      <c r="H1202" t="str">
        <f t="shared" si="36"/>
        <v xml:space="preserve">PGTO REFERENTE DIFERENÇA DE NF 281 - MONT B COM DE PEDRAS | Recorrência: | Observações: </v>
      </c>
      <c r="I1202" t="s">
        <v>1113</v>
      </c>
      <c r="J1202" s="5">
        <v>-56.38</v>
      </c>
      <c r="K1202" s="4">
        <v>571999.04</v>
      </c>
      <c r="L1202" t="s">
        <v>27</v>
      </c>
      <c r="M1202" s="5">
        <v>-56.38</v>
      </c>
      <c r="N1202" s="3">
        <v>0</v>
      </c>
      <c r="O1202" t="s">
        <v>2126</v>
      </c>
      <c r="P1202" t="s">
        <v>2126</v>
      </c>
      <c r="Q1202" t="s">
        <v>2126</v>
      </c>
      <c r="R1202" t="str">
        <f t="shared" si="37"/>
        <v>Sim</v>
      </c>
      <c r="S1202" t="s">
        <v>2126</v>
      </c>
      <c r="T1202" t="s">
        <v>30</v>
      </c>
      <c r="U1202" t="s">
        <v>1301</v>
      </c>
      <c r="V1202" s="3">
        <v>-56.38</v>
      </c>
      <c r="W1202" t="s">
        <v>1997</v>
      </c>
      <c r="X1202" s="3">
        <v>-56.38</v>
      </c>
    </row>
    <row r="1203" spans="1:24" s="2" customFormat="1" x14ac:dyDescent="0.2">
      <c r="A1203">
        <v>1203</v>
      </c>
      <c r="B1203" t="s">
        <v>2130</v>
      </c>
      <c r="C1203" t="s">
        <v>2131</v>
      </c>
      <c r="D1203" t="s">
        <v>2132</v>
      </c>
      <c r="E1203" t="s">
        <v>30</v>
      </c>
      <c r="F1203" t="s">
        <v>24</v>
      </c>
      <c r="G1203" t="s">
        <v>25</v>
      </c>
      <c r="H1203" t="str">
        <f t="shared" si="36"/>
        <v>RT - STEPHANIE_ENRICO&gt; ACAPULCO - GUARUJÁ | Recorrência: | Observações: Eduardo - cpf 001.455.315-54</v>
      </c>
      <c r="I1203" t="s">
        <v>1113</v>
      </c>
      <c r="J1203" s="4">
        <v>320</v>
      </c>
      <c r="K1203" s="4">
        <v>572319.04</v>
      </c>
      <c r="L1203" t="s">
        <v>27</v>
      </c>
      <c r="M1203" s="4">
        <v>320</v>
      </c>
      <c r="N1203" s="3">
        <v>0</v>
      </c>
      <c r="O1203" t="s">
        <v>2105</v>
      </c>
      <c r="P1203" t="s">
        <v>2105</v>
      </c>
      <c r="Q1203" t="s">
        <v>2105</v>
      </c>
      <c r="R1203" t="str">
        <f t="shared" si="37"/>
        <v>Sim</v>
      </c>
      <c r="S1203" t="s">
        <v>2105</v>
      </c>
      <c r="T1203" t="s">
        <v>2133</v>
      </c>
      <c r="U1203" t="s">
        <v>49</v>
      </c>
      <c r="V1203" s="3">
        <v>320</v>
      </c>
      <c r="W1203" t="s">
        <v>494</v>
      </c>
      <c r="X1203" s="3">
        <v>320</v>
      </c>
    </row>
    <row r="1204" spans="1:24" s="2" customFormat="1" x14ac:dyDescent="0.2">
      <c r="A1204" s="2">
        <v>1204</v>
      </c>
      <c r="B1204" t="s">
        <v>1204</v>
      </c>
      <c r="C1204" t="s">
        <v>1205</v>
      </c>
      <c r="D1204" t="s">
        <v>2134</v>
      </c>
      <c r="E1204" t="s">
        <v>30</v>
      </c>
      <c r="F1204" t="s">
        <v>24</v>
      </c>
      <c r="G1204" t="s">
        <v>25</v>
      </c>
      <c r="H1204" t="str">
        <f t="shared" si="36"/>
        <v xml:space="preserve">RT REFERENTE PEDIDOS MÊS DE JULHO: FARIZE E AMAURI | Recorrência: | Observações: </v>
      </c>
      <c r="I1204" t="s">
        <v>491</v>
      </c>
      <c r="J1204" s="4">
        <v>4513.6499999999996</v>
      </c>
      <c r="K1204" s="4">
        <v>576832.68999999994</v>
      </c>
      <c r="L1204" t="s">
        <v>27</v>
      </c>
      <c r="M1204" s="4">
        <v>4513.6499999999996</v>
      </c>
      <c r="N1204" s="3">
        <v>0</v>
      </c>
      <c r="O1204" t="s">
        <v>2127</v>
      </c>
      <c r="P1204" t="s">
        <v>2107</v>
      </c>
      <c r="Q1204" t="s">
        <v>2127</v>
      </c>
      <c r="R1204" t="str">
        <f t="shared" si="37"/>
        <v>nao</v>
      </c>
      <c r="S1204" t="s">
        <v>2135</v>
      </c>
      <c r="T1204" t="s">
        <v>30</v>
      </c>
      <c r="U1204" t="s">
        <v>49</v>
      </c>
      <c r="V1204" s="3">
        <v>4513.6499999999996</v>
      </c>
      <c r="W1204" t="s">
        <v>494</v>
      </c>
      <c r="X1204" s="3">
        <v>4513.6499999999996</v>
      </c>
    </row>
    <row r="1205" spans="1:24" s="2" customFormat="1" x14ac:dyDescent="0.2">
      <c r="A1205">
        <v>1205</v>
      </c>
      <c r="B1205"/>
      <c r="C1205" t="s">
        <v>153</v>
      </c>
      <c r="D1205" t="s">
        <v>2136</v>
      </c>
      <c r="E1205" t="s">
        <v>30</v>
      </c>
      <c r="F1205" t="s">
        <v>63</v>
      </c>
      <c r="G1205" t="s">
        <v>25</v>
      </c>
      <c r="H1205" t="str">
        <f t="shared" si="36"/>
        <v xml:space="preserve">9/12 - PRÓ LABORE MAYARA 9/12 | Recorrência: | Observações: </v>
      </c>
      <c r="I1205" t="s">
        <v>30</v>
      </c>
      <c r="J1205" s="5">
        <v>-15000</v>
      </c>
      <c r="K1205" s="4">
        <v>561832.68999999994</v>
      </c>
      <c r="L1205" t="s">
        <v>27</v>
      </c>
      <c r="M1205" s="5">
        <v>-15000</v>
      </c>
      <c r="N1205" s="3">
        <v>0</v>
      </c>
      <c r="O1205" t="s">
        <v>2122</v>
      </c>
      <c r="P1205" t="s">
        <v>1457</v>
      </c>
      <c r="Q1205" t="s">
        <v>2137</v>
      </c>
      <c r="R1205" t="str">
        <f t="shared" si="37"/>
        <v>nao</v>
      </c>
      <c r="S1205" t="s">
        <v>2135</v>
      </c>
      <c r="T1205" t="s">
        <v>30</v>
      </c>
      <c r="U1205" t="s">
        <v>631</v>
      </c>
      <c r="V1205" s="3">
        <v>-15000</v>
      </c>
      <c r="W1205" t="s">
        <v>1164</v>
      </c>
      <c r="X1205" s="3">
        <v>-15000</v>
      </c>
    </row>
    <row r="1206" spans="1:24" s="2" customFormat="1" x14ac:dyDescent="0.2">
      <c r="A1206" s="2">
        <v>1206</v>
      </c>
      <c r="B1206" t="s">
        <v>1450</v>
      </c>
      <c r="C1206" t="s">
        <v>1451</v>
      </c>
      <c r="D1206" t="s">
        <v>2138</v>
      </c>
      <c r="E1206" t="s">
        <v>30</v>
      </c>
      <c r="F1206" t="s">
        <v>24</v>
      </c>
      <c r="G1206" t="s">
        <v>25</v>
      </c>
      <c r="H1206" t="str">
        <f t="shared" si="36"/>
        <v xml:space="preserve">2/2 - RT_AMAURI _ LUCIENE GIL MARCHI  1/3 | Recorrência: | Observações: </v>
      </c>
      <c r="I1206" t="s">
        <v>491</v>
      </c>
      <c r="J1206" s="4">
        <v>10000</v>
      </c>
      <c r="K1206" s="4">
        <v>571832.68999999994</v>
      </c>
      <c r="L1206" t="s">
        <v>27</v>
      </c>
      <c r="M1206" s="4">
        <v>10000</v>
      </c>
      <c r="N1206" s="3">
        <v>0</v>
      </c>
      <c r="O1206" t="s">
        <v>2122</v>
      </c>
      <c r="P1206" t="s">
        <v>2020</v>
      </c>
      <c r="Q1206" t="s">
        <v>2037</v>
      </c>
      <c r="R1206" t="str">
        <f t="shared" si="37"/>
        <v>nao</v>
      </c>
      <c r="S1206" t="s">
        <v>2122</v>
      </c>
      <c r="T1206" t="s">
        <v>30</v>
      </c>
      <c r="U1206" t="s">
        <v>2023</v>
      </c>
      <c r="V1206" s="3">
        <v>10000</v>
      </c>
      <c r="W1206" t="s">
        <v>494</v>
      </c>
      <c r="X1206" s="3">
        <v>10000</v>
      </c>
    </row>
    <row r="1207" spans="1:24" s="2" customFormat="1" x14ac:dyDescent="0.2">
      <c r="A1207">
        <v>1207</v>
      </c>
      <c r="B1207"/>
      <c r="C1207" t="s">
        <v>710</v>
      </c>
      <c r="D1207" t="s">
        <v>1978</v>
      </c>
      <c r="E1207" t="s">
        <v>778</v>
      </c>
      <c r="F1207" t="s">
        <v>63</v>
      </c>
      <c r="G1207" t="s">
        <v>25</v>
      </c>
      <c r="H1207" t="str">
        <f t="shared" si="36"/>
        <v xml:space="preserve">ENÉRGIA ELETRICA | Recorrência:8/12 | Observações: </v>
      </c>
      <c r="I1207" t="s">
        <v>26</v>
      </c>
      <c r="J1207" s="5">
        <v>-234.4</v>
      </c>
      <c r="K1207" s="4">
        <v>571598.29</v>
      </c>
      <c r="L1207" t="s">
        <v>27</v>
      </c>
      <c r="M1207" s="5">
        <v>-234.4</v>
      </c>
      <c r="N1207" s="3">
        <v>0</v>
      </c>
      <c r="O1207" t="s">
        <v>2135</v>
      </c>
      <c r="P1207" t="s">
        <v>2135</v>
      </c>
      <c r="Q1207" t="s">
        <v>2135</v>
      </c>
      <c r="R1207" t="str">
        <f t="shared" si="37"/>
        <v>Sim</v>
      </c>
      <c r="S1207" t="s">
        <v>2135</v>
      </c>
      <c r="T1207" t="s">
        <v>30</v>
      </c>
      <c r="U1207" t="s">
        <v>125</v>
      </c>
      <c r="V1207" s="3">
        <v>-234.4</v>
      </c>
      <c r="W1207" t="s">
        <v>125</v>
      </c>
      <c r="X1207" s="3">
        <v>-234.4</v>
      </c>
    </row>
    <row r="1208" spans="1:24" s="2" customFormat="1" x14ac:dyDescent="0.2">
      <c r="A1208" s="2">
        <v>1208</v>
      </c>
      <c r="B1208"/>
      <c r="C1208" t="s">
        <v>153</v>
      </c>
      <c r="D1208" t="s">
        <v>2139</v>
      </c>
      <c r="E1208" t="s">
        <v>30</v>
      </c>
      <c r="F1208" t="s">
        <v>63</v>
      </c>
      <c r="G1208" t="s">
        <v>25</v>
      </c>
      <c r="H1208" t="str">
        <f t="shared" si="36"/>
        <v xml:space="preserve">9/12 - PRÓ LABORE - NATASHA 9/12 | Recorrência: | Observações: </v>
      </c>
      <c r="I1208" t="s">
        <v>491</v>
      </c>
      <c r="J1208" s="5">
        <v>-15000</v>
      </c>
      <c r="K1208" s="4">
        <v>556598.29</v>
      </c>
      <c r="L1208" t="s">
        <v>27</v>
      </c>
      <c r="M1208" s="5">
        <v>-15000</v>
      </c>
      <c r="N1208" s="3">
        <v>0</v>
      </c>
      <c r="O1208" t="s">
        <v>2135</v>
      </c>
      <c r="P1208" t="s">
        <v>1457</v>
      </c>
      <c r="Q1208" t="s">
        <v>2137</v>
      </c>
      <c r="R1208" t="str">
        <f t="shared" si="37"/>
        <v>nao</v>
      </c>
      <c r="S1208" t="s">
        <v>2135</v>
      </c>
      <c r="T1208" t="s">
        <v>30</v>
      </c>
      <c r="U1208" t="s">
        <v>631</v>
      </c>
      <c r="V1208" s="3">
        <v>-15000</v>
      </c>
      <c r="W1208" t="s">
        <v>1164</v>
      </c>
      <c r="X1208" s="3">
        <v>-15000</v>
      </c>
    </row>
    <row r="1209" spans="1:24" s="2" customFormat="1" x14ac:dyDescent="0.2">
      <c r="A1209">
        <v>1209</v>
      </c>
      <c r="B1209"/>
      <c r="C1209" t="s">
        <v>2013</v>
      </c>
      <c r="D1209" t="s">
        <v>2140</v>
      </c>
      <c r="E1209" t="s">
        <v>30</v>
      </c>
      <c r="F1209" t="s">
        <v>24</v>
      </c>
      <c r="G1209" t="s">
        <v>25</v>
      </c>
      <c r="H1209" t="str">
        <f t="shared" si="36"/>
        <v xml:space="preserve">3/3 - PROJETO ED. ALLE -  UNIDADES 05 E 06 3/3 | Recorrência: | Observações: </v>
      </c>
      <c r="I1209" t="s">
        <v>491</v>
      </c>
      <c r="J1209" s="4">
        <v>3000</v>
      </c>
      <c r="K1209" s="4">
        <v>559598.29</v>
      </c>
      <c r="L1209" t="s">
        <v>27</v>
      </c>
      <c r="M1209" s="4">
        <v>3000</v>
      </c>
      <c r="N1209" s="3">
        <v>0</v>
      </c>
      <c r="O1209" t="s">
        <v>2135</v>
      </c>
      <c r="P1209" t="s">
        <v>1982</v>
      </c>
      <c r="Q1209" t="s">
        <v>2078</v>
      </c>
      <c r="R1209" t="str">
        <f t="shared" si="37"/>
        <v>Sim</v>
      </c>
      <c r="S1209" t="s">
        <v>2078</v>
      </c>
      <c r="T1209" t="s">
        <v>30</v>
      </c>
      <c r="U1209" t="s">
        <v>31</v>
      </c>
      <c r="V1209" s="3">
        <v>3000</v>
      </c>
      <c r="W1209" t="s">
        <v>32</v>
      </c>
      <c r="X1209" s="3">
        <v>3000</v>
      </c>
    </row>
    <row r="1210" spans="1:24" s="2" customFormat="1" x14ac:dyDescent="0.2">
      <c r="A1210" s="2">
        <v>1210</v>
      </c>
      <c r="B1210"/>
      <c r="C1210" t="s">
        <v>153</v>
      </c>
      <c r="D1210" t="s">
        <v>2142</v>
      </c>
      <c r="E1210" t="s">
        <v>30</v>
      </c>
      <c r="F1210" t="s">
        <v>63</v>
      </c>
      <c r="G1210" t="s">
        <v>25</v>
      </c>
      <c r="H1210" t="str">
        <f t="shared" si="36"/>
        <v xml:space="preserve">SODEXO ELIANE 08/12 | Recorrência: | Observações: </v>
      </c>
      <c r="I1210" t="s">
        <v>26</v>
      </c>
      <c r="J1210" s="5">
        <v>-1249.75</v>
      </c>
      <c r="K1210" s="4">
        <v>558348.54</v>
      </c>
      <c r="L1210" t="s">
        <v>27</v>
      </c>
      <c r="M1210" s="5">
        <v>-1249.75</v>
      </c>
      <c r="N1210" s="3">
        <v>0</v>
      </c>
      <c r="O1210" t="s">
        <v>2141</v>
      </c>
      <c r="P1210" t="s">
        <v>2141</v>
      </c>
      <c r="Q1210" t="s">
        <v>2137</v>
      </c>
      <c r="R1210" t="str">
        <f t="shared" si="37"/>
        <v>Sim</v>
      </c>
      <c r="S1210" t="s">
        <v>2137</v>
      </c>
      <c r="T1210" t="s">
        <v>30</v>
      </c>
      <c r="U1210" t="s">
        <v>93</v>
      </c>
      <c r="V1210" s="3">
        <v>-1249.75</v>
      </c>
      <c r="W1210" t="s">
        <v>331</v>
      </c>
      <c r="X1210" s="3">
        <v>-1249.75</v>
      </c>
    </row>
    <row r="1211" spans="1:24" s="2" customFormat="1" x14ac:dyDescent="0.2">
      <c r="A1211">
        <v>1211</v>
      </c>
      <c r="B1211"/>
      <c r="C1211" t="s">
        <v>153</v>
      </c>
      <c r="D1211" t="s">
        <v>636</v>
      </c>
      <c r="E1211" t="s">
        <v>853</v>
      </c>
      <c r="F1211" t="s">
        <v>63</v>
      </c>
      <c r="G1211" t="s">
        <v>25</v>
      </c>
      <c r="H1211" t="str">
        <f t="shared" si="36"/>
        <v xml:space="preserve">SALÁRIO ELIANE | Recorrência:9/12 | Observações: </v>
      </c>
      <c r="I1211" t="s">
        <v>491</v>
      </c>
      <c r="J1211" s="5">
        <v>-1859.65</v>
      </c>
      <c r="K1211" s="4">
        <v>556488.89</v>
      </c>
      <c r="L1211" t="s">
        <v>27</v>
      </c>
      <c r="M1211" s="5">
        <v>-1859.65</v>
      </c>
      <c r="N1211" s="3">
        <v>0</v>
      </c>
      <c r="O1211" t="s">
        <v>2141</v>
      </c>
      <c r="P1211" t="s">
        <v>2141</v>
      </c>
      <c r="Q1211" t="s">
        <v>2143</v>
      </c>
      <c r="R1211" t="str">
        <f t="shared" si="37"/>
        <v>nao</v>
      </c>
      <c r="S1211" t="s">
        <v>2137</v>
      </c>
      <c r="T1211" t="s">
        <v>30</v>
      </c>
      <c r="U1211" t="s">
        <v>323</v>
      </c>
      <c r="V1211" s="3">
        <v>-1859.65</v>
      </c>
      <c r="W1211" t="s">
        <v>1164</v>
      </c>
      <c r="X1211" s="3">
        <v>-1859.65</v>
      </c>
    </row>
    <row r="1212" spans="1:24" s="2" customFormat="1" x14ac:dyDescent="0.2">
      <c r="A1212" s="2">
        <v>1212</v>
      </c>
      <c r="B1212" t="s">
        <v>1987</v>
      </c>
      <c r="C1212" t="s">
        <v>1988</v>
      </c>
      <c r="D1212" t="s">
        <v>2144</v>
      </c>
      <c r="E1212" t="s">
        <v>30</v>
      </c>
      <c r="F1212" t="s">
        <v>63</v>
      </c>
      <c r="G1212" t="s">
        <v>25</v>
      </c>
      <c r="H1212" t="str">
        <f t="shared" si="36"/>
        <v>3/3 - COMISSÃO PROJETO STEPHANIE E ENRICO GUARUJA 3/3 | Recorrência: | Observações: COMISSÃO DE 5% DO PROJETO STEPHANIE E ENRICO GUARUJA
TOTAL PROJETO R$ 9.000,00 PAGO EM 3X</v>
      </c>
      <c r="I1212" t="s">
        <v>491</v>
      </c>
      <c r="J1212" s="5">
        <v>-150</v>
      </c>
      <c r="K1212" s="4">
        <v>556338.89</v>
      </c>
      <c r="L1212" t="s">
        <v>27</v>
      </c>
      <c r="M1212" s="5">
        <v>-150</v>
      </c>
      <c r="N1212" s="3">
        <v>0</v>
      </c>
      <c r="O1212" t="s">
        <v>2141</v>
      </c>
      <c r="P1212" t="s">
        <v>1928</v>
      </c>
      <c r="Q1212" t="s">
        <v>2137</v>
      </c>
      <c r="R1212" t="str">
        <f t="shared" si="37"/>
        <v>Sim</v>
      </c>
      <c r="S1212" t="s">
        <v>2137</v>
      </c>
      <c r="T1212" t="s">
        <v>1993</v>
      </c>
      <c r="U1212" t="s">
        <v>1991</v>
      </c>
      <c r="V1212" s="3">
        <v>-150</v>
      </c>
      <c r="W1212" t="s">
        <v>1722</v>
      </c>
      <c r="X1212" s="3">
        <v>-150</v>
      </c>
    </row>
    <row r="1213" spans="1:24" s="2" customFormat="1" x14ac:dyDescent="0.2">
      <c r="A1213">
        <v>1213</v>
      </c>
      <c r="B1213" t="s">
        <v>1987</v>
      </c>
      <c r="C1213" t="s">
        <v>1988</v>
      </c>
      <c r="D1213" t="s">
        <v>2145</v>
      </c>
      <c r="E1213" t="s">
        <v>30</v>
      </c>
      <c r="F1213" t="s">
        <v>63</v>
      </c>
      <c r="G1213" t="s">
        <v>25</v>
      </c>
      <c r="H1213" t="str">
        <f t="shared" si="36"/>
        <v>2/3 - COMISSÃO VERA  2/3 | Recorrência: | Observações: COMISSÃO CLIENTE VERA PARASMO 
5% VALOR PROJETO R$ 9.000,00 =R$ 450,00 EM 3X</v>
      </c>
      <c r="I1213" t="s">
        <v>30</v>
      </c>
      <c r="J1213" s="5">
        <v>-150</v>
      </c>
      <c r="K1213" s="4">
        <v>556188.89</v>
      </c>
      <c r="L1213" t="s">
        <v>27</v>
      </c>
      <c r="M1213" s="5">
        <v>-150</v>
      </c>
      <c r="N1213" s="3">
        <v>0</v>
      </c>
      <c r="O1213" t="s">
        <v>2141</v>
      </c>
      <c r="P1213" t="s">
        <v>2015</v>
      </c>
      <c r="Q1213" t="s">
        <v>2137</v>
      </c>
      <c r="R1213" t="str">
        <f t="shared" si="37"/>
        <v>Sim</v>
      </c>
      <c r="S1213" t="s">
        <v>2137</v>
      </c>
      <c r="T1213" t="s">
        <v>2073</v>
      </c>
      <c r="U1213" t="s">
        <v>1991</v>
      </c>
      <c r="V1213" s="3">
        <v>-150</v>
      </c>
      <c r="W1213" t="s">
        <v>1722</v>
      </c>
      <c r="X1213" s="3">
        <v>-150</v>
      </c>
    </row>
    <row r="1214" spans="1:24" s="2" customFormat="1" x14ac:dyDescent="0.2">
      <c r="A1214" s="2">
        <v>1214</v>
      </c>
      <c r="B1214" t="s">
        <v>1987</v>
      </c>
      <c r="C1214" t="s">
        <v>1988</v>
      </c>
      <c r="D1214" t="s">
        <v>2146</v>
      </c>
      <c r="E1214" t="s">
        <v>30</v>
      </c>
      <c r="F1214" t="s">
        <v>63</v>
      </c>
      <c r="G1214" t="s">
        <v>25</v>
      </c>
      <c r="H1214" t="str">
        <f t="shared" si="36"/>
        <v>1/2 - COMISSÃO PROJETO PULO RAMOS 1/2 | Recorrência: | Observações: COMISSÃO PROJETO PAULO RAMOS
VALOR PROJETO R$ 489,00
PAGAMENTO 1/2-R$ 244,50 -01/09
PAGAMENTO 2/2-R$ 244,50-01/10</v>
      </c>
      <c r="I1214" t="s">
        <v>755</v>
      </c>
      <c r="J1214" s="5">
        <v>-244.5</v>
      </c>
      <c r="K1214" s="4">
        <v>555944.39</v>
      </c>
      <c r="L1214" t="s">
        <v>27</v>
      </c>
      <c r="M1214" s="5">
        <v>-244.5</v>
      </c>
      <c r="N1214" s="3">
        <v>0</v>
      </c>
      <c r="O1214" t="s">
        <v>2141</v>
      </c>
      <c r="P1214" t="s">
        <v>2128</v>
      </c>
      <c r="Q1214" t="s">
        <v>2137</v>
      </c>
      <c r="R1214" t="str">
        <f t="shared" si="37"/>
        <v>Sim</v>
      </c>
      <c r="S1214" t="s">
        <v>2137</v>
      </c>
      <c r="T1214" t="s">
        <v>2147</v>
      </c>
      <c r="U1214" t="s">
        <v>1991</v>
      </c>
      <c r="V1214" s="3">
        <v>-244.5</v>
      </c>
      <c r="W1214" t="s">
        <v>1722</v>
      </c>
      <c r="X1214" s="3">
        <v>-244.5</v>
      </c>
    </row>
    <row r="1215" spans="1:24" s="2" customFormat="1" x14ac:dyDescent="0.2">
      <c r="A1215">
        <v>1215</v>
      </c>
      <c r="B1215"/>
      <c r="C1215" t="s">
        <v>153</v>
      </c>
      <c r="D1215" t="s">
        <v>2148</v>
      </c>
      <c r="E1215" t="s">
        <v>30</v>
      </c>
      <c r="F1215" t="s">
        <v>63</v>
      </c>
      <c r="G1215" t="s">
        <v>25</v>
      </c>
      <c r="H1215" t="str">
        <f t="shared" si="36"/>
        <v xml:space="preserve">10/10 - ELIANE - VALE TRANSPORTE 10/12 | Recorrência: | Observações: </v>
      </c>
      <c r="I1215" t="s">
        <v>491</v>
      </c>
      <c r="J1215" s="5">
        <v>-334.4</v>
      </c>
      <c r="K1215" s="4">
        <v>555609.99</v>
      </c>
      <c r="L1215" t="s">
        <v>27</v>
      </c>
      <c r="M1215" s="5">
        <v>-334.4</v>
      </c>
      <c r="N1215" s="3">
        <v>0</v>
      </c>
      <c r="O1215" t="s">
        <v>2141</v>
      </c>
      <c r="P1215" t="s">
        <v>1500</v>
      </c>
      <c r="Q1215" t="s">
        <v>2141</v>
      </c>
      <c r="R1215" t="str">
        <f t="shared" si="37"/>
        <v>nao</v>
      </c>
      <c r="S1215" t="s">
        <v>2137</v>
      </c>
      <c r="T1215" t="s">
        <v>30</v>
      </c>
      <c r="U1215" t="s">
        <v>698</v>
      </c>
      <c r="V1215" s="3">
        <v>-334.4</v>
      </c>
      <c r="W1215" t="s">
        <v>698</v>
      </c>
      <c r="X1215" s="3">
        <v>-334.4</v>
      </c>
    </row>
    <row r="1216" spans="1:24" s="2" customFormat="1" x14ac:dyDescent="0.2">
      <c r="A1216" s="2">
        <v>1216</v>
      </c>
      <c r="B1216"/>
      <c r="C1216" t="s">
        <v>828</v>
      </c>
      <c r="D1216" t="s">
        <v>830</v>
      </c>
      <c r="E1216" t="s">
        <v>2149</v>
      </c>
      <c r="F1216" t="s">
        <v>63</v>
      </c>
      <c r="G1216" t="s">
        <v>25</v>
      </c>
      <c r="H1216" t="str">
        <f t="shared" si="36"/>
        <v xml:space="preserve">PREFEITURA DO MUNICIPIO DE BERTIOGA | Recorrência:18/41 | Observações: REF.02 PAGAMENTOS </v>
      </c>
      <c r="I1216" t="s">
        <v>26</v>
      </c>
      <c r="J1216" s="5">
        <v>-232.82</v>
      </c>
      <c r="K1216" s="4">
        <v>555377.17000000004</v>
      </c>
      <c r="L1216" t="s">
        <v>27</v>
      </c>
      <c r="M1216" s="5">
        <v>-232.82</v>
      </c>
      <c r="N1216" s="3">
        <v>0</v>
      </c>
      <c r="O1216" t="s">
        <v>2141</v>
      </c>
      <c r="P1216" t="s">
        <v>2141</v>
      </c>
      <c r="Q1216" t="s">
        <v>2141</v>
      </c>
      <c r="R1216" t="str">
        <f t="shared" si="37"/>
        <v>Sim</v>
      </c>
      <c r="S1216" t="s">
        <v>2141</v>
      </c>
      <c r="T1216" t="s">
        <v>831</v>
      </c>
      <c r="U1216" t="s">
        <v>832</v>
      </c>
      <c r="V1216" s="3">
        <v>-232.82</v>
      </c>
      <c r="W1216" t="s">
        <v>376</v>
      </c>
      <c r="X1216" s="3">
        <v>-232.82</v>
      </c>
    </row>
    <row r="1217" spans="1:24" s="2" customFormat="1" x14ac:dyDescent="0.2">
      <c r="A1217">
        <v>1217</v>
      </c>
      <c r="B1217"/>
      <c r="C1217" t="s">
        <v>153</v>
      </c>
      <c r="D1217" t="s">
        <v>2150</v>
      </c>
      <c r="E1217" t="s">
        <v>30</v>
      </c>
      <c r="F1217" t="s">
        <v>63</v>
      </c>
      <c r="G1217" t="s">
        <v>25</v>
      </c>
      <c r="H1217" t="str">
        <f t="shared" si="36"/>
        <v xml:space="preserve">1/2 - LAURA DE CICO 1/5 | Recorrência: | Observações: </v>
      </c>
      <c r="I1217" t="s">
        <v>491</v>
      </c>
      <c r="J1217" s="5">
        <v>-2418.2600000000002</v>
      </c>
      <c r="K1217" s="4">
        <v>552958.91</v>
      </c>
      <c r="L1217" t="s">
        <v>27</v>
      </c>
      <c r="M1217" s="5">
        <v>-2418.2600000000002</v>
      </c>
      <c r="N1217" s="3">
        <v>0</v>
      </c>
      <c r="O1217" t="s">
        <v>2141</v>
      </c>
      <c r="P1217" t="s">
        <v>2058</v>
      </c>
      <c r="Q1217" t="s">
        <v>2141</v>
      </c>
      <c r="R1217" t="str">
        <f t="shared" si="37"/>
        <v>Sim</v>
      </c>
      <c r="S1217" t="s">
        <v>2141</v>
      </c>
      <c r="T1217" t="s">
        <v>30</v>
      </c>
      <c r="U1217" t="s">
        <v>323</v>
      </c>
      <c r="V1217" s="3">
        <v>-2418.2600000000002</v>
      </c>
      <c r="W1217" t="s">
        <v>1164</v>
      </c>
      <c r="X1217" s="3">
        <v>-2418.2600000000002</v>
      </c>
    </row>
    <row r="1218" spans="1:24" s="2" customFormat="1" x14ac:dyDescent="0.2">
      <c r="A1218" s="2">
        <v>1218</v>
      </c>
      <c r="B1218"/>
      <c r="C1218" t="s">
        <v>153</v>
      </c>
      <c r="D1218" t="s">
        <v>2151</v>
      </c>
      <c r="E1218" t="s">
        <v>30</v>
      </c>
      <c r="F1218" t="s">
        <v>63</v>
      </c>
      <c r="G1218" t="s">
        <v>25</v>
      </c>
      <c r="H1218" t="str">
        <f t="shared" si="36"/>
        <v xml:space="preserve">9/11 - SALÁRIO - JULYA 9/12 | Recorrência: | Observações: </v>
      </c>
      <c r="I1218" t="s">
        <v>991</v>
      </c>
      <c r="J1218" s="5">
        <v>-4341.92</v>
      </c>
      <c r="K1218" s="4">
        <v>548616.99</v>
      </c>
      <c r="L1218" t="s">
        <v>27</v>
      </c>
      <c r="M1218" s="5">
        <v>-4341.92</v>
      </c>
      <c r="N1218" s="3">
        <v>0</v>
      </c>
      <c r="O1218" t="s">
        <v>2141</v>
      </c>
      <c r="P1218" t="s">
        <v>1457</v>
      </c>
      <c r="Q1218" t="s">
        <v>2137</v>
      </c>
      <c r="R1218" t="str">
        <f t="shared" si="37"/>
        <v>nao</v>
      </c>
      <c r="S1218" t="s">
        <v>2141</v>
      </c>
      <c r="T1218" t="s">
        <v>30</v>
      </c>
      <c r="U1218" t="s">
        <v>323</v>
      </c>
      <c r="V1218" s="3">
        <v>-4341.92</v>
      </c>
      <c r="W1218" t="s">
        <v>1164</v>
      </c>
      <c r="X1218" s="3">
        <v>-4341.92</v>
      </c>
    </row>
    <row r="1219" spans="1:24" s="2" customFormat="1" x14ac:dyDescent="0.2">
      <c r="A1219">
        <v>1219</v>
      </c>
      <c r="B1219" t="s">
        <v>2152</v>
      </c>
      <c r="C1219" t="s">
        <v>2153</v>
      </c>
      <c r="D1219" t="s">
        <v>2154</v>
      </c>
      <c r="E1219" t="s">
        <v>30</v>
      </c>
      <c r="F1219" t="s">
        <v>63</v>
      </c>
      <c r="G1219" t="s">
        <v>25</v>
      </c>
      <c r="H1219" t="str">
        <f t="shared" ref="H1219:H1282" si="38">D1219&amp;" | "&amp;$E$1&amp;E1219&amp;" | Observações: "&amp;T1219</f>
        <v xml:space="preserve">3D PROJETO CAMILA E PAULO RAMOS | Recorrência: | Observações: </v>
      </c>
      <c r="I1219" t="s">
        <v>1113</v>
      </c>
      <c r="J1219" s="5">
        <v>-700</v>
      </c>
      <c r="K1219" s="4">
        <v>547916.99</v>
      </c>
      <c r="L1219" t="s">
        <v>27</v>
      </c>
      <c r="M1219" s="5">
        <v>-700</v>
      </c>
      <c r="N1219" s="3">
        <v>0</v>
      </c>
      <c r="O1219" t="s">
        <v>2141</v>
      </c>
      <c r="P1219" t="s">
        <v>2137</v>
      </c>
      <c r="Q1219" t="s">
        <v>2141</v>
      </c>
      <c r="R1219" t="str">
        <f t="shared" ref="R1219:R1282" si="39">IF(Q1219=S1219,"Sim","nao")</f>
        <v>Sim</v>
      </c>
      <c r="S1219" t="s">
        <v>2141</v>
      </c>
      <c r="T1219" t="s">
        <v>30</v>
      </c>
      <c r="U1219" t="s">
        <v>344</v>
      </c>
      <c r="V1219" s="3">
        <v>-700</v>
      </c>
      <c r="W1219" t="s">
        <v>2155</v>
      </c>
      <c r="X1219" s="3">
        <v>-700</v>
      </c>
    </row>
    <row r="1220" spans="1:24" s="2" customFormat="1" x14ac:dyDescent="0.2">
      <c r="A1220" s="2">
        <v>1220</v>
      </c>
      <c r="B1220" t="s">
        <v>2156</v>
      </c>
      <c r="C1220" t="s">
        <v>2157</v>
      </c>
      <c r="D1220" t="s">
        <v>2158</v>
      </c>
      <c r="E1220" t="s">
        <v>30</v>
      </c>
      <c r="F1220" t="s">
        <v>24</v>
      </c>
      <c r="G1220" t="s">
        <v>25</v>
      </c>
      <c r="H1220" t="str">
        <f t="shared" si="38"/>
        <v xml:space="preserve">RT PEDIDO 27876 - GABRIELA BORGES | Recorrência: | Observações: </v>
      </c>
      <c r="I1220" t="s">
        <v>991</v>
      </c>
      <c r="J1220" s="4">
        <v>1000</v>
      </c>
      <c r="K1220" s="4">
        <v>548916.99</v>
      </c>
      <c r="L1220" t="s">
        <v>27</v>
      </c>
      <c r="M1220" s="4">
        <v>1000</v>
      </c>
      <c r="N1220" s="3">
        <v>0</v>
      </c>
      <c r="O1220" t="s">
        <v>2141</v>
      </c>
      <c r="P1220" t="s">
        <v>2141</v>
      </c>
      <c r="Q1220" t="s">
        <v>2141</v>
      </c>
      <c r="R1220" t="str">
        <f t="shared" si="39"/>
        <v>Sim</v>
      </c>
      <c r="S1220" t="s">
        <v>2141</v>
      </c>
      <c r="T1220" t="s">
        <v>30</v>
      </c>
      <c r="U1220" t="s">
        <v>49</v>
      </c>
      <c r="V1220" s="3">
        <v>1000</v>
      </c>
      <c r="W1220" t="s">
        <v>494</v>
      </c>
      <c r="X1220" s="3">
        <v>1000</v>
      </c>
    </row>
    <row r="1221" spans="1:24" s="2" customFormat="1" x14ac:dyDescent="0.2">
      <c r="A1221">
        <v>1221</v>
      </c>
      <c r="B1221"/>
      <c r="C1221" t="s">
        <v>153</v>
      </c>
      <c r="D1221" t="s">
        <v>2159</v>
      </c>
      <c r="E1221" t="s">
        <v>778</v>
      </c>
      <c r="F1221" t="s">
        <v>63</v>
      </c>
      <c r="G1221" t="s">
        <v>25</v>
      </c>
      <c r="H1221" t="str">
        <f t="shared" si="38"/>
        <v>DIÁRIAS  JULIANA SOARES - REFERENTE AGOSTO | Recorrência:8/12 | Observações: DIÁRIAS: 03-11-18 E 26 JANEIRO</v>
      </c>
      <c r="I1221" t="s">
        <v>491</v>
      </c>
      <c r="J1221" s="5">
        <v>-480</v>
      </c>
      <c r="K1221" s="4">
        <v>548436.99</v>
      </c>
      <c r="L1221" t="s">
        <v>27</v>
      </c>
      <c r="M1221" s="5">
        <v>-480</v>
      </c>
      <c r="N1221" s="3">
        <v>0</v>
      </c>
      <c r="O1221" t="s">
        <v>2141</v>
      </c>
      <c r="P1221" t="s">
        <v>2058</v>
      </c>
      <c r="Q1221" t="s">
        <v>2141</v>
      </c>
      <c r="R1221" t="str">
        <f t="shared" si="39"/>
        <v>nao</v>
      </c>
      <c r="S1221" t="s">
        <v>2020</v>
      </c>
      <c r="T1221" t="s">
        <v>1668</v>
      </c>
      <c r="U1221" t="s">
        <v>691</v>
      </c>
      <c r="V1221" s="3">
        <v>-480</v>
      </c>
      <c r="W1221" t="s">
        <v>1058</v>
      </c>
      <c r="X1221" s="3">
        <v>-480</v>
      </c>
    </row>
    <row r="1222" spans="1:24" s="2" customFormat="1" x14ac:dyDescent="0.2">
      <c r="A1222" s="2">
        <v>1222</v>
      </c>
      <c r="B1222"/>
      <c r="C1222" t="s">
        <v>153</v>
      </c>
      <c r="D1222" t="s">
        <v>1910</v>
      </c>
      <c r="E1222" t="s">
        <v>2160</v>
      </c>
      <c r="F1222" t="s">
        <v>63</v>
      </c>
      <c r="G1222" t="s">
        <v>25</v>
      </c>
      <c r="H1222" t="str">
        <f t="shared" si="38"/>
        <v xml:space="preserve">SALÁRIO_MAYARA OLIVEIRA | Recorrência:5/7 | Observações: </v>
      </c>
      <c r="I1222" t="s">
        <v>491</v>
      </c>
      <c r="J1222" s="5">
        <v>-2858.11</v>
      </c>
      <c r="K1222" s="4">
        <v>545578.88</v>
      </c>
      <c r="L1222" t="s">
        <v>27</v>
      </c>
      <c r="M1222" s="5">
        <v>-2858.11</v>
      </c>
      <c r="N1222" s="3">
        <v>0</v>
      </c>
      <c r="O1222" t="s">
        <v>2137</v>
      </c>
      <c r="P1222" t="s">
        <v>2137</v>
      </c>
      <c r="Q1222" t="s">
        <v>2137</v>
      </c>
      <c r="R1222" t="str">
        <f t="shared" si="39"/>
        <v>Sim</v>
      </c>
      <c r="S1222" t="s">
        <v>2137</v>
      </c>
      <c r="T1222" t="s">
        <v>30</v>
      </c>
      <c r="U1222" t="s">
        <v>323</v>
      </c>
      <c r="V1222" s="3">
        <v>-2858.11</v>
      </c>
      <c r="W1222" t="s">
        <v>1043</v>
      </c>
      <c r="X1222" s="3">
        <v>-2858.11</v>
      </c>
    </row>
    <row r="1223" spans="1:24" s="2" customFormat="1" x14ac:dyDescent="0.2">
      <c r="A1223">
        <v>1223</v>
      </c>
      <c r="B1223" t="s">
        <v>647</v>
      </c>
      <c r="C1223" t="s">
        <v>648</v>
      </c>
      <c r="D1223" t="s">
        <v>2162</v>
      </c>
      <c r="E1223" t="s">
        <v>30</v>
      </c>
      <c r="F1223" t="s">
        <v>63</v>
      </c>
      <c r="G1223" t="s">
        <v>25</v>
      </c>
      <c r="H1223" t="str">
        <f t="shared" si="38"/>
        <v xml:space="preserve">9/12 - FGTS 9/12 - COMPETÊNCIA 08/2023 | Recorrência: | Observações: </v>
      </c>
      <c r="I1223" t="s">
        <v>26</v>
      </c>
      <c r="J1223" s="5">
        <v>-161.74</v>
      </c>
      <c r="K1223" s="4">
        <v>545417.14</v>
      </c>
      <c r="L1223" t="s">
        <v>27</v>
      </c>
      <c r="M1223" s="5">
        <v>-161.74</v>
      </c>
      <c r="N1223" s="3">
        <v>0</v>
      </c>
      <c r="O1223" t="s">
        <v>2161</v>
      </c>
      <c r="P1223" t="s">
        <v>1469</v>
      </c>
      <c r="Q1223" t="s">
        <v>2163</v>
      </c>
      <c r="R1223" t="str">
        <f t="shared" si="39"/>
        <v>Sim</v>
      </c>
      <c r="S1223" t="s">
        <v>2163</v>
      </c>
      <c r="T1223" t="s">
        <v>30</v>
      </c>
      <c r="U1223" t="s">
        <v>1531</v>
      </c>
      <c r="V1223" s="3">
        <v>-161.74</v>
      </c>
    </row>
    <row r="1224" spans="1:24" s="2" customFormat="1" x14ac:dyDescent="0.2">
      <c r="A1224" s="2">
        <v>1224</v>
      </c>
      <c r="B1224"/>
      <c r="C1224" t="s">
        <v>574</v>
      </c>
      <c r="D1224" t="s">
        <v>1533</v>
      </c>
      <c r="E1224" t="s">
        <v>853</v>
      </c>
      <c r="F1224" t="s">
        <v>63</v>
      </c>
      <c r="G1224" t="s">
        <v>25</v>
      </c>
      <c r="H1224" t="str">
        <f t="shared" si="38"/>
        <v xml:space="preserve">CONDOMINIO + ALUGUEL | Recorrência:9/12 | Observações: </v>
      </c>
      <c r="I1224" t="s">
        <v>26</v>
      </c>
      <c r="J1224" s="5">
        <v>-6387.32</v>
      </c>
      <c r="K1224" s="4">
        <v>539029.81999999995</v>
      </c>
      <c r="L1224" t="s">
        <v>27</v>
      </c>
      <c r="M1224" s="5">
        <v>-6387.32</v>
      </c>
      <c r="N1224" s="3">
        <v>0</v>
      </c>
      <c r="O1224" t="s">
        <v>2161</v>
      </c>
      <c r="P1224" t="s">
        <v>2164</v>
      </c>
      <c r="Q1224" t="s">
        <v>2143</v>
      </c>
      <c r="R1224" t="str">
        <f t="shared" si="39"/>
        <v>Sim</v>
      </c>
      <c r="S1224" t="s">
        <v>2143</v>
      </c>
      <c r="T1224" t="s">
        <v>30</v>
      </c>
      <c r="U1224" t="s">
        <v>571</v>
      </c>
      <c r="V1224" s="3">
        <v>-6387.32</v>
      </c>
      <c r="W1224" t="s">
        <v>1058</v>
      </c>
      <c r="X1224" s="3">
        <v>-6387.32</v>
      </c>
    </row>
    <row r="1225" spans="1:24" s="2" customFormat="1" x14ac:dyDescent="0.2">
      <c r="A1225">
        <v>1225</v>
      </c>
      <c r="B1225" t="s">
        <v>1629</v>
      </c>
      <c r="C1225" t="s">
        <v>1630</v>
      </c>
      <c r="D1225" t="s">
        <v>2165</v>
      </c>
      <c r="E1225" t="s">
        <v>30</v>
      </c>
      <c r="F1225" t="s">
        <v>24</v>
      </c>
      <c r="G1225" t="s">
        <v>25</v>
      </c>
      <c r="H1225" t="str">
        <f t="shared" si="38"/>
        <v xml:space="preserve">RT BARBARA MILZEN - 1909 | Recorrência: | Observações: </v>
      </c>
      <c r="I1225" t="s">
        <v>491</v>
      </c>
      <c r="J1225" s="4">
        <v>86</v>
      </c>
      <c r="K1225" s="4">
        <v>539115.81999999995</v>
      </c>
      <c r="L1225" t="s">
        <v>27</v>
      </c>
      <c r="M1225" s="4">
        <v>86</v>
      </c>
      <c r="N1225" s="3">
        <v>0</v>
      </c>
      <c r="O1225" t="s">
        <v>2161</v>
      </c>
      <c r="P1225" t="s">
        <v>2107</v>
      </c>
      <c r="Q1225" t="s">
        <v>2141</v>
      </c>
      <c r="R1225" t="str">
        <f t="shared" si="39"/>
        <v>Sim</v>
      </c>
      <c r="S1225" t="s">
        <v>2141</v>
      </c>
      <c r="T1225" t="s">
        <v>30</v>
      </c>
      <c r="U1225" t="s">
        <v>49</v>
      </c>
      <c r="V1225" s="3">
        <v>86</v>
      </c>
      <c r="W1225" t="s">
        <v>494</v>
      </c>
      <c r="X1225" s="3">
        <v>86</v>
      </c>
    </row>
    <row r="1226" spans="1:24" s="2" customFormat="1" x14ac:dyDescent="0.2">
      <c r="A1226" s="2">
        <v>1226</v>
      </c>
      <c r="B1226" t="s">
        <v>1629</v>
      </c>
      <c r="C1226" t="s">
        <v>1630</v>
      </c>
      <c r="D1226" t="s">
        <v>2166</v>
      </c>
      <c r="E1226" t="s">
        <v>30</v>
      </c>
      <c r="F1226" t="s">
        <v>24</v>
      </c>
      <c r="G1226" t="s">
        <v>25</v>
      </c>
      <c r="H1226" t="str">
        <f t="shared" si="38"/>
        <v xml:space="preserve">RT  GABRIELA BORGES -  1969 | Recorrência: | Observações: </v>
      </c>
      <c r="I1226" t="s">
        <v>491</v>
      </c>
      <c r="J1226" s="4">
        <v>846.59</v>
      </c>
      <c r="K1226" s="4">
        <v>539962.41</v>
      </c>
      <c r="L1226" t="s">
        <v>27</v>
      </c>
      <c r="M1226" s="4">
        <v>846.59</v>
      </c>
      <c r="N1226" s="3">
        <v>0</v>
      </c>
      <c r="O1226" t="s">
        <v>2161</v>
      </c>
      <c r="P1226" t="s">
        <v>2127</v>
      </c>
      <c r="Q1226" t="s">
        <v>2141</v>
      </c>
      <c r="R1226" t="str">
        <f t="shared" si="39"/>
        <v>Sim</v>
      </c>
      <c r="S1226" t="s">
        <v>2141</v>
      </c>
      <c r="T1226" t="s">
        <v>30</v>
      </c>
      <c r="U1226" t="s">
        <v>49</v>
      </c>
      <c r="V1226" s="3">
        <v>846.59</v>
      </c>
      <c r="W1226" t="s">
        <v>494</v>
      </c>
      <c r="X1226" s="3">
        <v>846.59</v>
      </c>
    </row>
    <row r="1227" spans="1:24" s="2" customFormat="1" x14ac:dyDescent="0.2">
      <c r="A1227">
        <v>1227</v>
      </c>
      <c r="B1227"/>
      <c r="C1227" t="s">
        <v>943</v>
      </c>
      <c r="D1227" t="s">
        <v>2167</v>
      </c>
      <c r="E1227" t="s">
        <v>30</v>
      </c>
      <c r="F1227" t="s">
        <v>24</v>
      </c>
      <c r="G1227" t="s">
        <v>25</v>
      </c>
      <c r="H1227" t="str">
        <f t="shared" si="38"/>
        <v xml:space="preserve">3/5 - GERENCIAMENTO ATMOSFERA VILA MARIANA | Recorrência: | Observações: </v>
      </c>
      <c r="I1227" t="s">
        <v>491</v>
      </c>
      <c r="J1227" s="4">
        <v>4000</v>
      </c>
      <c r="K1227" s="4">
        <v>543962.41</v>
      </c>
      <c r="L1227" t="s">
        <v>27</v>
      </c>
      <c r="M1227" s="4">
        <v>4000</v>
      </c>
      <c r="N1227" s="3">
        <v>0</v>
      </c>
      <c r="O1227" t="s">
        <v>2161</v>
      </c>
      <c r="P1227" t="s">
        <v>1938</v>
      </c>
      <c r="Q1227" t="s">
        <v>2143</v>
      </c>
      <c r="R1227" t="str">
        <f t="shared" si="39"/>
        <v>Sim</v>
      </c>
      <c r="S1227" t="s">
        <v>2143</v>
      </c>
      <c r="T1227" t="s">
        <v>30</v>
      </c>
      <c r="U1227" t="s">
        <v>274</v>
      </c>
      <c r="V1227" s="3">
        <v>4000</v>
      </c>
      <c r="W1227" t="s">
        <v>166</v>
      </c>
      <c r="X1227" s="3">
        <v>4000</v>
      </c>
    </row>
    <row r="1228" spans="1:24" s="2" customFormat="1" x14ac:dyDescent="0.2">
      <c r="A1228" s="2">
        <v>1228</v>
      </c>
      <c r="B1228" t="s">
        <v>2168</v>
      </c>
      <c r="C1228" t="s">
        <v>2169</v>
      </c>
      <c r="D1228" t="s">
        <v>2170</v>
      </c>
      <c r="E1228" t="s">
        <v>30</v>
      </c>
      <c r="F1228" t="s">
        <v>24</v>
      </c>
      <c r="G1228" t="s">
        <v>25</v>
      </c>
      <c r="H1228" t="str">
        <f t="shared" si="38"/>
        <v xml:space="preserve">RT P030877/ Cliente: Gabriela Borges | Recorrência: | Observações: </v>
      </c>
      <c r="I1228" t="s">
        <v>491</v>
      </c>
      <c r="J1228" s="4">
        <v>1363.17</v>
      </c>
      <c r="K1228" s="4">
        <v>545325.57999999996</v>
      </c>
      <c r="L1228" t="s">
        <v>27</v>
      </c>
      <c r="M1228" s="4">
        <v>1363.17</v>
      </c>
      <c r="N1228" s="3">
        <v>0</v>
      </c>
      <c r="O1228" t="s">
        <v>2161</v>
      </c>
      <c r="P1228" t="s">
        <v>2171</v>
      </c>
      <c r="Q1228" t="s">
        <v>2161</v>
      </c>
      <c r="R1228" t="str">
        <f t="shared" si="39"/>
        <v>nao</v>
      </c>
      <c r="S1228" t="s">
        <v>2172</v>
      </c>
      <c r="T1228" t="s">
        <v>30</v>
      </c>
      <c r="U1228" t="s">
        <v>49</v>
      </c>
      <c r="V1228" s="3">
        <v>1363.17</v>
      </c>
      <c r="W1228" t="s">
        <v>494</v>
      </c>
      <c r="X1228" s="3">
        <v>1363.17</v>
      </c>
    </row>
    <row r="1229" spans="1:24" s="2" customFormat="1" x14ac:dyDescent="0.2">
      <c r="A1229">
        <v>1229</v>
      </c>
      <c r="B1229" t="s">
        <v>1536</v>
      </c>
      <c r="C1229" t="s">
        <v>666</v>
      </c>
      <c r="D1229" t="s">
        <v>667</v>
      </c>
      <c r="E1229" t="s">
        <v>853</v>
      </c>
      <c r="F1229" t="s">
        <v>63</v>
      </c>
      <c r="G1229" t="s">
        <v>25</v>
      </c>
      <c r="H1229" t="str">
        <f t="shared" si="38"/>
        <v xml:space="preserve">TELEFONIA E INTERNET | Recorrência:9/12 | Observações: </v>
      </c>
      <c r="I1229" t="s">
        <v>26</v>
      </c>
      <c r="J1229" s="5">
        <v>-130.09</v>
      </c>
      <c r="K1229" s="4">
        <v>545195.49</v>
      </c>
      <c r="L1229" t="s">
        <v>27</v>
      </c>
      <c r="M1229" s="5">
        <v>-130.09</v>
      </c>
      <c r="N1229" s="3">
        <v>0</v>
      </c>
      <c r="O1229" t="s">
        <v>2078</v>
      </c>
      <c r="P1229" t="s">
        <v>2037</v>
      </c>
      <c r="Q1229" t="s">
        <v>2078</v>
      </c>
      <c r="R1229" t="str">
        <f t="shared" si="39"/>
        <v>Sim</v>
      </c>
      <c r="S1229" t="s">
        <v>2078</v>
      </c>
      <c r="T1229" t="s">
        <v>30</v>
      </c>
      <c r="U1229" t="s">
        <v>670</v>
      </c>
      <c r="V1229" s="3">
        <v>-130.09</v>
      </c>
      <c r="W1229" t="s">
        <v>324</v>
      </c>
      <c r="X1229" s="3">
        <v>-130.09</v>
      </c>
    </row>
    <row r="1230" spans="1:24" s="2" customFormat="1" x14ac:dyDescent="0.2">
      <c r="A1230" s="2">
        <v>1230</v>
      </c>
      <c r="B1230" t="s">
        <v>647</v>
      </c>
      <c r="C1230" t="s">
        <v>648</v>
      </c>
      <c r="D1230" t="s">
        <v>1544</v>
      </c>
      <c r="E1230" t="s">
        <v>853</v>
      </c>
      <c r="F1230" t="s">
        <v>63</v>
      </c>
      <c r="G1230" t="s">
        <v>25</v>
      </c>
      <c r="H1230" t="str">
        <f t="shared" si="38"/>
        <v xml:space="preserve">HONORARIOS CONTABEIS | Recorrência:9/12 | Observações: </v>
      </c>
      <c r="I1230" t="s">
        <v>26</v>
      </c>
      <c r="J1230" s="5">
        <v>-925</v>
      </c>
      <c r="K1230" s="4">
        <v>544270.49</v>
      </c>
      <c r="L1230" t="s">
        <v>27</v>
      </c>
      <c r="M1230" s="5">
        <v>-925</v>
      </c>
      <c r="N1230" s="3">
        <v>0</v>
      </c>
      <c r="O1230" t="s">
        <v>2173</v>
      </c>
      <c r="P1230" t="s">
        <v>2174</v>
      </c>
      <c r="Q1230" t="s">
        <v>2104</v>
      </c>
      <c r="R1230" t="str">
        <f t="shared" si="39"/>
        <v>Sim</v>
      </c>
      <c r="S1230" t="s">
        <v>2104</v>
      </c>
      <c r="T1230" t="s">
        <v>30</v>
      </c>
      <c r="U1230" t="s">
        <v>608</v>
      </c>
      <c r="V1230" s="3">
        <v>-925</v>
      </c>
      <c r="W1230" t="s">
        <v>297</v>
      </c>
      <c r="X1230" s="3">
        <v>-925</v>
      </c>
    </row>
    <row r="1231" spans="1:24" s="2" customFormat="1" x14ac:dyDescent="0.2">
      <c r="A1231">
        <v>1231</v>
      </c>
      <c r="B1231" t="s">
        <v>647</v>
      </c>
      <c r="C1231" t="s">
        <v>648</v>
      </c>
      <c r="D1231" t="s">
        <v>2176</v>
      </c>
      <c r="E1231" t="s">
        <v>30</v>
      </c>
      <c r="F1231" t="s">
        <v>63</v>
      </c>
      <c r="G1231" t="s">
        <v>25</v>
      </c>
      <c r="H1231" t="str">
        <f t="shared" si="38"/>
        <v xml:space="preserve">9/35 - DARF ISS 9/36 | Recorrência: | Observações: </v>
      </c>
      <c r="I1231" t="s">
        <v>26</v>
      </c>
      <c r="J1231" s="5">
        <v>-3841.25</v>
      </c>
      <c r="K1231" s="4">
        <v>540429.24</v>
      </c>
      <c r="L1231" t="s">
        <v>27</v>
      </c>
      <c r="M1231" s="5">
        <v>-3841.25</v>
      </c>
      <c r="N1231" s="3">
        <v>0</v>
      </c>
      <c r="O1231" t="s">
        <v>2175</v>
      </c>
      <c r="P1231" t="s">
        <v>1474</v>
      </c>
      <c r="Q1231" t="s">
        <v>2175</v>
      </c>
      <c r="R1231" t="str">
        <f t="shared" si="39"/>
        <v>Sim</v>
      </c>
      <c r="S1231" t="s">
        <v>2175</v>
      </c>
      <c r="T1231" t="s">
        <v>30</v>
      </c>
      <c r="U1231" t="s">
        <v>1098</v>
      </c>
      <c r="V1231" s="3">
        <v>-3841.25</v>
      </c>
      <c r="W1231" t="s">
        <v>324</v>
      </c>
      <c r="X1231" s="3">
        <v>-3841.25</v>
      </c>
    </row>
    <row r="1232" spans="1:24" s="2" customFormat="1" x14ac:dyDescent="0.2">
      <c r="A1232" s="2">
        <v>1232</v>
      </c>
      <c r="B1232" t="s">
        <v>2177</v>
      </c>
      <c r="C1232" t="s">
        <v>2178</v>
      </c>
      <c r="D1232" t="s">
        <v>2179</v>
      </c>
      <c r="E1232" t="s">
        <v>30</v>
      </c>
      <c r="F1232" t="s">
        <v>24</v>
      </c>
      <c r="G1232" t="s">
        <v>25</v>
      </c>
      <c r="H1232" t="str">
        <f t="shared" si="38"/>
        <v xml:space="preserve">RT PEDIDO MA 230640 - BARBARA MILZEN | Recorrência: | Observações: </v>
      </c>
      <c r="I1232" t="s">
        <v>2180</v>
      </c>
      <c r="J1232" s="4">
        <v>91.3</v>
      </c>
      <c r="K1232" s="4">
        <v>540520.54</v>
      </c>
      <c r="L1232" t="s">
        <v>27</v>
      </c>
      <c r="M1232" s="4">
        <v>91.3</v>
      </c>
      <c r="N1232" s="3">
        <v>0</v>
      </c>
      <c r="O1232" t="s">
        <v>2175</v>
      </c>
      <c r="P1232" t="s">
        <v>2181</v>
      </c>
      <c r="Q1232" t="s">
        <v>2182</v>
      </c>
      <c r="R1232" t="str">
        <f t="shared" si="39"/>
        <v>Sim</v>
      </c>
      <c r="S1232" t="s">
        <v>2182</v>
      </c>
      <c r="T1232" t="s">
        <v>30</v>
      </c>
      <c r="U1232" t="s">
        <v>49</v>
      </c>
      <c r="V1232" s="3">
        <v>91.3</v>
      </c>
      <c r="W1232" t="s">
        <v>494</v>
      </c>
      <c r="X1232" s="3">
        <v>91.3</v>
      </c>
    </row>
    <row r="1233" spans="1:24" s="2" customFormat="1" x14ac:dyDescent="0.2">
      <c r="A1233">
        <v>1233</v>
      </c>
      <c r="B1233" t="s">
        <v>1186</v>
      </c>
      <c r="C1233" t="s">
        <v>1187</v>
      </c>
      <c r="D1233" t="s">
        <v>2184</v>
      </c>
      <c r="E1233" t="s">
        <v>30</v>
      </c>
      <c r="F1233" t="s">
        <v>24</v>
      </c>
      <c r="G1233" t="s">
        <v>25</v>
      </c>
      <c r="H1233" t="str">
        <f t="shared" si="38"/>
        <v xml:space="preserve">RT PEDIDO 6595 - FARIZE♥LEANDRO | Recorrência: | Observações: </v>
      </c>
      <c r="I1233" t="s">
        <v>491</v>
      </c>
      <c r="J1233" s="4">
        <v>1056</v>
      </c>
      <c r="K1233" s="4">
        <v>541576.54</v>
      </c>
      <c r="L1233" t="s">
        <v>27</v>
      </c>
      <c r="M1233" s="4">
        <v>1056</v>
      </c>
      <c r="N1233" s="3">
        <v>0</v>
      </c>
      <c r="O1233" t="s">
        <v>2183</v>
      </c>
      <c r="P1233" t="s">
        <v>1998</v>
      </c>
      <c r="Q1233" t="s">
        <v>2135</v>
      </c>
      <c r="R1233" t="str">
        <f t="shared" si="39"/>
        <v>Sim</v>
      </c>
      <c r="S1233" t="s">
        <v>2135</v>
      </c>
      <c r="T1233" t="s">
        <v>30</v>
      </c>
      <c r="U1233" t="s">
        <v>49</v>
      </c>
      <c r="V1233" s="3">
        <v>1056</v>
      </c>
      <c r="W1233" t="s">
        <v>494</v>
      </c>
      <c r="X1233" s="3">
        <v>1056</v>
      </c>
    </row>
    <row r="1234" spans="1:24" s="2" customFormat="1" x14ac:dyDescent="0.2">
      <c r="A1234" s="2">
        <v>1234</v>
      </c>
      <c r="B1234" t="s">
        <v>1777</v>
      </c>
      <c r="C1234" t="s">
        <v>1778</v>
      </c>
      <c r="D1234" t="s">
        <v>2186</v>
      </c>
      <c r="E1234" t="s">
        <v>30</v>
      </c>
      <c r="F1234" t="s">
        <v>24</v>
      </c>
      <c r="G1234" t="s">
        <v>25</v>
      </c>
      <c r="H1234" t="str">
        <f t="shared" si="38"/>
        <v xml:space="preserve">RT 179298 - CAMILA DOSSE | Recorrência: | Observações: </v>
      </c>
      <c r="I1234" t="s">
        <v>991</v>
      </c>
      <c r="J1234" s="4">
        <v>5067.8999999999996</v>
      </c>
      <c r="K1234" s="4">
        <v>546644.43999999994</v>
      </c>
      <c r="L1234" t="s">
        <v>27</v>
      </c>
      <c r="M1234" s="4">
        <v>5067.8999999999996</v>
      </c>
      <c r="N1234" s="3">
        <v>0</v>
      </c>
      <c r="O1234" t="s">
        <v>2185</v>
      </c>
      <c r="P1234" t="s">
        <v>2127</v>
      </c>
      <c r="Q1234" t="s">
        <v>2187</v>
      </c>
      <c r="R1234" t="str">
        <f t="shared" si="39"/>
        <v>Sim</v>
      </c>
      <c r="S1234" t="s">
        <v>2187</v>
      </c>
      <c r="T1234" t="s">
        <v>30</v>
      </c>
      <c r="U1234" t="s">
        <v>49</v>
      </c>
      <c r="V1234" s="3">
        <v>5067.8999999999996</v>
      </c>
      <c r="W1234" t="s">
        <v>494</v>
      </c>
      <c r="X1234" s="3">
        <v>5067.8999999999996</v>
      </c>
    </row>
    <row r="1235" spans="1:24" s="2" customFormat="1" x14ac:dyDescent="0.2">
      <c r="A1235">
        <v>1235</v>
      </c>
      <c r="B1235" t="s">
        <v>1061</v>
      </c>
      <c r="C1235" t="s">
        <v>1062</v>
      </c>
      <c r="D1235" t="s">
        <v>2188</v>
      </c>
      <c r="E1235" t="s">
        <v>30</v>
      </c>
      <c r="F1235" t="s">
        <v>24</v>
      </c>
      <c r="G1235" t="s">
        <v>25</v>
      </c>
      <c r="H1235" t="str">
        <f t="shared" si="38"/>
        <v xml:space="preserve">RT PED.VENDA 179041-GABRIELA BORGES | Recorrência: | Observações: </v>
      </c>
      <c r="I1235" t="s">
        <v>991</v>
      </c>
      <c r="J1235" s="4">
        <v>430.9</v>
      </c>
      <c r="K1235" s="4">
        <v>547075.34</v>
      </c>
      <c r="L1235" t="s">
        <v>27</v>
      </c>
      <c r="M1235" s="4">
        <v>430.9</v>
      </c>
      <c r="N1235" s="3">
        <v>0</v>
      </c>
      <c r="O1235" t="s">
        <v>2172</v>
      </c>
      <c r="P1235" t="s">
        <v>2173</v>
      </c>
      <c r="Q1235" t="s">
        <v>2189</v>
      </c>
      <c r="R1235" t="str">
        <f t="shared" si="39"/>
        <v>Sim</v>
      </c>
      <c r="S1235" t="s">
        <v>2189</v>
      </c>
      <c r="T1235" t="s">
        <v>30</v>
      </c>
      <c r="U1235" t="s">
        <v>49</v>
      </c>
      <c r="V1235" s="3">
        <v>430.9</v>
      </c>
      <c r="W1235" t="s">
        <v>494</v>
      </c>
      <c r="X1235" s="3">
        <v>430.9</v>
      </c>
    </row>
    <row r="1236" spans="1:24" s="2" customFormat="1" x14ac:dyDescent="0.2">
      <c r="A1236" s="2">
        <v>1236</v>
      </c>
      <c r="B1236" t="s">
        <v>106</v>
      </c>
      <c r="C1236" t="s">
        <v>107</v>
      </c>
      <c r="D1236" t="s">
        <v>2190</v>
      </c>
      <c r="E1236" t="s">
        <v>30</v>
      </c>
      <c r="F1236" t="s">
        <v>24</v>
      </c>
      <c r="G1236" t="s">
        <v>25</v>
      </c>
      <c r="H1236" t="str">
        <f t="shared" si="38"/>
        <v xml:space="preserve">1/3 - PROJETO  - Rua Conde D’Eu,861&gt;&gt;&gt; 1/3 | Recorrência: | Observações: </v>
      </c>
      <c r="I1236" t="s">
        <v>491</v>
      </c>
      <c r="J1236" s="4">
        <v>8000</v>
      </c>
      <c r="K1236" s="4">
        <v>555075.34</v>
      </c>
      <c r="L1236" t="s">
        <v>27</v>
      </c>
      <c r="M1236" s="4">
        <v>8000</v>
      </c>
      <c r="N1236" s="3">
        <v>0</v>
      </c>
      <c r="O1236" t="s">
        <v>2187</v>
      </c>
      <c r="P1236" t="s">
        <v>2187</v>
      </c>
      <c r="Q1236" t="s">
        <v>2187</v>
      </c>
      <c r="R1236" t="str">
        <f t="shared" si="39"/>
        <v>Sim</v>
      </c>
      <c r="S1236" t="s">
        <v>2187</v>
      </c>
      <c r="T1236" t="s">
        <v>30</v>
      </c>
      <c r="U1236" t="s">
        <v>31</v>
      </c>
      <c r="V1236" s="3">
        <v>8000</v>
      </c>
      <c r="W1236" t="s">
        <v>32</v>
      </c>
      <c r="X1236" s="3">
        <v>8000</v>
      </c>
    </row>
    <row r="1237" spans="1:24" s="2" customFormat="1" x14ac:dyDescent="0.2">
      <c r="A1237">
        <v>1237</v>
      </c>
      <c r="B1237" t="s">
        <v>647</v>
      </c>
      <c r="C1237" t="s">
        <v>648</v>
      </c>
      <c r="D1237" t="s">
        <v>1556</v>
      </c>
      <c r="E1237" t="s">
        <v>853</v>
      </c>
      <c r="F1237" t="s">
        <v>63</v>
      </c>
      <c r="G1237" t="s">
        <v>25</v>
      </c>
      <c r="H1237" t="str">
        <f t="shared" si="38"/>
        <v xml:space="preserve">DARF PREVIDÊNCIARIO | Recorrência:9/12 | Observações: </v>
      </c>
      <c r="I1237" t="s">
        <v>26</v>
      </c>
      <c r="J1237" s="5">
        <v>-1532.48</v>
      </c>
      <c r="K1237" s="4">
        <v>553542.86</v>
      </c>
      <c r="L1237" t="s">
        <v>27</v>
      </c>
      <c r="M1237" s="5">
        <v>-1532.48</v>
      </c>
      <c r="N1237" s="3">
        <v>0</v>
      </c>
      <c r="O1237" t="s">
        <v>2187</v>
      </c>
      <c r="P1237" t="s">
        <v>2191</v>
      </c>
      <c r="Q1237" t="s">
        <v>2187</v>
      </c>
      <c r="R1237" t="str">
        <f t="shared" si="39"/>
        <v>nao</v>
      </c>
      <c r="S1237" t="s">
        <v>2182</v>
      </c>
      <c r="T1237" t="s">
        <v>30</v>
      </c>
      <c r="U1237" t="s">
        <v>601</v>
      </c>
      <c r="V1237" s="3">
        <v>-1532.48</v>
      </c>
      <c r="W1237" t="s">
        <v>376</v>
      </c>
      <c r="X1237" s="3">
        <v>-1532.48</v>
      </c>
    </row>
    <row r="1238" spans="1:24" s="2" customFormat="1" x14ac:dyDescent="0.2">
      <c r="A1238" s="2">
        <v>1238</v>
      </c>
      <c r="B1238" t="s">
        <v>2193</v>
      </c>
      <c r="C1238" t="s">
        <v>2194</v>
      </c>
      <c r="D1238" t="s">
        <v>2195</v>
      </c>
      <c r="E1238" t="s">
        <v>30</v>
      </c>
      <c r="F1238" t="s">
        <v>24</v>
      </c>
      <c r="G1238" t="s">
        <v>25</v>
      </c>
      <c r="H1238" t="str">
        <f t="shared" si="38"/>
        <v xml:space="preserve">1/2 - PROJETO CORPORATIVO 1/2 | Recorrência: | Observações: </v>
      </c>
      <c r="I1238" t="s">
        <v>491</v>
      </c>
      <c r="J1238" s="4">
        <v>2000</v>
      </c>
      <c r="K1238" s="4">
        <v>555542.86</v>
      </c>
      <c r="L1238" t="s">
        <v>27</v>
      </c>
      <c r="M1238" s="4">
        <v>2000</v>
      </c>
      <c r="N1238" s="3">
        <v>0</v>
      </c>
      <c r="O1238" t="s">
        <v>2192</v>
      </c>
      <c r="P1238" t="s">
        <v>2192</v>
      </c>
      <c r="Q1238" t="s">
        <v>2192</v>
      </c>
      <c r="R1238" t="str">
        <f t="shared" si="39"/>
        <v>Sim</v>
      </c>
      <c r="S1238" t="s">
        <v>2192</v>
      </c>
      <c r="T1238" t="s">
        <v>30</v>
      </c>
      <c r="U1238" t="s">
        <v>31</v>
      </c>
      <c r="V1238" s="3">
        <v>2000</v>
      </c>
      <c r="W1238" t="s">
        <v>32</v>
      </c>
      <c r="X1238" s="3">
        <v>2000</v>
      </c>
    </row>
    <row r="1239" spans="1:24" s="2" customFormat="1" x14ac:dyDescent="0.2">
      <c r="A1239">
        <v>1239</v>
      </c>
      <c r="B1239" t="s">
        <v>2196</v>
      </c>
      <c r="C1239" t="s">
        <v>2197</v>
      </c>
      <c r="D1239" t="s">
        <v>2198</v>
      </c>
      <c r="E1239" t="s">
        <v>30</v>
      </c>
      <c r="F1239" t="s">
        <v>24</v>
      </c>
      <c r="G1239" t="s">
        <v>25</v>
      </c>
      <c r="H1239" t="str">
        <f t="shared" si="38"/>
        <v>1/2 - PROJETO - HALL  SOCIAL &gt; ÁREAS COMUNS 1/2 | Recorrência: | Observações: NF 325 - CANCELADA DEVIDO NÃO TER SIDO ISENTADA IRRF</v>
      </c>
      <c r="I1239" t="s">
        <v>491</v>
      </c>
      <c r="J1239" s="4">
        <v>4767.5</v>
      </c>
      <c r="K1239" s="4">
        <v>560310.36</v>
      </c>
      <c r="L1239" t="s">
        <v>27</v>
      </c>
      <c r="M1239" s="4">
        <v>4767.5</v>
      </c>
      <c r="N1239" s="3">
        <v>0</v>
      </c>
      <c r="O1239" t="s">
        <v>2192</v>
      </c>
      <c r="P1239" t="s">
        <v>2199</v>
      </c>
      <c r="Q1239" t="s">
        <v>2192</v>
      </c>
      <c r="R1239" t="str">
        <f t="shared" si="39"/>
        <v>Sim</v>
      </c>
      <c r="S1239" t="s">
        <v>2192</v>
      </c>
      <c r="T1239" t="s">
        <v>2200</v>
      </c>
      <c r="U1239" t="s">
        <v>31</v>
      </c>
      <c r="V1239" s="3">
        <v>4767.5</v>
      </c>
      <c r="W1239" t="s">
        <v>32</v>
      </c>
      <c r="X1239" s="3">
        <v>4767.5</v>
      </c>
    </row>
    <row r="1240" spans="1:24" s="2" customFormat="1" x14ac:dyDescent="0.2">
      <c r="A1240" s="2">
        <v>1240</v>
      </c>
      <c r="B1240"/>
      <c r="C1240" t="s">
        <v>828</v>
      </c>
      <c r="D1240" t="s">
        <v>830</v>
      </c>
      <c r="E1240" t="s">
        <v>2202</v>
      </c>
      <c r="F1240" t="s">
        <v>63</v>
      </c>
      <c r="G1240" t="s">
        <v>25</v>
      </c>
      <c r="H1240" t="str">
        <f t="shared" si="38"/>
        <v xml:space="preserve">PREFEITURA DO MUNICIPIO DE BERTIOGA | Recorrência:19/41 | Observações: REF.02 PAGAMENTOS </v>
      </c>
      <c r="I1240" t="s">
        <v>26</v>
      </c>
      <c r="J1240" s="5">
        <v>-233.49</v>
      </c>
      <c r="K1240" s="4">
        <v>560076.87</v>
      </c>
      <c r="L1240" t="s">
        <v>27</v>
      </c>
      <c r="M1240" s="5">
        <v>-233.49</v>
      </c>
      <c r="N1240" s="3">
        <v>0</v>
      </c>
      <c r="O1240" t="s">
        <v>2201</v>
      </c>
      <c r="P1240" t="s">
        <v>2203</v>
      </c>
      <c r="Q1240" t="s">
        <v>2203</v>
      </c>
      <c r="R1240" t="str">
        <f t="shared" si="39"/>
        <v>Sim</v>
      </c>
      <c r="S1240" t="s">
        <v>2203</v>
      </c>
      <c r="T1240" t="s">
        <v>831</v>
      </c>
      <c r="U1240" t="s">
        <v>832</v>
      </c>
      <c r="V1240" s="3">
        <v>-233.49</v>
      </c>
    </row>
    <row r="1241" spans="1:24" s="2" customFormat="1" x14ac:dyDescent="0.2">
      <c r="A1241">
        <v>1241</v>
      </c>
      <c r="B1241" t="s">
        <v>647</v>
      </c>
      <c r="C1241" t="s">
        <v>648</v>
      </c>
      <c r="D1241" t="s">
        <v>1794</v>
      </c>
      <c r="E1241" t="s">
        <v>853</v>
      </c>
      <c r="F1241" t="s">
        <v>63</v>
      </c>
      <c r="G1241" t="s">
        <v>25</v>
      </c>
      <c r="H1241" t="str">
        <f t="shared" si="38"/>
        <v xml:space="preserve">DARF COFINS - | Recorrência:9/12 | Observações: </v>
      </c>
      <c r="I1241" t="s">
        <v>26</v>
      </c>
      <c r="J1241" s="5">
        <v>-207.31</v>
      </c>
      <c r="K1241" s="4">
        <v>559869.56000000006</v>
      </c>
      <c r="L1241" t="s">
        <v>27</v>
      </c>
      <c r="M1241" s="5">
        <v>-207.31</v>
      </c>
      <c r="N1241" s="3">
        <v>0</v>
      </c>
      <c r="O1241" t="s">
        <v>2201</v>
      </c>
      <c r="P1241" t="s">
        <v>2171</v>
      </c>
      <c r="Q1241" t="s">
        <v>2201</v>
      </c>
      <c r="R1241" t="str">
        <f t="shared" si="39"/>
        <v>nao</v>
      </c>
      <c r="S1241" t="s">
        <v>2204</v>
      </c>
      <c r="T1241" t="s">
        <v>30</v>
      </c>
      <c r="U1241" t="s">
        <v>1508</v>
      </c>
      <c r="V1241" s="3">
        <v>-207.31</v>
      </c>
      <c r="W1241" t="s">
        <v>297</v>
      </c>
      <c r="X1241" s="3">
        <v>-207.31</v>
      </c>
    </row>
    <row r="1242" spans="1:24" s="2" customFormat="1" x14ac:dyDescent="0.2">
      <c r="A1242" s="2">
        <v>1242</v>
      </c>
      <c r="B1242" t="s">
        <v>647</v>
      </c>
      <c r="C1242" t="s">
        <v>648</v>
      </c>
      <c r="D1242" t="s">
        <v>2205</v>
      </c>
      <c r="E1242" t="s">
        <v>30</v>
      </c>
      <c r="F1242" t="s">
        <v>63</v>
      </c>
      <c r="G1242" t="s">
        <v>25</v>
      </c>
      <c r="H1242" t="str">
        <f t="shared" si="38"/>
        <v xml:space="preserve">3/59 - DARF PIS 3/60 | Recorrência: | Observações: </v>
      </c>
      <c r="I1242" t="s">
        <v>26</v>
      </c>
      <c r="J1242" s="5">
        <v>-53.09</v>
      </c>
      <c r="K1242" s="4">
        <v>559816.47</v>
      </c>
      <c r="L1242" t="s">
        <v>27</v>
      </c>
      <c r="M1242" s="5">
        <v>-53.09</v>
      </c>
      <c r="N1242" s="3">
        <v>0</v>
      </c>
      <c r="O1242" t="s">
        <v>2201</v>
      </c>
      <c r="P1242" t="s">
        <v>1502</v>
      </c>
      <c r="Q1242" t="s">
        <v>2206</v>
      </c>
      <c r="R1242" t="str">
        <f t="shared" si="39"/>
        <v>nao</v>
      </c>
      <c r="S1242" t="s">
        <v>2201</v>
      </c>
      <c r="T1242" t="s">
        <v>30</v>
      </c>
      <c r="U1242" t="s">
        <v>601</v>
      </c>
      <c r="V1242" s="3">
        <v>-53.09</v>
      </c>
      <c r="W1242" t="s">
        <v>324</v>
      </c>
      <c r="X1242" s="3">
        <v>-53.09</v>
      </c>
    </row>
    <row r="1243" spans="1:24" s="2" customFormat="1" x14ac:dyDescent="0.2">
      <c r="A1243">
        <v>1243</v>
      </c>
      <c r="B1243" t="s">
        <v>2208</v>
      </c>
      <c r="C1243" t="s">
        <v>2209</v>
      </c>
      <c r="D1243" t="s">
        <v>2210</v>
      </c>
      <c r="E1243" t="s">
        <v>30</v>
      </c>
      <c r="F1243" t="s">
        <v>24</v>
      </c>
      <c r="G1243" t="s">
        <v>25</v>
      </c>
      <c r="H1243" t="str">
        <f t="shared" si="38"/>
        <v xml:space="preserve">EMPÓRIO TECIDOS - RT - STEPHANIE - PEDIDO 5341 | Recorrência: | Observações: </v>
      </c>
      <c r="I1243" t="s">
        <v>991</v>
      </c>
      <c r="J1243" s="4">
        <v>212.92</v>
      </c>
      <c r="K1243" s="4">
        <v>560029.39</v>
      </c>
      <c r="L1243" t="s">
        <v>27</v>
      </c>
      <c r="M1243" s="4">
        <v>212.92</v>
      </c>
      <c r="N1243" s="3">
        <v>0</v>
      </c>
      <c r="O1243" t="s">
        <v>2207</v>
      </c>
      <c r="P1243" t="s">
        <v>2199</v>
      </c>
      <c r="Q1243" t="s">
        <v>2189</v>
      </c>
      <c r="R1243" t="str">
        <f t="shared" si="39"/>
        <v>Sim</v>
      </c>
      <c r="S1243" t="s">
        <v>2189</v>
      </c>
      <c r="T1243" t="s">
        <v>30</v>
      </c>
      <c r="U1243" t="s">
        <v>49</v>
      </c>
      <c r="V1243" s="3">
        <v>212.92</v>
      </c>
      <c r="W1243" t="s">
        <v>494</v>
      </c>
      <c r="X1243" s="3">
        <v>212.92</v>
      </c>
    </row>
    <row r="1244" spans="1:24" s="2" customFormat="1" x14ac:dyDescent="0.2">
      <c r="A1244" s="2">
        <v>1244</v>
      </c>
      <c r="B1244" t="s">
        <v>2109</v>
      </c>
      <c r="C1244" t="s">
        <v>2110</v>
      </c>
      <c r="D1244" t="s">
        <v>2211</v>
      </c>
      <c r="E1244" t="s">
        <v>30</v>
      </c>
      <c r="F1244" t="s">
        <v>24</v>
      </c>
      <c r="G1244" t="s">
        <v>25</v>
      </c>
      <c r="H1244" t="str">
        <f t="shared" si="38"/>
        <v xml:space="preserve">2/2 - PROJETO  COORPORATIVO 2/2 | Recorrência: | Observações: </v>
      </c>
      <c r="I1244" t="s">
        <v>491</v>
      </c>
      <c r="J1244" s="4">
        <v>8150</v>
      </c>
      <c r="K1244" s="4">
        <v>568179.39</v>
      </c>
      <c r="L1244" t="s">
        <v>27</v>
      </c>
      <c r="M1244" s="4">
        <v>8150</v>
      </c>
      <c r="N1244" s="3">
        <v>0</v>
      </c>
      <c r="O1244" t="s">
        <v>2207</v>
      </c>
      <c r="P1244" t="s">
        <v>2099</v>
      </c>
      <c r="Q1244" t="s">
        <v>2183</v>
      </c>
      <c r="R1244" t="str">
        <f t="shared" si="39"/>
        <v>Sim</v>
      </c>
      <c r="S1244" t="s">
        <v>2183</v>
      </c>
      <c r="T1244" t="s">
        <v>30</v>
      </c>
      <c r="U1244" t="s">
        <v>31</v>
      </c>
      <c r="V1244" s="3">
        <v>8150</v>
      </c>
      <c r="W1244" t="s">
        <v>32</v>
      </c>
      <c r="X1244" s="3">
        <v>8150</v>
      </c>
    </row>
    <row r="1245" spans="1:24" s="2" customFormat="1" x14ac:dyDescent="0.2">
      <c r="A1245">
        <v>1245</v>
      </c>
      <c r="B1245" t="s">
        <v>1629</v>
      </c>
      <c r="C1245" t="s">
        <v>1630</v>
      </c>
      <c r="D1245" t="s">
        <v>2213</v>
      </c>
      <c r="E1245" t="s">
        <v>30</v>
      </c>
      <c r="F1245" t="s">
        <v>24</v>
      </c>
      <c r="G1245" t="s">
        <v>25</v>
      </c>
      <c r="H1245" t="str">
        <f t="shared" si="38"/>
        <v xml:space="preserve">RT PEDIDO 00001996 - TIAGO KOCH | Recorrência: | Observações: </v>
      </c>
      <c r="I1245" t="s">
        <v>491</v>
      </c>
      <c r="J1245" s="4">
        <v>302.23</v>
      </c>
      <c r="K1245" s="4">
        <v>568481.62</v>
      </c>
      <c r="L1245" t="s">
        <v>27</v>
      </c>
      <c r="M1245" s="4">
        <v>302.23</v>
      </c>
      <c r="N1245" s="3">
        <v>0</v>
      </c>
      <c r="O1245" t="s">
        <v>2212</v>
      </c>
      <c r="P1245" t="s">
        <v>2173</v>
      </c>
      <c r="Q1245" t="s">
        <v>2212</v>
      </c>
      <c r="R1245" t="str">
        <f t="shared" si="39"/>
        <v>nao</v>
      </c>
      <c r="S1245" t="s">
        <v>2189</v>
      </c>
      <c r="T1245" t="s">
        <v>30</v>
      </c>
      <c r="U1245" t="s">
        <v>49</v>
      </c>
      <c r="V1245" s="3">
        <v>302.23</v>
      </c>
      <c r="W1245" t="s">
        <v>494</v>
      </c>
      <c r="X1245" s="3">
        <v>302.23</v>
      </c>
    </row>
    <row r="1246" spans="1:24" s="2" customFormat="1" x14ac:dyDescent="0.2">
      <c r="A1246" s="2">
        <v>1246</v>
      </c>
      <c r="B1246" t="s">
        <v>1223</v>
      </c>
      <c r="C1246" t="s">
        <v>1224</v>
      </c>
      <c r="D1246" t="s">
        <v>2214</v>
      </c>
      <c r="E1246" t="s">
        <v>30</v>
      </c>
      <c r="F1246" t="s">
        <v>24</v>
      </c>
      <c r="G1246" t="s">
        <v>25</v>
      </c>
      <c r="H1246" t="str">
        <f t="shared" si="38"/>
        <v xml:space="preserve">BONIFICAÇÃO - PROPOSTA 275161-1 AMAURI E LUCIENE | Recorrência: | Observações: </v>
      </c>
      <c r="I1246" t="s">
        <v>491</v>
      </c>
      <c r="J1246" s="4">
        <v>2064.33</v>
      </c>
      <c r="K1246" s="4">
        <v>570545.94999999995</v>
      </c>
      <c r="L1246" t="s">
        <v>27</v>
      </c>
      <c r="M1246" s="4">
        <v>2064.33</v>
      </c>
      <c r="N1246" s="3">
        <v>0</v>
      </c>
      <c r="O1246" t="s">
        <v>2189</v>
      </c>
      <c r="P1246" t="s">
        <v>2189</v>
      </c>
      <c r="Q1246" t="s">
        <v>2189</v>
      </c>
      <c r="R1246" t="str">
        <f t="shared" si="39"/>
        <v>Sim</v>
      </c>
      <c r="S1246" t="s">
        <v>2189</v>
      </c>
      <c r="T1246" t="s">
        <v>30</v>
      </c>
      <c r="U1246" t="s">
        <v>49</v>
      </c>
      <c r="V1246" s="3">
        <v>2064.33</v>
      </c>
      <c r="W1246" t="s">
        <v>494</v>
      </c>
      <c r="X1246" s="3">
        <v>2064.33</v>
      </c>
    </row>
    <row r="1247" spans="1:24" s="2" customFormat="1" x14ac:dyDescent="0.2">
      <c r="A1247">
        <v>1247</v>
      </c>
      <c r="B1247" t="s">
        <v>2215</v>
      </c>
      <c r="C1247" t="s">
        <v>2216</v>
      </c>
      <c r="D1247" t="s">
        <v>2217</v>
      </c>
      <c r="E1247" t="s">
        <v>30</v>
      </c>
      <c r="F1247" t="s">
        <v>24</v>
      </c>
      <c r="G1247" t="s">
        <v>25</v>
      </c>
      <c r="H1247" t="str">
        <f t="shared" si="38"/>
        <v xml:space="preserve">RT CAMILA DOSSE E PAULO RAMOS | Recorrência: | Observações: </v>
      </c>
      <c r="I1247" t="s">
        <v>491</v>
      </c>
      <c r="J1247" s="4">
        <v>2158.5500000000002</v>
      </c>
      <c r="K1247" s="4">
        <v>572704.5</v>
      </c>
      <c r="L1247" t="s">
        <v>27</v>
      </c>
      <c r="M1247" s="4">
        <v>2158.5500000000002</v>
      </c>
      <c r="N1247" s="3">
        <v>0</v>
      </c>
      <c r="O1247" t="s">
        <v>2189</v>
      </c>
      <c r="P1247" t="s">
        <v>2135</v>
      </c>
      <c r="Q1247" t="s">
        <v>2189</v>
      </c>
      <c r="R1247" t="str">
        <f t="shared" si="39"/>
        <v>nao</v>
      </c>
      <c r="S1247" t="s">
        <v>2172</v>
      </c>
      <c r="T1247" t="s">
        <v>30</v>
      </c>
      <c r="U1247" t="s">
        <v>49</v>
      </c>
      <c r="V1247" s="3">
        <v>2158.5500000000002</v>
      </c>
      <c r="W1247" t="s">
        <v>494</v>
      </c>
      <c r="X1247" s="3">
        <v>2158.5500000000002</v>
      </c>
    </row>
    <row r="1248" spans="1:24" s="2" customFormat="1" x14ac:dyDescent="0.2">
      <c r="A1248" s="2">
        <v>1248</v>
      </c>
      <c r="B1248" t="s">
        <v>2119</v>
      </c>
      <c r="C1248" t="s">
        <v>2120</v>
      </c>
      <c r="D1248" t="s">
        <v>2218</v>
      </c>
      <c r="E1248" t="s">
        <v>30</v>
      </c>
      <c r="F1248" t="s">
        <v>24</v>
      </c>
      <c r="G1248" t="s">
        <v>25</v>
      </c>
      <c r="H1248" t="str">
        <f t="shared" si="38"/>
        <v xml:space="preserve">1/4 - RT DIFERNÇA _ AMAURI E LUCIENE ACAPULGO GUARUJÁ 1/4 | Recorrência: | Observações: </v>
      </c>
      <c r="I1248" t="s">
        <v>491</v>
      </c>
      <c r="J1248" s="4">
        <v>490</v>
      </c>
      <c r="K1248" s="4">
        <v>573194.5</v>
      </c>
      <c r="L1248" t="s">
        <v>27</v>
      </c>
      <c r="M1248" s="4">
        <v>490</v>
      </c>
      <c r="N1248" s="3">
        <v>0</v>
      </c>
      <c r="O1248" t="s">
        <v>2189</v>
      </c>
      <c r="P1248" t="s">
        <v>2122</v>
      </c>
      <c r="Q1248" t="s">
        <v>2219</v>
      </c>
      <c r="R1248" t="str">
        <f t="shared" si="39"/>
        <v>Sim</v>
      </c>
      <c r="S1248" t="s">
        <v>2219</v>
      </c>
      <c r="T1248" t="s">
        <v>30</v>
      </c>
      <c r="U1248" t="s">
        <v>49</v>
      </c>
      <c r="V1248" s="3">
        <v>490</v>
      </c>
      <c r="W1248" t="s">
        <v>494</v>
      </c>
      <c r="X1248" s="3">
        <v>490</v>
      </c>
    </row>
    <row r="1249" spans="1:24" s="2" customFormat="1" x14ac:dyDescent="0.2">
      <c r="A1249">
        <v>1249</v>
      </c>
      <c r="B1249" t="s">
        <v>1195</v>
      </c>
      <c r="C1249" t="s">
        <v>1196</v>
      </c>
      <c r="D1249" t="s">
        <v>2220</v>
      </c>
      <c r="E1249" t="s">
        <v>30</v>
      </c>
      <c r="F1249" t="s">
        <v>24</v>
      </c>
      <c r="G1249" t="s">
        <v>25</v>
      </c>
      <c r="H1249" t="str">
        <f t="shared" si="38"/>
        <v xml:space="preserve">RT_ ORÇ #9003 - PEDIDO 012506 - RIVIERA _MARIO E ROBERTA NAJM | Recorrência: | Observações: </v>
      </c>
      <c r="I1249" t="s">
        <v>491</v>
      </c>
      <c r="J1249" s="4">
        <v>29048.9</v>
      </c>
      <c r="K1249" s="4">
        <v>602243.4</v>
      </c>
      <c r="L1249" t="s">
        <v>27</v>
      </c>
      <c r="M1249" s="4">
        <v>29048.9</v>
      </c>
      <c r="N1249" s="3">
        <v>0</v>
      </c>
      <c r="O1249" t="s">
        <v>2189</v>
      </c>
      <c r="P1249" t="s">
        <v>2122</v>
      </c>
      <c r="Q1249" t="s">
        <v>2189</v>
      </c>
      <c r="R1249" t="str">
        <f t="shared" si="39"/>
        <v>Sim</v>
      </c>
      <c r="S1249" t="s">
        <v>2189</v>
      </c>
      <c r="T1249" t="s">
        <v>30</v>
      </c>
      <c r="U1249" t="s">
        <v>49</v>
      </c>
      <c r="V1249" s="3">
        <v>29048.9</v>
      </c>
      <c r="W1249" t="s">
        <v>494</v>
      </c>
      <c r="X1249" s="3">
        <v>29048.9</v>
      </c>
    </row>
    <row r="1250" spans="1:24" s="2" customFormat="1" x14ac:dyDescent="0.2">
      <c r="A1250" s="2">
        <v>1250</v>
      </c>
      <c r="B1250" t="s">
        <v>2208</v>
      </c>
      <c r="C1250" t="s">
        <v>2209</v>
      </c>
      <c r="D1250" t="s">
        <v>2221</v>
      </c>
      <c r="E1250" t="s">
        <v>30</v>
      </c>
      <c r="F1250" t="s">
        <v>24</v>
      </c>
      <c r="G1250" t="s">
        <v>25</v>
      </c>
      <c r="H1250" t="str">
        <f t="shared" si="38"/>
        <v xml:space="preserve">1/2 - NATUR IND[USTRIA - RT STEPHANIE &gt; PV 5356 1/2 | Recorrência: | Observações: </v>
      </c>
      <c r="I1250" t="s">
        <v>491</v>
      </c>
      <c r="J1250" s="4">
        <v>3780.77</v>
      </c>
      <c r="K1250" s="4">
        <v>606024.17000000004</v>
      </c>
      <c r="L1250" t="s">
        <v>27</v>
      </c>
      <c r="M1250" s="4">
        <v>3780.77</v>
      </c>
      <c r="N1250" s="3">
        <v>0</v>
      </c>
      <c r="O1250" t="s">
        <v>2189</v>
      </c>
      <c r="P1250" t="s">
        <v>2093</v>
      </c>
      <c r="Q1250" t="s">
        <v>2189</v>
      </c>
      <c r="R1250" t="str">
        <f t="shared" si="39"/>
        <v>Sim</v>
      </c>
      <c r="S1250" t="s">
        <v>2189</v>
      </c>
      <c r="T1250" t="s">
        <v>30</v>
      </c>
      <c r="U1250" t="s">
        <v>49</v>
      </c>
      <c r="V1250" s="3">
        <v>3780.77</v>
      </c>
      <c r="W1250" t="s">
        <v>494</v>
      </c>
      <c r="X1250" s="3">
        <v>3780.77</v>
      </c>
    </row>
    <row r="1251" spans="1:24" s="2" customFormat="1" x14ac:dyDescent="0.2">
      <c r="A1251">
        <v>1251</v>
      </c>
      <c r="B1251" t="s">
        <v>1701</v>
      </c>
      <c r="C1251" t="s">
        <v>1702</v>
      </c>
      <c r="D1251" t="s">
        <v>2222</v>
      </c>
      <c r="E1251" t="s">
        <v>30</v>
      </c>
      <c r="F1251" t="s">
        <v>24</v>
      </c>
      <c r="G1251" t="s">
        <v>25</v>
      </c>
      <c r="H1251" t="str">
        <f t="shared" si="38"/>
        <v xml:space="preserve">ESTUDIO BOLA - ORÇ EBCJ 1093A - CAMILA DOSSE E PAULO RAMOS | Recorrência: | Observações: </v>
      </c>
      <c r="I1251" t="s">
        <v>491</v>
      </c>
      <c r="J1251" s="4">
        <v>14940.6</v>
      </c>
      <c r="K1251" s="4">
        <v>620964.77</v>
      </c>
      <c r="L1251" t="s">
        <v>27</v>
      </c>
      <c r="M1251" s="4">
        <v>14940.6</v>
      </c>
      <c r="N1251" s="3">
        <v>0</v>
      </c>
      <c r="O1251" t="s">
        <v>2189</v>
      </c>
      <c r="P1251" t="s">
        <v>2122</v>
      </c>
      <c r="Q1251" t="s">
        <v>2189</v>
      </c>
      <c r="R1251" t="str">
        <f t="shared" si="39"/>
        <v>Sim</v>
      </c>
      <c r="S1251" t="s">
        <v>2189</v>
      </c>
      <c r="T1251" t="s">
        <v>30</v>
      </c>
      <c r="U1251" t="s">
        <v>49</v>
      </c>
      <c r="V1251" s="3">
        <v>14940.6</v>
      </c>
      <c r="W1251" t="s">
        <v>494</v>
      </c>
      <c r="X1251" s="3">
        <v>14940.6</v>
      </c>
    </row>
    <row r="1252" spans="1:24" s="2" customFormat="1" x14ac:dyDescent="0.2">
      <c r="A1252" s="2">
        <v>1252</v>
      </c>
      <c r="B1252" t="s">
        <v>1227</v>
      </c>
      <c r="C1252" t="s">
        <v>849</v>
      </c>
      <c r="D1252" t="s">
        <v>2223</v>
      </c>
      <c r="E1252" t="s">
        <v>30</v>
      </c>
      <c r="F1252" t="s">
        <v>24</v>
      </c>
      <c r="G1252" t="s">
        <v>25</v>
      </c>
      <c r="H1252" t="str">
        <f t="shared" si="38"/>
        <v xml:space="preserve">RT &gt;Pedidos -  7342, 7687 e 8009 | Recorrência: | Observações: </v>
      </c>
      <c r="I1252" t="s">
        <v>491</v>
      </c>
      <c r="J1252" s="4">
        <v>1629.2</v>
      </c>
      <c r="K1252" s="4">
        <v>622593.97</v>
      </c>
      <c r="L1252" t="s">
        <v>27</v>
      </c>
      <c r="M1252" s="4">
        <v>1629.2</v>
      </c>
      <c r="N1252" s="3">
        <v>0</v>
      </c>
      <c r="O1252" t="s">
        <v>2189</v>
      </c>
      <c r="P1252" t="s">
        <v>2219</v>
      </c>
      <c r="Q1252" t="s">
        <v>2189</v>
      </c>
      <c r="R1252" t="str">
        <f t="shared" si="39"/>
        <v>Sim</v>
      </c>
      <c r="S1252" t="s">
        <v>2189</v>
      </c>
      <c r="T1252" t="s">
        <v>30</v>
      </c>
      <c r="U1252" t="s">
        <v>49</v>
      </c>
      <c r="V1252" s="3">
        <v>1629.2</v>
      </c>
      <c r="W1252" t="s">
        <v>494</v>
      </c>
      <c r="X1252" s="3">
        <v>1629.2</v>
      </c>
    </row>
    <row r="1253" spans="1:24" s="2" customFormat="1" x14ac:dyDescent="0.2">
      <c r="A1253">
        <v>1253</v>
      </c>
      <c r="B1253"/>
      <c r="C1253" t="s">
        <v>153</v>
      </c>
      <c r="D1253" t="s">
        <v>2224</v>
      </c>
      <c r="E1253" t="s">
        <v>30</v>
      </c>
      <c r="F1253" t="s">
        <v>63</v>
      </c>
      <c r="G1253" t="s">
        <v>25</v>
      </c>
      <c r="H1253" t="str">
        <f t="shared" si="38"/>
        <v xml:space="preserve">SODEXO ELIANE 09/12 | Recorrência: | Observações: </v>
      </c>
      <c r="I1253" t="s">
        <v>26</v>
      </c>
      <c r="J1253" s="5">
        <v>-741.3</v>
      </c>
      <c r="K1253" s="4">
        <v>621852.67000000004</v>
      </c>
      <c r="L1253" t="s">
        <v>27</v>
      </c>
      <c r="M1253" s="5">
        <v>-741.3</v>
      </c>
      <c r="N1253" s="3">
        <v>0</v>
      </c>
      <c r="O1253" t="s">
        <v>2189</v>
      </c>
      <c r="P1253" t="s">
        <v>2122</v>
      </c>
      <c r="Q1253" t="s">
        <v>2225</v>
      </c>
      <c r="R1253" t="str">
        <f t="shared" si="39"/>
        <v>Sim</v>
      </c>
      <c r="S1253" t="s">
        <v>2225</v>
      </c>
      <c r="T1253" t="s">
        <v>30</v>
      </c>
      <c r="U1253" t="s">
        <v>93</v>
      </c>
      <c r="V1253" s="3">
        <v>-741.3</v>
      </c>
      <c r="W1253" t="s">
        <v>331</v>
      </c>
      <c r="X1253" s="3">
        <v>-741.3</v>
      </c>
    </row>
    <row r="1254" spans="1:24" s="2" customFormat="1" x14ac:dyDescent="0.2">
      <c r="A1254" s="2">
        <v>1254</v>
      </c>
      <c r="B1254"/>
      <c r="C1254" t="s">
        <v>153</v>
      </c>
      <c r="D1254" t="s">
        <v>2226</v>
      </c>
      <c r="E1254" t="s">
        <v>30</v>
      </c>
      <c r="F1254" t="s">
        <v>63</v>
      </c>
      <c r="G1254" t="s">
        <v>25</v>
      </c>
      <c r="H1254" t="str">
        <f t="shared" si="38"/>
        <v xml:space="preserve">VALE TRANSPORTE - ELIANE | Recorrência: | Observações: </v>
      </c>
      <c r="I1254" t="s">
        <v>491</v>
      </c>
      <c r="J1254" s="5">
        <v>-352</v>
      </c>
      <c r="K1254" s="4">
        <v>621500.67000000004</v>
      </c>
      <c r="L1254" t="s">
        <v>27</v>
      </c>
      <c r="M1254" s="5">
        <v>-352</v>
      </c>
      <c r="N1254" s="3">
        <v>0</v>
      </c>
      <c r="O1254" t="s">
        <v>2189</v>
      </c>
      <c r="P1254" t="s">
        <v>2189</v>
      </c>
      <c r="Q1254" t="s">
        <v>2203</v>
      </c>
      <c r="R1254" t="str">
        <f t="shared" si="39"/>
        <v>Sim</v>
      </c>
      <c r="S1254" t="s">
        <v>2203</v>
      </c>
      <c r="T1254" t="s">
        <v>30</v>
      </c>
      <c r="U1254" t="s">
        <v>662</v>
      </c>
      <c r="V1254" s="3">
        <v>-352</v>
      </c>
      <c r="W1254" t="s">
        <v>698</v>
      </c>
      <c r="X1254" s="3">
        <v>-352</v>
      </c>
    </row>
    <row r="1255" spans="1:24" s="2" customFormat="1" x14ac:dyDescent="0.2">
      <c r="A1255">
        <v>1255</v>
      </c>
      <c r="B1255" t="s">
        <v>1088</v>
      </c>
      <c r="C1255" t="s">
        <v>1089</v>
      </c>
      <c r="D1255" t="s">
        <v>2227</v>
      </c>
      <c r="E1255" t="s">
        <v>30</v>
      </c>
      <c r="F1255" t="s">
        <v>24</v>
      </c>
      <c r="G1255" t="s">
        <v>25</v>
      </c>
      <c r="H1255" t="str">
        <f t="shared" si="38"/>
        <v xml:space="preserve">RT FARIZE♥LEANDRO | Recorrência: | Observações: </v>
      </c>
      <c r="I1255" t="s">
        <v>491</v>
      </c>
      <c r="J1255" s="4">
        <v>5350</v>
      </c>
      <c r="K1255" s="4">
        <v>626850.67000000004</v>
      </c>
      <c r="L1255" t="s">
        <v>27</v>
      </c>
      <c r="M1255" s="4">
        <v>5350</v>
      </c>
      <c r="N1255" s="3">
        <v>0</v>
      </c>
      <c r="O1255" t="s">
        <v>2189</v>
      </c>
      <c r="P1255" t="s">
        <v>2225</v>
      </c>
      <c r="Q1255" t="s">
        <v>2189</v>
      </c>
      <c r="R1255" t="str">
        <f t="shared" si="39"/>
        <v>Sim</v>
      </c>
      <c r="S1255" t="s">
        <v>2189</v>
      </c>
      <c r="T1255" t="s">
        <v>30</v>
      </c>
      <c r="U1255" t="s">
        <v>49</v>
      </c>
      <c r="V1255" s="3">
        <v>5350</v>
      </c>
      <c r="W1255" t="s">
        <v>494</v>
      </c>
      <c r="X1255" s="3">
        <v>5350</v>
      </c>
    </row>
    <row r="1256" spans="1:24" s="2" customFormat="1" x14ac:dyDescent="0.2">
      <c r="A1256" s="2">
        <v>1256</v>
      </c>
      <c r="B1256"/>
      <c r="C1256" t="s">
        <v>153</v>
      </c>
      <c r="D1256" t="s">
        <v>2228</v>
      </c>
      <c r="E1256" t="s">
        <v>30</v>
      </c>
      <c r="F1256" t="s">
        <v>63</v>
      </c>
      <c r="G1256" t="s">
        <v>25</v>
      </c>
      <c r="H1256" t="str">
        <f t="shared" si="38"/>
        <v xml:space="preserve">11/10 - ELIANE - VALE TRANSPORTE 11/12 | Recorrência: | Observações: </v>
      </c>
      <c r="I1256" t="s">
        <v>991</v>
      </c>
      <c r="J1256" s="5">
        <v>-352</v>
      </c>
      <c r="K1256" s="4">
        <v>626498.67000000004</v>
      </c>
      <c r="L1256" t="s">
        <v>27</v>
      </c>
      <c r="M1256" s="5">
        <v>-352</v>
      </c>
      <c r="N1256" s="3">
        <v>0</v>
      </c>
      <c r="O1256" t="s">
        <v>2189</v>
      </c>
      <c r="P1256" t="s">
        <v>1500</v>
      </c>
      <c r="Q1256" t="s">
        <v>2229</v>
      </c>
      <c r="R1256" t="str">
        <f t="shared" si="39"/>
        <v>Sim</v>
      </c>
      <c r="S1256" t="s">
        <v>2229</v>
      </c>
      <c r="T1256" t="s">
        <v>30</v>
      </c>
      <c r="U1256" t="s">
        <v>698</v>
      </c>
      <c r="V1256" s="3">
        <v>-352</v>
      </c>
      <c r="W1256" t="s">
        <v>698</v>
      </c>
      <c r="X1256" s="3">
        <v>-352</v>
      </c>
    </row>
    <row r="1257" spans="1:24" s="2" customFormat="1" x14ac:dyDescent="0.2">
      <c r="A1257">
        <v>1257</v>
      </c>
      <c r="B1257" t="s">
        <v>1636</v>
      </c>
      <c r="C1257" t="s">
        <v>1637</v>
      </c>
      <c r="D1257" t="s">
        <v>2230</v>
      </c>
      <c r="E1257" t="s">
        <v>30</v>
      </c>
      <c r="F1257" t="s">
        <v>24</v>
      </c>
      <c r="G1257" t="s">
        <v>25</v>
      </c>
      <c r="H1257" t="str">
        <f t="shared" si="38"/>
        <v>RT_  GO4901 _RIVIERA_MARIA ISABEL NAJM | Recorrência: | Observações: Realizado depósito no dia 29/09 valor total 14.940,60</v>
      </c>
      <c r="I1257" t="s">
        <v>491</v>
      </c>
      <c r="J1257" s="4">
        <v>1414.51</v>
      </c>
      <c r="K1257" s="4">
        <v>627913.18000000005</v>
      </c>
      <c r="L1257" t="s">
        <v>27</v>
      </c>
      <c r="M1257" s="4">
        <v>1414.51</v>
      </c>
      <c r="N1257" s="3">
        <v>0</v>
      </c>
      <c r="O1257" t="s">
        <v>2189</v>
      </c>
      <c r="P1257" t="s">
        <v>2219</v>
      </c>
      <c r="Q1257" t="s">
        <v>2189</v>
      </c>
      <c r="R1257" t="str">
        <f t="shared" si="39"/>
        <v>nao</v>
      </c>
      <c r="S1257" t="s">
        <v>2231</v>
      </c>
      <c r="T1257" t="s">
        <v>2232</v>
      </c>
      <c r="U1257" t="s">
        <v>49</v>
      </c>
      <c r="V1257" s="3">
        <v>1414.51</v>
      </c>
      <c r="W1257" t="s">
        <v>494</v>
      </c>
      <c r="X1257" s="3">
        <v>1414.51</v>
      </c>
    </row>
    <row r="1258" spans="1:24" s="2" customFormat="1" x14ac:dyDescent="0.2">
      <c r="A1258" s="2">
        <v>1258</v>
      </c>
      <c r="B1258" t="s">
        <v>1636</v>
      </c>
      <c r="C1258" t="s">
        <v>1637</v>
      </c>
      <c r="D1258" t="s">
        <v>2233</v>
      </c>
      <c r="E1258" t="s">
        <v>30</v>
      </c>
      <c r="F1258" t="s">
        <v>24</v>
      </c>
      <c r="G1258" t="s">
        <v>25</v>
      </c>
      <c r="H1258" t="str">
        <f t="shared" si="38"/>
        <v>RT_ FC 11702 _RIVIERA_MARIA ISABEL NAJM | Recorrência: | Observações: Realizado depósito no dia 29/09 valor total 14.940,60</v>
      </c>
      <c r="I1258" t="s">
        <v>491</v>
      </c>
      <c r="J1258" s="4">
        <v>7278.63</v>
      </c>
      <c r="K1258" s="4">
        <v>635191.81000000006</v>
      </c>
      <c r="L1258" t="s">
        <v>27</v>
      </c>
      <c r="M1258" s="4">
        <v>7278.63</v>
      </c>
      <c r="N1258" s="3">
        <v>0</v>
      </c>
      <c r="O1258" t="s">
        <v>2189</v>
      </c>
      <c r="P1258" t="s">
        <v>2219</v>
      </c>
      <c r="Q1258" t="s">
        <v>2189</v>
      </c>
      <c r="R1258" t="str">
        <f t="shared" si="39"/>
        <v>nao</v>
      </c>
      <c r="S1258" t="s">
        <v>2231</v>
      </c>
      <c r="T1258" t="s">
        <v>2232</v>
      </c>
      <c r="U1258" t="s">
        <v>49</v>
      </c>
      <c r="V1258" s="3">
        <v>7278.63</v>
      </c>
      <c r="W1258" t="s">
        <v>494</v>
      </c>
      <c r="X1258" s="3">
        <v>7278.63</v>
      </c>
    </row>
    <row r="1259" spans="1:24" s="2" customFormat="1" x14ac:dyDescent="0.2">
      <c r="A1259">
        <v>1259</v>
      </c>
      <c r="B1259" t="s">
        <v>1636</v>
      </c>
      <c r="C1259" t="s">
        <v>1637</v>
      </c>
      <c r="D1259" t="s">
        <v>2234</v>
      </c>
      <c r="E1259" t="s">
        <v>30</v>
      </c>
      <c r="F1259" t="s">
        <v>24</v>
      </c>
      <c r="G1259" t="s">
        <v>25</v>
      </c>
      <c r="H1259" t="str">
        <f t="shared" si="38"/>
        <v>RT_ FR 16103_RIVIERA_MARIA ISABEL NAJM | Recorrência: | Observações: Realizado depósito no dia 29/09 valor total 14.940,60</v>
      </c>
      <c r="I1259" t="s">
        <v>491</v>
      </c>
      <c r="J1259" s="4">
        <v>6285.2</v>
      </c>
      <c r="K1259" s="4">
        <v>641477.01</v>
      </c>
      <c r="L1259" t="s">
        <v>27</v>
      </c>
      <c r="M1259" s="4">
        <v>6285.2</v>
      </c>
      <c r="N1259" s="3">
        <v>0</v>
      </c>
      <c r="O1259" t="s">
        <v>2189</v>
      </c>
      <c r="P1259" t="s">
        <v>2171</v>
      </c>
      <c r="Q1259" t="s">
        <v>2189</v>
      </c>
      <c r="R1259" t="str">
        <f t="shared" si="39"/>
        <v>Sim</v>
      </c>
      <c r="S1259" t="s">
        <v>2189</v>
      </c>
      <c r="T1259" t="s">
        <v>2232</v>
      </c>
      <c r="U1259" t="s">
        <v>49</v>
      </c>
      <c r="V1259" s="3">
        <v>6285.2</v>
      </c>
      <c r="W1259" t="s">
        <v>494</v>
      </c>
      <c r="X1259" s="3">
        <v>6285.2</v>
      </c>
    </row>
    <row r="1260" spans="1:24" s="2" customFormat="1" x14ac:dyDescent="0.2">
      <c r="A1260" s="2">
        <v>1260</v>
      </c>
      <c r="B1260"/>
      <c r="C1260" t="s">
        <v>153</v>
      </c>
      <c r="D1260" t="s">
        <v>2235</v>
      </c>
      <c r="E1260" t="s">
        <v>853</v>
      </c>
      <c r="F1260" t="s">
        <v>63</v>
      </c>
      <c r="G1260" t="s">
        <v>25</v>
      </c>
      <c r="H1260" t="str">
        <f t="shared" si="38"/>
        <v>DIÁRIAS  JULIANA SOARES - REFERENTE SETEMBRO | Recorrência:9/12 | Observações: DIÁRIAS: 03-11-18 E 26 JANEIRO</v>
      </c>
      <c r="I1260" t="s">
        <v>491</v>
      </c>
      <c r="J1260" s="5">
        <v>-480</v>
      </c>
      <c r="K1260" s="4">
        <v>640997.01</v>
      </c>
      <c r="L1260" t="s">
        <v>27</v>
      </c>
      <c r="M1260" s="5">
        <v>-480</v>
      </c>
      <c r="N1260" s="3">
        <v>0</v>
      </c>
      <c r="O1260" t="s">
        <v>2189</v>
      </c>
      <c r="P1260" t="s">
        <v>2137</v>
      </c>
      <c r="Q1260" t="s">
        <v>2189</v>
      </c>
      <c r="R1260" t="str">
        <f t="shared" si="39"/>
        <v>Sim</v>
      </c>
      <c r="S1260" t="s">
        <v>2189</v>
      </c>
      <c r="T1260" t="s">
        <v>1668</v>
      </c>
      <c r="U1260" t="s">
        <v>691</v>
      </c>
      <c r="V1260" s="3">
        <v>-480</v>
      </c>
      <c r="W1260" t="s">
        <v>1058</v>
      </c>
      <c r="X1260" s="3">
        <v>-480</v>
      </c>
    </row>
    <row r="1261" spans="1:24" s="2" customFormat="1" x14ac:dyDescent="0.2">
      <c r="A1261">
        <v>1261</v>
      </c>
      <c r="B1261"/>
      <c r="C1261" t="s">
        <v>710</v>
      </c>
      <c r="D1261" t="s">
        <v>1978</v>
      </c>
      <c r="E1261" t="s">
        <v>853</v>
      </c>
      <c r="F1261" t="s">
        <v>63</v>
      </c>
      <c r="G1261" t="s">
        <v>25</v>
      </c>
      <c r="H1261" t="str">
        <f t="shared" si="38"/>
        <v xml:space="preserve">ENÉRGIA ELETRICA | Recorrência:9/12 | Observações: </v>
      </c>
      <c r="I1261" t="s">
        <v>26</v>
      </c>
      <c r="J1261" s="5">
        <v>-320.45</v>
      </c>
      <c r="K1261" s="4">
        <v>640676.56000000006</v>
      </c>
      <c r="L1261" t="s">
        <v>27</v>
      </c>
      <c r="M1261" s="5">
        <v>-320.45</v>
      </c>
      <c r="N1261" s="3">
        <v>0</v>
      </c>
      <c r="O1261" t="s">
        <v>2203</v>
      </c>
      <c r="P1261" t="s">
        <v>2203</v>
      </c>
      <c r="Q1261" t="s">
        <v>2203</v>
      </c>
      <c r="R1261" t="str">
        <f t="shared" si="39"/>
        <v>Sim</v>
      </c>
      <c r="S1261" t="s">
        <v>2203</v>
      </c>
      <c r="T1261" t="s">
        <v>30</v>
      </c>
      <c r="U1261" t="s">
        <v>125</v>
      </c>
      <c r="V1261" s="3">
        <v>-320.45</v>
      </c>
      <c r="W1261" t="s">
        <v>125</v>
      </c>
      <c r="X1261" s="3">
        <v>-320.45</v>
      </c>
    </row>
    <row r="1262" spans="1:24" s="2" customFormat="1" x14ac:dyDescent="0.2">
      <c r="A1262" s="2">
        <v>1262</v>
      </c>
      <c r="B1262"/>
      <c r="C1262" t="s">
        <v>992</v>
      </c>
      <c r="D1262" t="s">
        <v>2236</v>
      </c>
      <c r="E1262" t="s">
        <v>30</v>
      </c>
      <c r="F1262" t="s">
        <v>24</v>
      </c>
      <c r="G1262" t="s">
        <v>25</v>
      </c>
      <c r="H1262" t="str">
        <f t="shared" si="38"/>
        <v xml:space="preserve">3/3 - GERENCIAMENTO COND JD ACAPULCO_GUARUJÁ 3/3 | Recorrência: | Observações: </v>
      </c>
      <c r="I1262" t="s">
        <v>491</v>
      </c>
      <c r="J1262" s="4">
        <v>3000</v>
      </c>
      <c r="K1262" s="4">
        <v>643676.56000000006</v>
      </c>
      <c r="L1262" t="s">
        <v>27</v>
      </c>
      <c r="M1262" s="4">
        <v>3000</v>
      </c>
      <c r="N1262" s="3">
        <v>0</v>
      </c>
      <c r="O1262" t="s">
        <v>2225</v>
      </c>
      <c r="P1262" t="s">
        <v>1954</v>
      </c>
      <c r="Q1262" t="s">
        <v>2199</v>
      </c>
      <c r="R1262" t="str">
        <f t="shared" si="39"/>
        <v>Sim</v>
      </c>
      <c r="S1262" t="s">
        <v>2199</v>
      </c>
      <c r="T1262" t="s">
        <v>30</v>
      </c>
      <c r="U1262" t="s">
        <v>274</v>
      </c>
      <c r="V1262" s="3">
        <v>3000</v>
      </c>
      <c r="W1262" t="s">
        <v>166</v>
      </c>
      <c r="X1262" s="3">
        <v>3000</v>
      </c>
    </row>
    <row r="1263" spans="1:24" s="2" customFormat="1" x14ac:dyDescent="0.2">
      <c r="A1263">
        <v>1263</v>
      </c>
      <c r="B1263" t="s">
        <v>2237</v>
      </c>
      <c r="C1263" t="s">
        <v>2238</v>
      </c>
      <c r="D1263" t="s">
        <v>2239</v>
      </c>
      <c r="E1263" t="s">
        <v>30</v>
      </c>
      <c r="F1263" t="s">
        <v>24</v>
      </c>
      <c r="G1263" t="s">
        <v>25</v>
      </c>
      <c r="H1263" t="str">
        <f t="shared" si="38"/>
        <v xml:space="preserve">1/2 - PROJETO RESIDENCIAL  1/2 | Recorrência: | Observações: GERADO CPF- 609.234.803-90 &gt;  PARA REALIZAR CADASTRO &gt; ATUALIZAR APÓS OBTER DADOS </v>
      </c>
      <c r="I1263" t="s">
        <v>491</v>
      </c>
      <c r="J1263" s="4">
        <v>14250</v>
      </c>
      <c r="K1263" s="4">
        <v>657926.56000000006</v>
      </c>
      <c r="L1263" t="s">
        <v>27</v>
      </c>
      <c r="M1263" s="4">
        <v>14250</v>
      </c>
      <c r="N1263" s="3">
        <v>0</v>
      </c>
      <c r="O1263" t="s">
        <v>2225</v>
      </c>
      <c r="P1263" t="s">
        <v>2212</v>
      </c>
      <c r="Q1263" t="s">
        <v>2240</v>
      </c>
      <c r="R1263" t="str">
        <f t="shared" si="39"/>
        <v>Sim</v>
      </c>
      <c r="S1263" t="s">
        <v>2240</v>
      </c>
      <c r="T1263" t="s">
        <v>2241</v>
      </c>
      <c r="U1263" t="s">
        <v>182</v>
      </c>
      <c r="V1263" s="3">
        <v>14250</v>
      </c>
      <c r="W1263" t="s">
        <v>32</v>
      </c>
      <c r="X1263" s="3">
        <v>14250</v>
      </c>
    </row>
    <row r="1264" spans="1:24" s="2" customFormat="1" x14ac:dyDescent="0.2">
      <c r="A1264" s="2">
        <v>1264</v>
      </c>
      <c r="B1264" t="s">
        <v>647</v>
      </c>
      <c r="C1264" t="s">
        <v>648</v>
      </c>
      <c r="D1264" t="s">
        <v>2242</v>
      </c>
      <c r="E1264" t="s">
        <v>30</v>
      </c>
      <c r="F1264" t="s">
        <v>63</v>
      </c>
      <c r="G1264" t="s">
        <v>25</v>
      </c>
      <c r="H1264" t="str">
        <f t="shared" si="38"/>
        <v xml:space="preserve">10/12 - FGTS 10/12 - COMPETÊNCIA 09/2023 | Recorrência: | Observações: </v>
      </c>
      <c r="I1264" t="s">
        <v>26</v>
      </c>
      <c r="J1264" s="5">
        <v>-145.62</v>
      </c>
      <c r="K1264" s="4">
        <v>657780.93999999994</v>
      </c>
      <c r="L1264" t="s">
        <v>27</v>
      </c>
      <c r="M1264" s="5">
        <v>-145.62</v>
      </c>
      <c r="N1264" s="3">
        <v>0</v>
      </c>
      <c r="O1264" t="s">
        <v>2225</v>
      </c>
      <c r="P1264" t="s">
        <v>1469</v>
      </c>
      <c r="Q1264" t="s">
        <v>2243</v>
      </c>
      <c r="R1264" t="str">
        <f t="shared" si="39"/>
        <v>Sim</v>
      </c>
      <c r="S1264" t="s">
        <v>2243</v>
      </c>
      <c r="T1264" t="s">
        <v>30</v>
      </c>
      <c r="U1264" t="s">
        <v>1531</v>
      </c>
      <c r="V1264" s="3">
        <v>-145.62</v>
      </c>
    </row>
    <row r="1265" spans="1:24" s="2" customFormat="1" x14ac:dyDescent="0.2">
      <c r="A1265">
        <v>1265</v>
      </c>
      <c r="B1265"/>
      <c r="C1265" t="s">
        <v>153</v>
      </c>
      <c r="D1265" t="s">
        <v>2244</v>
      </c>
      <c r="E1265" t="s">
        <v>30</v>
      </c>
      <c r="F1265" t="s">
        <v>63</v>
      </c>
      <c r="G1265" t="s">
        <v>25</v>
      </c>
      <c r="H1265" t="str">
        <f t="shared" si="38"/>
        <v xml:space="preserve">10/12 - PRÓ LABORE - NATASHA 10/12 | Recorrência: | Observações: </v>
      </c>
      <c r="I1265" t="s">
        <v>991</v>
      </c>
      <c r="J1265" s="5">
        <v>-15000</v>
      </c>
      <c r="K1265" s="4">
        <v>642780.93999999994</v>
      </c>
      <c r="L1265" t="s">
        <v>27</v>
      </c>
      <c r="M1265" s="5">
        <v>-15000</v>
      </c>
      <c r="N1265" s="3">
        <v>0</v>
      </c>
      <c r="O1265" t="s">
        <v>2225</v>
      </c>
      <c r="P1265" t="s">
        <v>1457</v>
      </c>
      <c r="Q1265" t="s">
        <v>2225</v>
      </c>
      <c r="R1265" t="str">
        <f t="shared" si="39"/>
        <v>nao</v>
      </c>
      <c r="S1265" t="s">
        <v>2189</v>
      </c>
      <c r="T1265" t="s">
        <v>30</v>
      </c>
      <c r="U1265" t="s">
        <v>631</v>
      </c>
      <c r="V1265" s="3">
        <v>-15000</v>
      </c>
      <c r="W1265" t="s">
        <v>1164</v>
      </c>
      <c r="X1265" s="3">
        <v>-15000</v>
      </c>
    </row>
    <row r="1266" spans="1:24" s="2" customFormat="1" x14ac:dyDescent="0.2">
      <c r="A1266" s="2">
        <v>1266</v>
      </c>
      <c r="B1266"/>
      <c r="C1266" t="s">
        <v>153</v>
      </c>
      <c r="D1266" t="s">
        <v>2245</v>
      </c>
      <c r="E1266" t="s">
        <v>30</v>
      </c>
      <c r="F1266" t="s">
        <v>63</v>
      </c>
      <c r="G1266" t="s">
        <v>25</v>
      </c>
      <c r="H1266" t="str">
        <f t="shared" si="38"/>
        <v xml:space="preserve">10/12 - PRÓ LABORE MAYARA 10/12 | Recorrência: | Observações: </v>
      </c>
      <c r="I1266" t="s">
        <v>991</v>
      </c>
      <c r="J1266" s="5">
        <v>-15000</v>
      </c>
      <c r="K1266" s="4">
        <v>627780.93999999994</v>
      </c>
      <c r="L1266" t="s">
        <v>27</v>
      </c>
      <c r="M1266" s="5">
        <v>-15000</v>
      </c>
      <c r="N1266" s="3">
        <v>0</v>
      </c>
      <c r="O1266" t="s">
        <v>2225</v>
      </c>
      <c r="P1266" t="s">
        <v>1457</v>
      </c>
      <c r="Q1266" t="s">
        <v>2225</v>
      </c>
      <c r="R1266" t="str">
        <f t="shared" si="39"/>
        <v>nao</v>
      </c>
      <c r="S1266" t="s">
        <v>2189</v>
      </c>
      <c r="T1266" t="s">
        <v>30</v>
      </c>
      <c r="U1266" t="s">
        <v>631</v>
      </c>
      <c r="V1266" s="3">
        <v>-15000</v>
      </c>
      <c r="W1266" t="s">
        <v>1164</v>
      </c>
      <c r="X1266" s="3">
        <v>-15000</v>
      </c>
    </row>
    <row r="1267" spans="1:24" s="2" customFormat="1" x14ac:dyDescent="0.2">
      <c r="A1267">
        <v>1267</v>
      </c>
      <c r="B1267"/>
      <c r="C1267" t="s">
        <v>153</v>
      </c>
      <c r="D1267" t="s">
        <v>2246</v>
      </c>
      <c r="E1267" t="s">
        <v>30</v>
      </c>
      <c r="F1267" t="s">
        <v>63</v>
      </c>
      <c r="G1267" t="s">
        <v>25</v>
      </c>
      <c r="H1267" t="str">
        <f t="shared" si="38"/>
        <v xml:space="preserve">2/2 - LAURA DE CICO 2/5 | Recorrência: | Observações: </v>
      </c>
      <c r="I1267" t="s">
        <v>491</v>
      </c>
      <c r="J1267" s="5">
        <v>-2516.73</v>
      </c>
      <c r="K1267" s="4">
        <v>625264.21</v>
      </c>
      <c r="L1267" t="s">
        <v>27</v>
      </c>
      <c r="M1267" s="5">
        <v>-2516.73</v>
      </c>
      <c r="N1267" s="3">
        <v>0</v>
      </c>
      <c r="O1267" t="s">
        <v>2225</v>
      </c>
      <c r="P1267" t="s">
        <v>2058</v>
      </c>
      <c r="Q1267" t="s">
        <v>2203</v>
      </c>
      <c r="R1267" t="str">
        <f t="shared" si="39"/>
        <v>Sim</v>
      </c>
      <c r="S1267" t="s">
        <v>2203</v>
      </c>
      <c r="T1267" t="s">
        <v>30</v>
      </c>
      <c r="U1267" t="s">
        <v>323</v>
      </c>
      <c r="V1267" s="3">
        <v>-2516.73</v>
      </c>
      <c r="W1267" t="s">
        <v>1164</v>
      </c>
      <c r="X1267" s="3">
        <v>-2516.73</v>
      </c>
    </row>
    <row r="1268" spans="1:24" s="2" customFormat="1" x14ac:dyDescent="0.2">
      <c r="A1268" s="2">
        <v>1268</v>
      </c>
      <c r="B1268"/>
      <c r="C1268" t="s">
        <v>153</v>
      </c>
      <c r="D1268" t="s">
        <v>2247</v>
      </c>
      <c r="E1268" t="s">
        <v>30</v>
      </c>
      <c r="F1268" t="s">
        <v>63</v>
      </c>
      <c r="G1268" t="s">
        <v>25</v>
      </c>
      <c r="H1268" t="str">
        <f t="shared" si="38"/>
        <v xml:space="preserve">10/11 - SALÁRIO - JULYA 10/12 | Recorrência: | Observações: </v>
      </c>
      <c r="I1268" t="s">
        <v>991</v>
      </c>
      <c r="J1268" s="5">
        <v>-4281.08</v>
      </c>
      <c r="K1268" s="4">
        <v>620983.13</v>
      </c>
      <c r="L1268" t="s">
        <v>27</v>
      </c>
      <c r="M1268" s="5">
        <v>-4281.08</v>
      </c>
      <c r="N1268" s="3">
        <v>0</v>
      </c>
      <c r="O1268" t="s">
        <v>2225</v>
      </c>
      <c r="P1268" t="s">
        <v>1457</v>
      </c>
      <c r="Q1268" t="s">
        <v>2225</v>
      </c>
      <c r="R1268" t="str">
        <f t="shared" si="39"/>
        <v>nao</v>
      </c>
      <c r="S1268" t="s">
        <v>2219</v>
      </c>
      <c r="T1268" t="s">
        <v>30</v>
      </c>
      <c r="U1268" t="s">
        <v>323</v>
      </c>
      <c r="V1268" s="3">
        <v>-4281.08</v>
      </c>
      <c r="W1268" t="s">
        <v>1164</v>
      </c>
      <c r="X1268" s="3">
        <v>-4281.08</v>
      </c>
    </row>
    <row r="1269" spans="1:24" s="2" customFormat="1" x14ac:dyDescent="0.2">
      <c r="A1269">
        <v>1269</v>
      </c>
      <c r="B1269"/>
      <c r="C1269" t="s">
        <v>574</v>
      </c>
      <c r="D1269" t="s">
        <v>1533</v>
      </c>
      <c r="E1269" t="s">
        <v>910</v>
      </c>
      <c r="F1269" t="s">
        <v>63</v>
      </c>
      <c r="G1269" t="s">
        <v>25</v>
      </c>
      <c r="H1269" t="str">
        <f t="shared" si="38"/>
        <v xml:space="preserve">CONDOMINIO + ALUGUEL | Recorrência:10/12 | Observações: </v>
      </c>
      <c r="I1269" t="s">
        <v>26</v>
      </c>
      <c r="J1269" s="5">
        <v>-6387.32</v>
      </c>
      <c r="K1269" s="4">
        <v>614595.81000000006</v>
      </c>
      <c r="L1269" t="s">
        <v>27</v>
      </c>
      <c r="M1269" s="5">
        <v>-6387.32</v>
      </c>
      <c r="N1269" s="3">
        <v>0</v>
      </c>
      <c r="O1269" t="s">
        <v>2225</v>
      </c>
      <c r="P1269" t="s">
        <v>2248</v>
      </c>
      <c r="Q1269" t="s">
        <v>2249</v>
      </c>
      <c r="R1269" t="str">
        <f t="shared" si="39"/>
        <v>Sim</v>
      </c>
      <c r="S1269" t="s">
        <v>2249</v>
      </c>
      <c r="T1269" t="s">
        <v>30</v>
      </c>
      <c r="U1269" t="s">
        <v>571</v>
      </c>
      <c r="V1269" s="3">
        <v>-6387.32</v>
      </c>
      <c r="W1269" t="s">
        <v>1058</v>
      </c>
      <c r="X1269" s="3">
        <v>-6387.32</v>
      </c>
    </row>
    <row r="1270" spans="1:24" s="2" customFormat="1" x14ac:dyDescent="0.2">
      <c r="A1270" s="2">
        <v>1270</v>
      </c>
      <c r="B1270"/>
      <c r="C1270" t="s">
        <v>153</v>
      </c>
      <c r="D1270" t="s">
        <v>1579</v>
      </c>
      <c r="E1270" t="s">
        <v>910</v>
      </c>
      <c r="F1270" t="s">
        <v>63</v>
      </c>
      <c r="G1270" t="s">
        <v>25</v>
      </c>
      <c r="H1270" t="str">
        <f t="shared" si="38"/>
        <v xml:space="preserve">SALÁRIO ELIANE  | Recorrência:10/12 | Observações: </v>
      </c>
      <c r="I1270" t="s">
        <v>491</v>
      </c>
      <c r="J1270" s="5">
        <v>-1676.33</v>
      </c>
      <c r="K1270" s="4">
        <v>612919.48</v>
      </c>
      <c r="L1270" t="s">
        <v>27</v>
      </c>
      <c r="M1270" s="5">
        <v>-1676.33</v>
      </c>
      <c r="N1270" s="3">
        <v>0</v>
      </c>
      <c r="O1270" t="s">
        <v>2225</v>
      </c>
      <c r="P1270" t="s">
        <v>2250</v>
      </c>
      <c r="Q1270" t="s">
        <v>2240</v>
      </c>
      <c r="R1270" t="str">
        <f t="shared" si="39"/>
        <v>Sim</v>
      </c>
      <c r="S1270" t="s">
        <v>2240</v>
      </c>
      <c r="T1270" t="s">
        <v>30</v>
      </c>
      <c r="U1270" t="s">
        <v>323</v>
      </c>
      <c r="V1270" s="3">
        <v>-1676.33</v>
      </c>
      <c r="W1270" t="s">
        <v>1164</v>
      </c>
      <c r="X1270" s="3">
        <v>-1676.33</v>
      </c>
    </row>
    <row r="1271" spans="1:24" s="2" customFormat="1" x14ac:dyDescent="0.2">
      <c r="A1271">
        <v>1271</v>
      </c>
      <c r="B1271"/>
      <c r="C1271" t="s">
        <v>153</v>
      </c>
      <c r="D1271" t="s">
        <v>1910</v>
      </c>
      <c r="E1271" t="s">
        <v>2251</v>
      </c>
      <c r="F1271" t="s">
        <v>63</v>
      </c>
      <c r="G1271" t="s">
        <v>25</v>
      </c>
      <c r="H1271" t="str">
        <f t="shared" si="38"/>
        <v xml:space="preserve">SALÁRIO_MAYARA OLIVEIRA | Recorrência:6/7 | Observações: </v>
      </c>
      <c r="I1271" t="s">
        <v>491</v>
      </c>
      <c r="J1271" s="5">
        <v>-2756.99</v>
      </c>
      <c r="K1271" s="4">
        <v>610162.49</v>
      </c>
      <c r="L1271" t="s">
        <v>27</v>
      </c>
      <c r="M1271" s="5">
        <v>-2756.99</v>
      </c>
      <c r="N1271" s="3">
        <v>0</v>
      </c>
      <c r="O1271" t="s">
        <v>2225</v>
      </c>
      <c r="P1271" t="s">
        <v>2204</v>
      </c>
      <c r="Q1271" t="s">
        <v>2240</v>
      </c>
      <c r="R1271" t="str">
        <f t="shared" si="39"/>
        <v>Sim</v>
      </c>
      <c r="S1271" t="s">
        <v>2240</v>
      </c>
      <c r="T1271" t="s">
        <v>30</v>
      </c>
      <c r="U1271" t="s">
        <v>323</v>
      </c>
      <c r="V1271" s="3">
        <v>-2756.99</v>
      </c>
      <c r="W1271" t="s">
        <v>1043</v>
      </c>
      <c r="X1271" s="3">
        <v>-2756.99</v>
      </c>
    </row>
    <row r="1272" spans="1:24" s="2" customFormat="1" x14ac:dyDescent="0.2">
      <c r="A1272" s="2">
        <v>1272</v>
      </c>
      <c r="B1272" t="s">
        <v>1987</v>
      </c>
      <c r="C1272" t="s">
        <v>1988</v>
      </c>
      <c r="D1272" t="s">
        <v>2252</v>
      </c>
      <c r="E1272" t="s">
        <v>30</v>
      </c>
      <c r="F1272" t="s">
        <v>63</v>
      </c>
      <c r="G1272" t="s">
        <v>25</v>
      </c>
      <c r="H1272" t="str">
        <f t="shared" si="38"/>
        <v>3/3 - COMISSÃO VERA  3/3 | Recorrência: | Observações: COMISSÃO CLIENTE VERA PARASMO 
5% VALOR PROJETO R$ 9.000,00 =R$ 450,00 EM 3X</v>
      </c>
      <c r="I1272" t="s">
        <v>991</v>
      </c>
      <c r="J1272" s="5">
        <v>-150</v>
      </c>
      <c r="K1272" s="4">
        <v>610012.49</v>
      </c>
      <c r="L1272" t="s">
        <v>27</v>
      </c>
      <c r="M1272" s="5">
        <v>-150</v>
      </c>
      <c r="N1272" s="3">
        <v>0</v>
      </c>
      <c r="O1272" t="s">
        <v>2225</v>
      </c>
      <c r="P1272" t="s">
        <v>2015</v>
      </c>
      <c r="Q1272" t="s">
        <v>2240</v>
      </c>
      <c r="R1272" t="str">
        <f t="shared" si="39"/>
        <v>Sim</v>
      </c>
      <c r="S1272" t="s">
        <v>2240</v>
      </c>
      <c r="T1272" t="s">
        <v>2073</v>
      </c>
      <c r="U1272" t="s">
        <v>1991</v>
      </c>
      <c r="V1272" s="3">
        <v>-150</v>
      </c>
      <c r="W1272" t="s">
        <v>1722</v>
      </c>
      <c r="X1272" s="3">
        <v>-150</v>
      </c>
    </row>
    <row r="1273" spans="1:24" s="2" customFormat="1" x14ac:dyDescent="0.2">
      <c r="A1273">
        <v>1273</v>
      </c>
      <c r="B1273" t="s">
        <v>1987</v>
      </c>
      <c r="C1273" t="s">
        <v>1988</v>
      </c>
      <c r="D1273" t="s">
        <v>2253</v>
      </c>
      <c r="E1273" t="s">
        <v>30</v>
      </c>
      <c r="F1273" t="s">
        <v>63</v>
      </c>
      <c r="G1273" t="s">
        <v>25</v>
      </c>
      <c r="H1273" t="str">
        <f t="shared" si="38"/>
        <v>2/2 - COMISSÃO PROJETO PAULO RAMOS 2/2 | Recorrência: | Observações: COMISSÃO PROJETO PAULO RAMOS
VALOR PROJETO R$ 489,00
PAGAMENTO 1/2-R$ 244,50 -01/09
PAGAMENTO 2/2-R$ 244,50-01/10</v>
      </c>
      <c r="I1273" t="s">
        <v>755</v>
      </c>
      <c r="J1273" s="5">
        <v>-244.5</v>
      </c>
      <c r="K1273" s="4">
        <v>609767.99</v>
      </c>
      <c r="L1273" t="s">
        <v>27</v>
      </c>
      <c r="M1273" s="5">
        <v>-244.5</v>
      </c>
      <c r="N1273" s="3">
        <v>0</v>
      </c>
      <c r="O1273" t="s">
        <v>2225</v>
      </c>
      <c r="P1273" t="s">
        <v>2128</v>
      </c>
      <c r="Q1273" t="s">
        <v>2240</v>
      </c>
      <c r="R1273" t="str">
        <f t="shared" si="39"/>
        <v>Sim</v>
      </c>
      <c r="S1273" t="s">
        <v>2240</v>
      </c>
      <c r="T1273" t="s">
        <v>2147</v>
      </c>
      <c r="U1273" t="s">
        <v>1991</v>
      </c>
      <c r="V1273" s="3">
        <v>-244.5</v>
      </c>
      <c r="W1273" t="s">
        <v>1722</v>
      </c>
      <c r="X1273" s="3">
        <v>-244.5</v>
      </c>
    </row>
    <row r="1274" spans="1:24" s="2" customFormat="1" x14ac:dyDescent="0.2">
      <c r="A1274" s="2">
        <v>1274</v>
      </c>
      <c r="B1274" t="s">
        <v>1987</v>
      </c>
      <c r="C1274" t="s">
        <v>1988</v>
      </c>
      <c r="D1274" t="s">
        <v>2254</v>
      </c>
      <c r="E1274" t="s">
        <v>30</v>
      </c>
      <c r="F1274" t="s">
        <v>63</v>
      </c>
      <c r="G1274" t="s">
        <v>25</v>
      </c>
      <c r="H1274" t="str">
        <f t="shared" si="38"/>
        <v>1/3 - COMISSÃO PROJETO MARIEL E FAUSTO 1/3 | Recorrência: | Observações: COMISSÃO REFERENTE A PROJETO MARIEL E FAUSTO
VALOR PROJETO R$ 24.000,00 X 3%= R$ 720,00
PAGAMENTO EM 3X SET/OUT/NOV
PAGAMENTO COMISSÃO 3X OUT/NOV/ DEZ</v>
      </c>
      <c r="I1274" t="s">
        <v>491</v>
      </c>
      <c r="J1274" s="5">
        <v>-240</v>
      </c>
      <c r="K1274" s="4">
        <v>609527.99</v>
      </c>
      <c r="L1274" t="s">
        <v>27</v>
      </c>
      <c r="M1274" s="5">
        <v>-240</v>
      </c>
      <c r="N1274" s="3">
        <v>0</v>
      </c>
      <c r="O1274" t="s">
        <v>2225</v>
      </c>
      <c r="P1274" t="s">
        <v>2187</v>
      </c>
      <c r="Q1274" t="s">
        <v>2240</v>
      </c>
      <c r="R1274" t="str">
        <f t="shared" si="39"/>
        <v>Sim</v>
      </c>
      <c r="S1274" t="s">
        <v>2240</v>
      </c>
      <c r="T1274" t="s">
        <v>2255</v>
      </c>
      <c r="U1274" t="s">
        <v>1991</v>
      </c>
      <c r="V1274" s="3">
        <v>-240</v>
      </c>
      <c r="W1274" t="s">
        <v>1722</v>
      </c>
      <c r="X1274" s="3">
        <v>-240</v>
      </c>
    </row>
    <row r="1275" spans="1:24" s="2" customFormat="1" x14ac:dyDescent="0.2">
      <c r="A1275">
        <v>1275</v>
      </c>
      <c r="B1275" t="s">
        <v>1987</v>
      </c>
      <c r="C1275" t="s">
        <v>1988</v>
      </c>
      <c r="D1275" t="s">
        <v>2256</v>
      </c>
      <c r="E1275" t="s">
        <v>30</v>
      </c>
      <c r="F1275" t="s">
        <v>63</v>
      </c>
      <c r="G1275" t="s">
        <v>25</v>
      </c>
      <c r="H1275" t="str">
        <f t="shared" si="38"/>
        <v>1/2 - COMISSÃO RITZ 1/2 | Recorrência: | Observações: COMISSÃO REFERENTE A PROJETO ED. RITZ
VALOR PROJETO R$ 10.000,00 X 3%=R$ 300,00
01/10-R$ 150.00
01/11-R$ 150,00</v>
      </c>
      <c r="I1275" t="s">
        <v>491</v>
      </c>
      <c r="J1275" s="5">
        <v>-150</v>
      </c>
      <c r="K1275" s="4">
        <v>609377.99</v>
      </c>
      <c r="L1275" t="s">
        <v>27</v>
      </c>
      <c r="M1275" s="5">
        <v>-150</v>
      </c>
      <c r="N1275" s="3">
        <v>0</v>
      </c>
      <c r="O1275" t="s">
        <v>2225</v>
      </c>
      <c r="P1275" t="s">
        <v>2219</v>
      </c>
      <c r="Q1275" t="s">
        <v>2240</v>
      </c>
      <c r="R1275" t="str">
        <f t="shared" si="39"/>
        <v>Sim</v>
      </c>
      <c r="S1275" t="s">
        <v>2240</v>
      </c>
      <c r="T1275" t="s">
        <v>2257</v>
      </c>
      <c r="U1275" t="s">
        <v>1991</v>
      </c>
      <c r="V1275" s="3">
        <v>-150</v>
      </c>
      <c r="W1275" t="s">
        <v>1722</v>
      </c>
      <c r="X1275" s="3">
        <v>-150</v>
      </c>
    </row>
    <row r="1276" spans="1:24" s="2" customFormat="1" x14ac:dyDescent="0.2">
      <c r="A1276" s="2">
        <v>1276</v>
      </c>
      <c r="B1276"/>
      <c r="C1276"/>
      <c r="D1276" t="s">
        <v>2258</v>
      </c>
      <c r="E1276" t="s">
        <v>30</v>
      </c>
      <c r="F1276" t="s">
        <v>63</v>
      </c>
      <c r="G1276" t="s">
        <v>25</v>
      </c>
      <c r="H1276" t="str">
        <f t="shared" si="38"/>
        <v>1/2 - COMISSÃO PROJETO LUCIENE E AMAURI 1/2 | Recorrência: | Observações: COMISSÃO PROJETO LUCIENE E AMAURI 
VALOR PROJETO R$ 12.000,00X3%=R$ 360,00
02/10-R$ 180,00
02/11-R$ 180,00</v>
      </c>
      <c r="I1276" t="s">
        <v>491</v>
      </c>
      <c r="J1276" s="5">
        <v>-180</v>
      </c>
      <c r="K1276" s="4">
        <v>609197.99</v>
      </c>
      <c r="L1276" t="s">
        <v>27</v>
      </c>
      <c r="M1276" s="5">
        <v>-180</v>
      </c>
      <c r="N1276" s="3">
        <v>0</v>
      </c>
      <c r="O1276" t="s">
        <v>2225</v>
      </c>
      <c r="P1276" t="s">
        <v>2225</v>
      </c>
      <c r="Q1276" t="s">
        <v>2225</v>
      </c>
      <c r="R1276" t="str">
        <f t="shared" si="39"/>
        <v>Sim</v>
      </c>
      <c r="S1276" t="s">
        <v>2225</v>
      </c>
      <c r="T1276" t="s">
        <v>2259</v>
      </c>
      <c r="U1276" t="s">
        <v>1991</v>
      </c>
      <c r="V1276" s="3">
        <v>-180</v>
      </c>
    </row>
    <row r="1277" spans="1:24" s="2" customFormat="1" x14ac:dyDescent="0.2">
      <c r="A1277">
        <v>1277</v>
      </c>
      <c r="B1277" t="s">
        <v>1240</v>
      </c>
      <c r="C1277" t="s">
        <v>211</v>
      </c>
      <c r="D1277" t="s">
        <v>2260</v>
      </c>
      <c r="E1277" t="s">
        <v>30</v>
      </c>
      <c r="F1277" t="s">
        <v>24</v>
      </c>
      <c r="G1277" t="s">
        <v>25</v>
      </c>
      <c r="H1277" t="str">
        <f t="shared" si="38"/>
        <v xml:space="preserve">RT FARIZE♥LEANDRO - PEDIDO 1767 - 25/07 | Recorrência: | Observações: </v>
      </c>
      <c r="I1277" t="s">
        <v>491</v>
      </c>
      <c r="J1277" s="4">
        <v>2199.88</v>
      </c>
      <c r="K1277" s="4">
        <v>611397.87</v>
      </c>
      <c r="L1277" t="s">
        <v>27</v>
      </c>
      <c r="M1277" s="4">
        <v>2199.88</v>
      </c>
      <c r="N1277" s="3">
        <v>0</v>
      </c>
      <c r="O1277" t="s">
        <v>2225</v>
      </c>
      <c r="P1277" t="s">
        <v>2046</v>
      </c>
      <c r="Q1277" t="s">
        <v>2261</v>
      </c>
      <c r="R1277" t="str">
        <f t="shared" si="39"/>
        <v>Sim</v>
      </c>
      <c r="S1277" t="s">
        <v>2261</v>
      </c>
      <c r="T1277" t="s">
        <v>30</v>
      </c>
      <c r="U1277" t="s">
        <v>49</v>
      </c>
      <c r="V1277" s="3">
        <v>2199.88</v>
      </c>
      <c r="W1277" t="s">
        <v>494</v>
      </c>
      <c r="X1277" s="3">
        <v>2199.88</v>
      </c>
    </row>
    <row r="1278" spans="1:24" s="2" customFormat="1" x14ac:dyDescent="0.2">
      <c r="A1278" s="2">
        <v>1278</v>
      </c>
      <c r="B1278" t="s">
        <v>1673</v>
      </c>
      <c r="C1278" t="s">
        <v>1674</v>
      </c>
      <c r="D1278" t="s">
        <v>2262</v>
      </c>
      <c r="E1278" t="s">
        <v>30</v>
      </c>
      <c r="F1278" t="s">
        <v>24</v>
      </c>
      <c r="G1278" t="s">
        <v>25</v>
      </c>
      <c r="H1278" t="str">
        <f t="shared" si="38"/>
        <v xml:space="preserve">1/2 - RT PEDIDO 24990310 - CAMILA DOSSE 1/2 | Recorrência: | Observações: </v>
      </c>
      <c r="I1278" t="s">
        <v>491</v>
      </c>
      <c r="J1278" s="4">
        <v>1170</v>
      </c>
      <c r="K1278" s="4">
        <v>612567.87</v>
      </c>
      <c r="L1278" t="s">
        <v>27</v>
      </c>
      <c r="M1278" s="4">
        <v>1170</v>
      </c>
      <c r="N1278" s="3">
        <v>0</v>
      </c>
      <c r="O1278" t="s">
        <v>2261</v>
      </c>
      <c r="P1278" t="s">
        <v>2261</v>
      </c>
      <c r="Q1278" t="s">
        <v>2261</v>
      </c>
      <c r="R1278" t="str">
        <f t="shared" si="39"/>
        <v>Sim</v>
      </c>
      <c r="S1278" t="s">
        <v>2261</v>
      </c>
      <c r="T1278" t="s">
        <v>30</v>
      </c>
      <c r="U1278" t="s">
        <v>49</v>
      </c>
      <c r="V1278" s="3">
        <v>1170</v>
      </c>
      <c r="W1278" t="s">
        <v>494</v>
      </c>
      <c r="X1278" s="3">
        <v>1170</v>
      </c>
    </row>
    <row r="1279" spans="1:24" s="2" customFormat="1" x14ac:dyDescent="0.2">
      <c r="A1279">
        <v>1279</v>
      </c>
      <c r="B1279"/>
      <c r="C1279" t="s">
        <v>943</v>
      </c>
      <c r="D1279" t="s">
        <v>2263</v>
      </c>
      <c r="E1279" t="s">
        <v>30</v>
      </c>
      <c r="F1279" t="s">
        <v>24</v>
      </c>
      <c r="G1279" t="s">
        <v>25</v>
      </c>
      <c r="H1279" t="str">
        <f t="shared" si="38"/>
        <v xml:space="preserve">4/5 - GERENCIAMENTO ATMOSFERA VILA MARIANA | Recorrência: | Observações: </v>
      </c>
      <c r="I1279" t="s">
        <v>491</v>
      </c>
      <c r="J1279" s="4">
        <v>4000</v>
      </c>
      <c r="K1279" s="4">
        <v>616567.87</v>
      </c>
      <c r="L1279" t="s">
        <v>27</v>
      </c>
      <c r="M1279" s="4">
        <v>4000</v>
      </c>
      <c r="N1279" s="3">
        <v>0</v>
      </c>
      <c r="O1279" t="s">
        <v>2249</v>
      </c>
      <c r="P1279" t="s">
        <v>1938</v>
      </c>
      <c r="Q1279" t="s">
        <v>2249</v>
      </c>
      <c r="R1279" t="str">
        <f t="shared" si="39"/>
        <v>Sim</v>
      </c>
      <c r="S1279" t="s">
        <v>2249</v>
      </c>
      <c r="T1279" t="s">
        <v>30</v>
      </c>
      <c r="U1279" t="s">
        <v>274</v>
      </c>
      <c r="V1279" s="3">
        <v>4000</v>
      </c>
      <c r="W1279" t="s">
        <v>166</v>
      </c>
      <c r="X1279" s="3">
        <v>4000</v>
      </c>
    </row>
    <row r="1280" spans="1:24" s="2" customFormat="1" x14ac:dyDescent="0.2">
      <c r="A1280" s="2">
        <v>1280</v>
      </c>
      <c r="B1280" t="s">
        <v>1088</v>
      </c>
      <c r="C1280" t="s">
        <v>1089</v>
      </c>
      <c r="D1280" t="s">
        <v>2264</v>
      </c>
      <c r="E1280" t="s">
        <v>30</v>
      </c>
      <c r="F1280" t="s">
        <v>24</v>
      </c>
      <c r="G1280" t="s">
        <v>25</v>
      </c>
      <c r="H1280" t="str">
        <f t="shared" si="38"/>
        <v xml:space="preserve">RT - CAMILA DOSSE | Recorrência: | Observações: </v>
      </c>
      <c r="I1280" t="s">
        <v>491</v>
      </c>
      <c r="J1280" s="4">
        <v>3280</v>
      </c>
      <c r="K1280" s="4">
        <v>619847.87</v>
      </c>
      <c r="L1280" t="s">
        <v>27</v>
      </c>
      <c r="M1280" s="4">
        <v>3280</v>
      </c>
      <c r="N1280" s="3">
        <v>0</v>
      </c>
      <c r="O1280" t="s">
        <v>2243</v>
      </c>
      <c r="P1280" t="s">
        <v>2191</v>
      </c>
      <c r="Q1280" t="s">
        <v>2191</v>
      </c>
      <c r="R1280" t="str">
        <f t="shared" si="39"/>
        <v>Sim</v>
      </c>
      <c r="S1280" t="s">
        <v>2191</v>
      </c>
      <c r="T1280" t="s">
        <v>30</v>
      </c>
      <c r="U1280" t="s">
        <v>49</v>
      </c>
      <c r="V1280" s="3">
        <v>3280</v>
      </c>
      <c r="W1280" t="s">
        <v>494</v>
      </c>
      <c r="X1280" s="3">
        <v>3280</v>
      </c>
    </row>
    <row r="1281" spans="1:24" s="2" customFormat="1" x14ac:dyDescent="0.2">
      <c r="A1281">
        <v>1281</v>
      </c>
      <c r="B1281" t="s">
        <v>2265</v>
      </c>
      <c r="C1281" t="s">
        <v>2266</v>
      </c>
      <c r="D1281" t="s">
        <v>2267</v>
      </c>
      <c r="E1281" t="s">
        <v>30</v>
      </c>
      <c r="F1281" t="s">
        <v>24</v>
      </c>
      <c r="G1281" t="s">
        <v>25</v>
      </c>
      <c r="H1281" t="str">
        <f t="shared" si="38"/>
        <v xml:space="preserve">2/4 - PROJETO  2/4 | Recorrência: | Observações: </v>
      </c>
      <c r="I1281" t="s">
        <v>491</v>
      </c>
      <c r="J1281" s="4">
        <v>5400</v>
      </c>
      <c r="K1281" s="4">
        <v>625247.87</v>
      </c>
      <c r="L1281" t="s">
        <v>27</v>
      </c>
      <c r="M1281" s="4">
        <v>5400</v>
      </c>
      <c r="N1281" s="3">
        <v>0</v>
      </c>
      <c r="O1281" t="s">
        <v>2243</v>
      </c>
      <c r="P1281" t="s">
        <v>2268</v>
      </c>
      <c r="Q1281" t="s">
        <v>2269</v>
      </c>
      <c r="R1281" t="str">
        <f t="shared" si="39"/>
        <v>Sim</v>
      </c>
      <c r="S1281" t="s">
        <v>2269</v>
      </c>
      <c r="T1281" t="s">
        <v>30</v>
      </c>
      <c r="U1281" t="s">
        <v>31</v>
      </c>
      <c r="V1281" s="3">
        <v>5400</v>
      </c>
      <c r="W1281" t="s">
        <v>32</v>
      </c>
      <c r="X1281" s="3">
        <v>5400</v>
      </c>
    </row>
    <row r="1282" spans="1:24" s="2" customFormat="1" x14ac:dyDescent="0.2">
      <c r="A1282" s="2">
        <v>1282</v>
      </c>
      <c r="B1282" t="s">
        <v>2265</v>
      </c>
      <c r="C1282" t="s">
        <v>2266</v>
      </c>
      <c r="D1282" t="s">
        <v>2270</v>
      </c>
      <c r="E1282" t="s">
        <v>30</v>
      </c>
      <c r="F1282" t="s">
        <v>24</v>
      </c>
      <c r="G1282" t="s">
        <v>25</v>
      </c>
      <c r="H1282" t="str">
        <f t="shared" si="38"/>
        <v xml:space="preserve">1/4 - PROJETO  1/4 | Recorrência: | Observações: </v>
      </c>
      <c r="I1282" t="s">
        <v>491</v>
      </c>
      <c r="J1282" s="4">
        <v>5400</v>
      </c>
      <c r="K1282" s="4">
        <v>630647.87</v>
      </c>
      <c r="L1282" t="s">
        <v>27</v>
      </c>
      <c r="M1282" s="4">
        <v>5400</v>
      </c>
      <c r="N1282" s="3">
        <v>0</v>
      </c>
      <c r="O1282" t="s">
        <v>2243</v>
      </c>
      <c r="P1282" t="s">
        <v>2268</v>
      </c>
      <c r="Q1282" t="s">
        <v>2243</v>
      </c>
      <c r="R1282" t="str">
        <f t="shared" si="39"/>
        <v>Sim</v>
      </c>
      <c r="S1282" t="s">
        <v>2243</v>
      </c>
      <c r="T1282" t="s">
        <v>30</v>
      </c>
      <c r="U1282" t="s">
        <v>31</v>
      </c>
      <c r="V1282" s="3">
        <v>5400</v>
      </c>
      <c r="W1282" t="s">
        <v>32</v>
      </c>
      <c r="X1282" s="3">
        <v>5400</v>
      </c>
    </row>
    <row r="1283" spans="1:24" s="2" customFormat="1" x14ac:dyDescent="0.2">
      <c r="A1283">
        <v>1283</v>
      </c>
      <c r="B1283" t="s">
        <v>1536</v>
      </c>
      <c r="C1283" t="s">
        <v>666</v>
      </c>
      <c r="D1283" t="s">
        <v>667</v>
      </c>
      <c r="E1283" t="s">
        <v>910</v>
      </c>
      <c r="F1283" t="s">
        <v>63</v>
      </c>
      <c r="G1283" t="s">
        <v>25</v>
      </c>
      <c r="H1283" t="str">
        <f t="shared" ref="H1283:H1346" si="40">D1283&amp;" | "&amp;$E$1&amp;E1283&amp;" | Observações: "&amp;T1283</f>
        <v xml:space="preserve">TELEFONIA E INTERNET | Recorrência:10/12 | Observações: </v>
      </c>
      <c r="I1283" t="s">
        <v>26</v>
      </c>
      <c r="J1283" s="5">
        <v>-130.09</v>
      </c>
      <c r="K1283" s="4">
        <v>630517.78</v>
      </c>
      <c r="L1283" t="s">
        <v>27</v>
      </c>
      <c r="M1283" s="5">
        <v>-130.09</v>
      </c>
      <c r="N1283" s="3">
        <v>0</v>
      </c>
      <c r="O1283" t="s">
        <v>2164</v>
      </c>
      <c r="P1283" t="s">
        <v>2104</v>
      </c>
      <c r="Q1283" t="s">
        <v>2164</v>
      </c>
      <c r="R1283" t="str">
        <f t="shared" ref="R1283:R1346" si="41">IF(Q1283=S1283,"Sim","nao")</f>
        <v>Sim</v>
      </c>
      <c r="S1283" t="s">
        <v>2164</v>
      </c>
      <c r="T1283" t="s">
        <v>30</v>
      </c>
      <c r="U1283" t="s">
        <v>670</v>
      </c>
      <c r="V1283" s="3">
        <v>-130.09</v>
      </c>
      <c r="W1283" t="s">
        <v>324</v>
      </c>
      <c r="X1283" s="3">
        <v>-130.09</v>
      </c>
    </row>
    <row r="1284" spans="1:24" s="2" customFormat="1" x14ac:dyDescent="0.2">
      <c r="A1284" s="2">
        <v>1284</v>
      </c>
      <c r="B1284" t="s">
        <v>647</v>
      </c>
      <c r="C1284" t="s">
        <v>648</v>
      </c>
      <c r="D1284" t="s">
        <v>2271</v>
      </c>
      <c r="E1284" t="s">
        <v>30</v>
      </c>
      <c r="F1284" t="s">
        <v>63</v>
      </c>
      <c r="G1284" t="s">
        <v>25</v>
      </c>
      <c r="H1284" t="str">
        <f t="shared" si="40"/>
        <v xml:space="preserve">10/35 - DARF ISS 10/36 | Recorrência: | Observações: </v>
      </c>
      <c r="I1284" t="s">
        <v>26</v>
      </c>
      <c r="J1284" s="5">
        <v>-3477.11</v>
      </c>
      <c r="K1284" s="4">
        <v>627040.67000000004</v>
      </c>
      <c r="L1284" t="s">
        <v>27</v>
      </c>
      <c r="M1284" s="5">
        <v>-3477.11</v>
      </c>
      <c r="N1284" s="3">
        <v>0</v>
      </c>
      <c r="O1284" t="s">
        <v>2191</v>
      </c>
      <c r="P1284" t="s">
        <v>1474</v>
      </c>
      <c r="Q1284" t="s">
        <v>2231</v>
      </c>
      <c r="R1284" t="str">
        <f t="shared" si="41"/>
        <v>Sim</v>
      </c>
      <c r="S1284" t="s">
        <v>2231</v>
      </c>
      <c r="T1284" t="s">
        <v>30</v>
      </c>
      <c r="U1284" t="s">
        <v>1098</v>
      </c>
      <c r="V1284" s="3">
        <v>-3477.11</v>
      </c>
      <c r="W1284" t="s">
        <v>324</v>
      </c>
      <c r="X1284" s="3">
        <v>-3477.11</v>
      </c>
    </row>
    <row r="1285" spans="1:24" s="2" customFormat="1" x14ac:dyDescent="0.2">
      <c r="A1285">
        <v>1285</v>
      </c>
      <c r="B1285" t="s">
        <v>647</v>
      </c>
      <c r="C1285" t="s">
        <v>648</v>
      </c>
      <c r="D1285" t="s">
        <v>1544</v>
      </c>
      <c r="E1285" t="s">
        <v>910</v>
      </c>
      <c r="F1285" t="s">
        <v>63</v>
      </c>
      <c r="G1285" t="s">
        <v>25</v>
      </c>
      <c r="H1285" t="str">
        <f t="shared" si="40"/>
        <v xml:space="preserve">HONORARIOS CONTABEIS | Recorrência:10/12 | Observações: </v>
      </c>
      <c r="I1285" t="s">
        <v>26</v>
      </c>
      <c r="J1285" s="5">
        <v>-925</v>
      </c>
      <c r="K1285" s="4">
        <v>626115.67000000004</v>
      </c>
      <c r="L1285" t="s">
        <v>27</v>
      </c>
      <c r="M1285" s="5">
        <v>-925</v>
      </c>
      <c r="N1285" s="3">
        <v>0</v>
      </c>
      <c r="O1285" t="s">
        <v>2191</v>
      </c>
      <c r="P1285" t="s">
        <v>2261</v>
      </c>
      <c r="Q1285" t="s">
        <v>2231</v>
      </c>
      <c r="R1285" t="str">
        <f t="shared" si="41"/>
        <v>Sim</v>
      </c>
      <c r="S1285" t="s">
        <v>2231</v>
      </c>
      <c r="T1285" t="s">
        <v>30</v>
      </c>
      <c r="U1285" t="s">
        <v>608</v>
      </c>
      <c r="V1285" s="3">
        <v>-925</v>
      </c>
      <c r="W1285" t="s">
        <v>297</v>
      </c>
      <c r="X1285" s="3">
        <v>-925</v>
      </c>
    </row>
    <row r="1286" spans="1:24" s="2" customFormat="1" x14ac:dyDescent="0.2">
      <c r="A1286" s="2">
        <v>1286</v>
      </c>
      <c r="B1286"/>
      <c r="C1286" t="s">
        <v>992</v>
      </c>
      <c r="D1286" t="s">
        <v>2273</v>
      </c>
      <c r="E1286" t="s">
        <v>30</v>
      </c>
      <c r="F1286" t="s">
        <v>24</v>
      </c>
      <c r="G1286" t="s">
        <v>25</v>
      </c>
      <c r="H1286" t="str">
        <f t="shared" si="40"/>
        <v xml:space="preserve">RT EDUARDO PERERIRA JESUS - MARCENEIRO | Recorrência: | Observações: </v>
      </c>
      <c r="I1286" t="s">
        <v>491</v>
      </c>
      <c r="J1286" s="4">
        <v>320</v>
      </c>
      <c r="K1286" s="4">
        <v>626435.67000000004</v>
      </c>
      <c r="L1286" t="s">
        <v>27</v>
      </c>
      <c r="M1286" s="4">
        <v>320</v>
      </c>
      <c r="N1286" s="3">
        <v>0</v>
      </c>
      <c r="O1286" t="s">
        <v>2272</v>
      </c>
      <c r="P1286" t="s">
        <v>2272</v>
      </c>
      <c r="Q1286" t="s">
        <v>2272</v>
      </c>
      <c r="R1286" t="str">
        <f t="shared" si="41"/>
        <v>Sim</v>
      </c>
      <c r="S1286" t="s">
        <v>2272</v>
      </c>
      <c r="T1286" t="s">
        <v>30</v>
      </c>
      <c r="U1286" t="s">
        <v>49</v>
      </c>
      <c r="V1286" s="3">
        <v>320</v>
      </c>
      <c r="W1286" t="s">
        <v>494</v>
      </c>
      <c r="X1286" s="3">
        <v>320</v>
      </c>
    </row>
    <row r="1287" spans="1:24" s="2" customFormat="1" x14ac:dyDescent="0.2">
      <c r="A1287">
        <v>1287</v>
      </c>
      <c r="B1287" t="s">
        <v>2274</v>
      </c>
      <c r="C1287" t="s">
        <v>2275</v>
      </c>
      <c r="D1287" t="s">
        <v>2276</v>
      </c>
      <c r="E1287" t="s">
        <v>30</v>
      </c>
      <c r="F1287" t="s">
        <v>24</v>
      </c>
      <c r="G1287" t="s">
        <v>25</v>
      </c>
      <c r="H1287" t="str">
        <f t="shared" si="40"/>
        <v xml:space="preserve">1/3 - RT &gt; P 1500(Stephanie) / P 15394(Amauri Marchi) / P1094(Stephanie)  1/3 | Recorrência: | Observações: Cliente: Baltimore Participações LTDA  - (Stephanie)
Pedido: P-1500
Valor da venda: R$ 38.400,00
RT R$ 1.828,00
Cliente: Amauri Marchi
Pedido: 15394
Valor da venda: R$ 154.000,00
RT R$ 6.300,40
Cliente: Baltimore Participações LTDA -  (Stephanie)
Pedido: P-1094
Valor da venda: R$ 80.400
RT R$ 3.828,60
</v>
      </c>
      <c r="I1287" t="s">
        <v>491</v>
      </c>
      <c r="J1287" s="4">
        <v>4000</v>
      </c>
      <c r="K1287" s="4">
        <v>630435.67000000004</v>
      </c>
      <c r="L1287" t="s">
        <v>27</v>
      </c>
      <c r="M1287" s="4">
        <v>4000</v>
      </c>
      <c r="N1287" s="3">
        <v>0</v>
      </c>
      <c r="O1287" t="s">
        <v>2272</v>
      </c>
      <c r="P1287" t="s">
        <v>2189</v>
      </c>
      <c r="Q1287" t="s">
        <v>2272</v>
      </c>
      <c r="R1287" t="str">
        <f t="shared" si="41"/>
        <v>Sim</v>
      </c>
      <c r="S1287" t="s">
        <v>2272</v>
      </c>
      <c r="T1287" t="s">
        <v>2277</v>
      </c>
      <c r="U1287" t="s">
        <v>49</v>
      </c>
      <c r="V1287" s="3">
        <v>4000</v>
      </c>
      <c r="W1287" t="s">
        <v>494</v>
      </c>
      <c r="X1287" s="3">
        <v>4000</v>
      </c>
    </row>
    <row r="1288" spans="1:24" s="2" customFormat="1" x14ac:dyDescent="0.2">
      <c r="A1288" s="2">
        <v>1288</v>
      </c>
      <c r="B1288" t="s">
        <v>2119</v>
      </c>
      <c r="C1288" t="s">
        <v>2120</v>
      </c>
      <c r="D1288" t="s">
        <v>2279</v>
      </c>
      <c r="E1288" t="s">
        <v>30</v>
      </c>
      <c r="F1288" t="s">
        <v>24</v>
      </c>
      <c r="G1288" t="s">
        <v>25</v>
      </c>
      <c r="H1288" t="str">
        <f t="shared" si="40"/>
        <v xml:space="preserve">2/4 - RT DIFERNÇA _ AMAURI E LUCIENE ACAPULGO GUARUJÁ 2/4 | Recorrência: | Observações: </v>
      </c>
      <c r="I1288" t="s">
        <v>991</v>
      </c>
      <c r="J1288" s="4">
        <v>490</v>
      </c>
      <c r="K1288" s="4">
        <v>630925.67000000004</v>
      </c>
      <c r="L1288" t="s">
        <v>27</v>
      </c>
      <c r="M1288" s="4">
        <v>490</v>
      </c>
      <c r="N1288" s="3">
        <v>0</v>
      </c>
      <c r="O1288" t="s">
        <v>2278</v>
      </c>
      <c r="P1288" t="s">
        <v>2122</v>
      </c>
      <c r="Q1288" t="s">
        <v>2280</v>
      </c>
      <c r="R1288" t="str">
        <f t="shared" si="41"/>
        <v>Sim</v>
      </c>
      <c r="S1288" t="s">
        <v>2280</v>
      </c>
      <c r="T1288" t="s">
        <v>30</v>
      </c>
      <c r="U1288" t="s">
        <v>49</v>
      </c>
      <c r="V1288" s="3">
        <v>490</v>
      </c>
      <c r="W1288" t="s">
        <v>494</v>
      </c>
      <c r="X1288" s="3">
        <v>490</v>
      </c>
    </row>
    <row r="1289" spans="1:24" s="2" customFormat="1" x14ac:dyDescent="0.2">
      <c r="A1289">
        <v>1289</v>
      </c>
      <c r="B1289" t="s">
        <v>1204</v>
      </c>
      <c r="C1289" t="s">
        <v>1205</v>
      </c>
      <c r="D1289" t="s">
        <v>2281</v>
      </c>
      <c r="E1289" t="s">
        <v>30</v>
      </c>
      <c r="F1289" t="s">
        <v>24</v>
      </c>
      <c r="G1289" t="s">
        <v>25</v>
      </c>
      <c r="H1289" t="str">
        <f t="shared" si="40"/>
        <v xml:space="preserve">RT REFERENTE AO MÊS AGOSTO | Recorrência: | Observações: </v>
      </c>
      <c r="I1289" t="s">
        <v>491</v>
      </c>
      <c r="J1289" s="4">
        <v>125.37</v>
      </c>
      <c r="K1289" s="4">
        <v>631051.04</v>
      </c>
      <c r="L1289" t="s">
        <v>27</v>
      </c>
      <c r="M1289" s="4">
        <v>125.37</v>
      </c>
      <c r="N1289" s="3">
        <v>0</v>
      </c>
      <c r="O1289" t="s">
        <v>2278</v>
      </c>
      <c r="P1289" t="s">
        <v>2199</v>
      </c>
      <c r="Q1289" t="s">
        <v>2282</v>
      </c>
      <c r="R1289" t="str">
        <f t="shared" si="41"/>
        <v>Sim</v>
      </c>
      <c r="S1289" t="s">
        <v>2282</v>
      </c>
      <c r="T1289" t="s">
        <v>30</v>
      </c>
      <c r="U1289" t="s">
        <v>49</v>
      </c>
      <c r="V1289" s="3">
        <v>125.37</v>
      </c>
      <c r="W1289" t="s">
        <v>494</v>
      </c>
      <c r="X1289" s="3">
        <v>125.37</v>
      </c>
    </row>
    <row r="1290" spans="1:24" s="2" customFormat="1" x14ac:dyDescent="0.2">
      <c r="A1290" s="2">
        <v>1290</v>
      </c>
      <c r="B1290" t="s">
        <v>1223</v>
      </c>
      <c r="C1290" t="s">
        <v>1224</v>
      </c>
      <c r="D1290" t="s">
        <v>2283</v>
      </c>
      <c r="E1290" t="s">
        <v>30</v>
      </c>
      <c r="F1290" t="s">
        <v>24</v>
      </c>
      <c r="G1290" t="s">
        <v>25</v>
      </c>
      <c r="H1290" t="str">
        <f t="shared" si="40"/>
        <v xml:space="preserve">RT AMAURI E LUCIENE | Recorrência: | Observações: </v>
      </c>
      <c r="I1290" t="s">
        <v>491</v>
      </c>
      <c r="J1290" s="4">
        <v>577.23</v>
      </c>
      <c r="K1290" s="4">
        <v>631628.27</v>
      </c>
      <c r="L1290" t="s">
        <v>27</v>
      </c>
      <c r="M1290" s="4">
        <v>577.23</v>
      </c>
      <c r="N1290" s="3">
        <v>0</v>
      </c>
      <c r="O1290" t="s">
        <v>2278</v>
      </c>
      <c r="P1290" t="s">
        <v>2284</v>
      </c>
      <c r="Q1290" t="s">
        <v>2278</v>
      </c>
      <c r="R1290" t="str">
        <f t="shared" si="41"/>
        <v>Sim</v>
      </c>
      <c r="S1290" t="s">
        <v>2278</v>
      </c>
      <c r="T1290" t="s">
        <v>30</v>
      </c>
      <c r="U1290" t="s">
        <v>49</v>
      </c>
      <c r="V1290" s="3">
        <v>577.23</v>
      </c>
      <c r="W1290" t="s">
        <v>494</v>
      </c>
      <c r="X1290" s="3">
        <v>577.23</v>
      </c>
    </row>
    <row r="1291" spans="1:24" s="2" customFormat="1" x14ac:dyDescent="0.2">
      <c r="A1291">
        <v>1291</v>
      </c>
      <c r="B1291" t="s">
        <v>647</v>
      </c>
      <c r="C1291" t="s">
        <v>648</v>
      </c>
      <c r="D1291" t="s">
        <v>1556</v>
      </c>
      <c r="E1291" t="s">
        <v>910</v>
      </c>
      <c r="F1291" t="s">
        <v>63</v>
      </c>
      <c r="G1291" t="s">
        <v>25</v>
      </c>
      <c r="H1291" t="str">
        <f t="shared" si="40"/>
        <v xml:space="preserve">DARF PREVIDÊNCIARIO | Recorrência:10/12 | Observações: </v>
      </c>
      <c r="I1291" t="s">
        <v>26</v>
      </c>
      <c r="J1291" s="5">
        <v>-1459</v>
      </c>
      <c r="K1291" s="4">
        <v>630169.27</v>
      </c>
      <c r="L1291" t="s">
        <v>27</v>
      </c>
      <c r="M1291" s="5">
        <v>-1459</v>
      </c>
      <c r="N1291" s="3">
        <v>0</v>
      </c>
      <c r="O1291" t="s">
        <v>2285</v>
      </c>
      <c r="P1291" t="s">
        <v>2286</v>
      </c>
      <c r="Q1291" t="s">
        <v>2282</v>
      </c>
      <c r="R1291" t="str">
        <f t="shared" si="41"/>
        <v>nao</v>
      </c>
      <c r="S1291" t="s">
        <v>2287</v>
      </c>
      <c r="T1291" t="s">
        <v>30</v>
      </c>
      <c r="U1291" t="s">
        <v>601</v>
      </c>
      <c r="V1291" s="3">
        <v>-1459</v>
      </c>
      <c r="W1291" t="s">
        <v>376</v>
      </c>
      <c r="X1291" s="3">
        <v>-1459</v>
      </c>
    </row>
    <row r="1292" spans="1:24" s="2" customFormat="1" x14ac:dyDescent="0.2">
      <c r="A1292" s="2">
        <v>1292</v>
      </c>
      <c r="B1292" t="s">
        <v>2288</v>
      </c>
      <c r="C1292" t="s">
        <v>2289</v>
      </c>
      <c r="D1292" t="s">
        <v>2290</v>
      </c>
      <c r="E1292" t="s">
        <v>30</v>
      </c>
      <c r="F1292" t="s">
        <v>63</v>
      </c>
      <c r="G1292" t="s">
        <v>25</v>
      </c>
      <c r="H1292" t="str">
        <f t="shared" si="40"/>
        <v xml:space="preserve">IMPRESSÕES PROJETO A2 - MARIELLA MATAVELLI | Recorrência: | Observações: </v>
      </c>
      <c r="I1292" t="s">
        <v>1113</v>
      </c>
      <c r="J1292" s="5">
        <v>-126.5</v>
      </c>
      <c r="K1292" s="4">
        <v>630042.77</v>
      </c>
      <c r="L1292" t="s">
        <v>27</v>
      </c>
      <c r="M1292" s="5">
        <v>-126.5</v>
      </c>
      <c r="N1292" s="3">
        <v>0</v>
      </c>
      <c r="O1292" t="s">
        <v>2285</v>
      </c>
      <c r="P1292" t="s">
        <v>2285</v>
      </c>
      <c r="Q1292" t="s">
        <v>2285</v>
      </c>
      <c r="R1292" t="str">
        <f t="shared" si="41"/>
        <v>Sim</v>
      </c>
      <c r="S1292" t="s">
        <v>2285</v>
      </c>
      <c r="T1292" t="s">
        <v>30</v>
      </c>
      <c r="U1292" t="s">
        <v>628</v>
      </c>
      <c r="V1292" s="3">
        <v>-126.5</v>
      </c>
      <c r="W1292" t="s">
        <v>1722</v>
      </c>
      <c r="X1292" s="3">
        <v>-126.5</v>
      </c>
    </row>
    <row r="1293" spans="1:24" s="2" customFormat="1" x14ac:dyDescent="0.2">
      <c r="A1293">
        <v>1293</v>
      </c>
      <c r="B1293"/>
      <c r="C1293" t="s">
        <v>1936</v>
      </c>
      <c r="D1293" t="s">
        <v>1937</v>
      </c>
      <c r="E1293" t="s">
        <v>95</v>
      </c>
      <c r="F1293" t="s">
        <v>24</v>
      </c>
      <c r="G1293" t="s">
        <v>25</v>
      </c>
      <c r="H1293" t="str">
        <f t="shared" si="40"/>
        <v xml:space="preserve">PROJETO FOR YOU_MOEMA  | Recorrência:2/2 | Observações: </v>
      </c>
      <c r="I1293" t="s">
        <v>491</v>
      </c>
      <c r="J1293" s="4">
        <v>3500</v>
      </c>
      <c r="K1293" s="4">
        <v>633542.77</v>
      </c>
      <c r="L1293" t="s">
        <v>27</v>
      </c>
      <c r="M1293" s="4">
        <v>3500</v>
      </c>
      <c r="N1293" s="3">
        <v>0</v>
      </c>
      <c r="O1293" t="s">
        <v>2284</v>
      </c>
      <c r="P1293" t="s">
        <v>1980</v>
      </c>
      <c r="Q1293" t="s">
        <v>2225</v>
      </c>
      <c r="R1293" t="str">
        <f t="shared" si="41"/>
        <v>Sim</v>
      </c>
      <c r="S1293" t="s">
        <v>2225</v>
      </c>
      <c r="T1293" t="s">
        <v>30</v>
      </c>
      <c r="U1293" t="s">
        <v>31</v>
      </c>
      <c r="V1293" s="3">
        <v>3500</v>
      </c>
      <c r="W1293" t="s">
        <v>32</v>
      </c>
      <c r="X1293" s="3">
        <v>3500</v>
      </c>
    </row>
    <row r="1294" spans="1:24" s="2" customFormat="1" x14ac:dyDescent="0.2">
      <c r="A1294" s="2">
        <v>1294</v>
      </c>
      <c r="B1294" t="s">
        <v>1810</v>
      </c>
      <c r="C1294" t="s">
        <v>1811</v>
      </c>
      <c r="D1294" t="s">
        <v>2291</v>
      </c>
      <c r="E1294" t="s">
        <v>30</v>
      </c>
      <c r="F1294" t="s">
        <v>24</v>
      </c>
      <c r="G1294" t="s">
        <v>25</v>
      </c>
      <c r="H1294" t="str">
        <f t="shared" si="40"/>
        <v xml:space="preserve">1/3 - GERENCIAMENTO - EDIFICIO D'ORU 1/3 | Recorrência: | Observações: </v>
      </c>
      <c r="I1294" t="s">
        <v>491</v>
      </c>
      <c r="J1294" s="4">
        <v>2000</v>
      </c>
      <c r="K1294" s="4">
        <v>635542.77</v>
      </c>
      <c r="L1294" t="s">
        <v>27</v>
      </c>
      <c r="M1294" s="4">
        <v>2000</v>
      </c>
      <c r="N1294" s="3">
        <v>0</v>
      </c>
      <c r="O1294" t="s">
        <v>2284</v>
      </c>
      <c r="P1294" t="s">
        <v>2038</v>
      </c>
      <c r="Q1294" t="s">
        <v>2284</v>
      </c>
      <c r="R1294" t="str">
        <f t="shared" si="41"/>
        <v>Sim</v>
      </c>
      <c r="S1294" t="s">
        <v>2284</v>
      </c>
      <c r="T1294" t="s">
        <v>30</v>
      </c>
      <c r="U1294" t="s">
        <v>40</v>
      </c>
      <c r="V1294" s="3">
        <v>2000</v>
      </c>
      <c r="W1294" t="s">
        <v>166</v>
      </c>
      <c r="X1294" s="3">
        <v>2000</v>
      </c>
    </row>
    <row r="1295" spans="1:24" s="2" customFormat="1" x14ac:dyDescent="0.2">
      <c r="A1295">
        <v>1295</v>
      </c>
      <c r="B1295" t="s">
        <v>2193</v>
      </c>
      <c r="C1295" t="s">
        <v>2194</v>
      </c>
      <c r="D1295" t="s">
        <v>2292</v>
      </c>
      <c r="E1295" t="s">
        <v>30</v>
      </c>
      <c r="F1295" t="s">
        <v>24</v>
      </c>
      <c r="G1295" t="s">
        <v>25</v>
      </c>
      <c r="H1295" t="str">
        <f t="shared" si="40"/>
        <v xml:space="preserve">2/2 - PROJETO CORPORATIVO 2/2 | Recorrência: | Observações: </v>
      </c>
      <c r="I1295" t="s">
        <v>491</v>
      </c>
      <c r="J1295" s="4">
        <v>2000</v>
      </c>
      <c r="K1295" s="4">
        <v>637542.77</v>
      </c>
      <c r="L1295" t="s">
        <v>27</v>
      </c>
      <c r="M1295" s="4">
        <v>2000</v>
      </c>
      <c r="N1295" s="3">
        <v>0</v>
      </c>
      <c r="O1295" t="s">
        <v>2284</v>
      </c>
      <c r="P1295" t="s">
        <v>2192</v>
      </c>
      <c r="Q1295" t="s">
        <v>2293</v>
      </c>
      <c r="R1295" t="str">
        <f t="shared" si="41"/>
        <v>Sim</v>
      </c>
      <c r="S1295" t="s">
        <v>2293</v>
      </c>
      <c r="T1295" t="s">
        <v>30</v>
      </c>
      <c r="U1295" t="s">
        <v>31</v>
      </c>
      <c r="V1295" s="3">
        <v>2000</v>
      </c>
      <c r="W1295" t="s">
        <v>32</v>
      </c>
      <c r="X1295" s="3">
        <v>2000</v>
      </c>
    </row>
    <row r="1296" spans="1:24" s="2" customFormat="1" x14ac:dyDescent="0.2">
      <c r="A1296" s="2">
        <v>1296</v>
      </c>
      <c r="B1296"/>
      <c r="C1296" t="s">
        <v>153</v>
      </c>
      <c r="D1296" t="s">
        <v>2294</v>
      </c>
      <c r="E1296" t="s">
        <v>30</v>
      </c>
      <c r="F1296" t="s">
        <v>63</v>
      </c>
      <c r="G1296" t="s">
        <v>25</v>
      </c>
      <c r="H1296" t="str">
        <f t="shared" si="40"/>
        <v xml:space="preserve">NF 319 - DECORLIGHT  &gt; DIFERENÇA DE PAGATO DA NOTA | Recorrência: | Observações: </v>
      </c>
      <c r="I1296" t="s">
        <v>1113</v>
      </c>
      <c r="J1296" s="5">
        <v>-15.84</v>
      </c>
      <c r="K1296" s="4">
        <v>637526.93000000005</v>
      </c>
      <c r="L1296" t="s">
        <v>27</v>
      </c>
      <c r="M1296" s="5">
        <v>-15.84</v>
      </c>
      <c r="N1296" s="3">
        <v>0</v>
      </c>
      <c r="O1296" t="s">
        <v>2287</v>
      </c>
      <c r="P1296" t="s">
        <v>2287</v>
      </c>
      <c r="Q1296" t="s">
        <v>2287</v>
      </c>
      <c r="R1296" t="str">
        <f t="shared" si="41"/>
        <v>Sim</v>
      </c>
      <c r="S1296" t="s">
        <v>2287</v>
      </c>
      <c r="T1296" t="s">
        <v>30</v>
      </c>
      <c r="U1296" t="s">
        <v>2295</v>
      </c>
      <c r="V1296" s="3">
        <v>-15.84</v>
      </c>
      <c r="W1296" t="s">
        <v>494</v>
      </c>
      <c r="X1296" s="3">
        <v>-15.84</v>
      </c>
    </row>
    <row r="1297" spans="1:24" s="2" customFormat="1" x14ac:dyDescent="0.2">
      <c r="A1297">
        <v>1297</v>
      </c>
      <c r="B1297"/>
      <c r="C1297" t="s">
        <v>153</v>
      </c>
      <c r="D1297" t="s">
        <v>2296</v>
      </c>
      <c r="E1297" t="s">
        <v>30</v>
      </c>
      <c r="F1297" t="s">
        <v>63</v>
      </c>
      <c r="G1297" t="s">
        <v>25</v>
      </c>
      <c r="H1297" t="str">
        <f t="shared" si="40"/>
        <v xml:space="preserve">NF 317 - DECORLIGHT &gt; DIFERENÇA DE PAGATO DA NOTA | Recorrência: | Observações: </v>
      </c>
      <c r="I1297" t="s">
        <v>1113</v>
      </c>
      <c r="J1297" s="5">
        <v>-300</v>
      </c>
      <c r="K1297" s="4">
        <v>637226.93000000005</v>
      </c>
      <c r="L1297" t="s">
        <v>27</v>
      </c>
      <c r="M1297" s="5">
        <v>-300</v>
      </c>
      <c r="N1297" s="3">
        <v>0</v>
      </c>
      <c r="O1297" t="s">
        <v>2287</v>
      </c>
      <c r="P1297" t="s">
        <v>2287</v>
      </c>
      <c r="Q1297" t="s">
        <v>2287</v>
      </c>
      <c r="R1297" t="str">
        <f t="shared" si="41"/>
        <v>Sim</v>
      </c>
      <c r="S1297" t="s">
        <v>2287</v>
      </c>
      <c r="T1297" t="s">
        <v>30</v>
      </c>
      <c r="U1297" t="s">
        <v>2295</v>
      </c>
      <c r="V1297" s="3">
        <v>-300</v>
      </c>
      <c r="W1297" t="s">
        <v>494</v>
      </c>
      <c r="X1297" s="3">
        <v>-300</v>
      </c>
    </row>
    <row r="1298" spans="1:24" s="2" customFormat="1" x14ac:dyDescent="0.2">
      <c r="A1298" s="2">
        <v>1298</v>
      </c>
      <c r="B1298"/>
      <c r="C1298" t="s">
        <v>153</v>
      </c>
      <c r="D1298" t="s">
        <v>2297</v>
      </c>
      <c r="E1298" t="s">
        <v>30</v>
      </c>
      <c r="F1298" t="s">
        <v>63</v>
      </c>
      <c r="G1298" t="s">
        <v>25</v>
      </c>
      <c r="H1298" t="str">
        <f t="shared" si="40"/>
        <v xml:space="preserve">NF 330 - DECORLIGHT &gt; DIFERENÇA DE PAGATO DA NOTA | Recorrência: | Observações: </v>
      </c>
      <c r="I1298" t="s">
        <v>1113</v>
      </c>
      <c r="J1298" s="5">
        <v>-24.44</v>
      </c>
      <c r="K1298" s="4">
        <v>637202.49</v>
      </c>
      <c r="L1298" t="s">
        <v>27</v>
      </c>
      <c r="M1298" s="5">
        <v>-24.44</v>
      </c>
      <c r="N1298" s="3">
        <v>0</v>
      </c>
      <c r="O1298" t="s">
        <v>2287</v>
      </c>
      <c r="P1298" t="s">
        <v>2287</v>
      </c>
      <c r="Q1298" t="s">
        <v>2287</v>
      </c>
      <c r="R1298" t="str">
        <f t="shared" si="41"/>
        <v>Sim</v>
      </c>
      <c r="S1298" t="s">
        <v>2287</v>
      </c>
      <c r="T1298" t="s">
        <v>30</v>
      </c>
      <c r="U1298" t="s">
        <v>2295</v>
      </c>
      <c r="V1298" s="3">
        <v>-24.44</v>
      </c>
      <c r="W1298" t="s">
        <v>494</v>
      </c>
      <c r="X1298" s="3">
        <v>-24.44</v>
      </c>
    </row>
    <row r="1299" spans="1:24" s="2" customFormat="1" x14ac:dyDescent="0.2">
      <c r="A1299">
        <v>1299</v>
      </c>
      <c r="B1299" t="s">
        <v>2298</v>
      </c>
      <c r="C1299" t="s">
        <v>2299</v>
      </c>
      <c r="D1299" t="s">
        <v>2300</v>
      </c>
      <c r="E1299" t="s">
        <v>30</v>
      </c>
      <c r="F1299" t="s">
        <v>24</v>
      </c>
      <c r="G1299" t="s">
        <v>25</v>
      </c>
      <c r="H1299" t="str">
        <f t="shared" si="40"/>
        <v xml:space="preserve">RT PEDIDO 195676 - CAMILA DOSSE/PAULORAMOS | Recorrência: | Observações: </v>
      </c>
      <c r="I1299" t="s">
        <v>491</v>
      </c>
      <c r="J1299" s="4">
        <v>3800</v>
      </c>
      <c r="K1299" s="4">
        <v>641002.49</v>
      </c>
      <c r="L1299" t="s">
        <v>27</v>
      </c>
      <c r="M1299" s="4">
        <v>3800</v>
      </c>
      <c r="N1299" s="3">
        <v>0</v>
      </c>
      <c r="O1299" t="s">
        <v>2287</v>
      </c>
      <c r="P1299" t="s">
        <v>2201</v>
      </c>
      <c r="Q1299" t="s">
        <v>2287</v>
      </c>
      <c r="R1299" t="str">
        <f t="shared" si="41"/>
        <v>Sim</v>
      </c>
      <c r="S1299" t="s">
        <v>2287</v>
      </c>
      <c r="T1299" t="s">
        <v>30</v>
      </c>
      <c r="U1299" t="s">
        <v>49</v>
      </c>
      <c r="V1299" s="3">
        <v>3800</v>
      </c>
      <c r="W1299" t="s">
        <v>494</v>
      </c>
      <c r="X1299" s="3">
        <v>3800</v>
      </c>
    </row>
    <row r="1300" spans="1:24" s="2" customFormat="1" x14ac:dyDescent="0.2">
      <c r="A1300" s="2">
        <v>1300</v>
      </c>
      <c r="B1300" t="s">
        <v>1619</v>
      </c>
      <c r="C1300" t="s">
        <v>112</v>
      </c>
      <c r="D1300" t="s">
        <v>2302</v>
      </c>
      <c r="E1300" t="s">
        <v>30</v>
      </c>
      <c r="F1300" t="s">
        <v>24</v>
      </c>
      <c r="G1300" t="s">
        <v>25</v>
      </c>
      <c r="H1300" t="str">
        <f t="shared" si="40"/>
        <v xml:space="preserve">RT: Diogo Conte&gt;Luciene Marchi&gt;Ronei Gomes &gt; William Guidini | Recorrência: | Observações: </v>
      </c>
      <c r="I1300" t="s">
        <v>491</v>
      </c>
      <c r="J1300" s="4">
        <v>2020</v>
      </c>
      <c r="K1300" s="4">
        <v>643022.49</v>
      </c>
      <c r="L1300" t="s">
        <v>27</v>
      </c>
      <c r="M1300" s="4">
        <v>2020</v>
      </c>
      <c r="N1300" s="3">
        <v>0</v>
      </c>
      <c r="O1300" t="s">
        <v>2301</v>
      </c>
      <c r="P1300" t="s">
        <v>2301</v>
      </c>
      <c r="Q1300" t="s">
        <v>2301</v>
      </c>
      <c r="R1300" t="str">
        <f t="shared" si="41"/>
        <v>Sim</v>
      </c>
      <c r="S1300" t="s">
        <v>2301</v>
      </c>
      <c r="T1300" t="s">
        <v>30</v>
      </c>
      <c r="U1300" t="s">
        <v>49</v>
      </c>
      <c r="V1300" s="3">
        <v>2020</v>
      </c>
      <c r="W1300" t="s">
        <v>494</v>
      </c>
      <c r="X1300" s="3">
        <v>2020</v>
      </c>
    </row>
    <row r="1301" spans="1:24" s="2" customFormat="1" x14ac:dyDescent="0.2">
      <c r="A1301">
        <v>1301</v>
      </c>
      <c r="B1301" t="s">
        <v>1393</v>
      </c>
      <c r="C1301" t="s">
        <v>1394</v>
      </c>
      <c r="D1301" t="s">
        <v>2303</v>
      </c>
      <c r="E1301" t="s">
        <v>30</v>
      </c>
      <c r="F1301" t="s">
        <v>24</v>
      </c>
      <c r="G1301" t="s">
        <v>25</v>
      </c>
      <c r="H1301" t="str">
        <f t="shared" si="40"/>
        <v xml:space="preserve">RT PEDIDO &gt; 309866 - FARIZE | Recorrência: | Observações: </v>
      </c>
      <c r="I1301" t="s">
        <v>491</v>
      </c>
      <c r="J1301" s="4">
        <v>370.84</v>
      </c>
      <c r="K1301" s="4">
        <v>643393.32999999996</v>
      </c>
      <c r="L1301" t="s">
        <v>27</v>
      </c>
      <c r="M1301" s="4">
        <v>370.84</v>
      </c>
      <c r="N1301" s="3">
        <v>0</v>
      </c>
      <c r="O1301" t="s">
        <v>2301</v>
      </c>
      <c r="P1301" t="s">
        <v>2285</v>
      </c>
      <c r="Q1301" t="s">
        <v>2301</v>
      </c>
      <c r="R1301" t="str">
        <f t="shared" si="41"/>
        <v>Sim</v>
      </c>
      <c r="S1301" t="s">
        <v>2301</v>
      </c>
      <c r="T1301" t="s">
        <v>30</v>
      </c>
      <c r="U1301" t="s">
        <v>49</v>
      </c>
      <c r="V1301" s="3">
        <v>370.84</v>
      </c>
      <c r="W1301" t="s">
        <v>128</v>
      </c>
      <c r="X1301" s="3">
        <v>370.84</v>
      </c>
    </row>
    <row r="1302" spans="1:24" s="2" customFormat="1" x14ac:dyDescent="0.2">
      <c r="A1302" s="2">
        <v>1302</v>
      </c>
      <c r="B1302" t="s">
        <v>2196</v>
      </c>
      <c r="C1302" t="s">
        <v>2197</v>
      </c>
      <c r="D1302" t="s">
        <v>2304</v>
      </c>
      <c r="E1302" t="s">
        <v>30</v>
      </c>
      <c r="F1302" t="s">
        <v>24</v>
      </c>
      <c r="G1302" t="s">
        <v>25</v>
      </c>
      <c r="H1302" t="str">
        <f t="shared" si="40"/>
        <v xml:space="preserve">2/2 - PROJETO - HALL  SOCIAL &gt; ÁREAS COMUNS 2/2 | Recorrência: | Observações: </v>
      </c>
      <c r="I1302" t="s">
        <v>991</v>
      </c>
      <c r="J1302" s="4">
        <v>4767.5</v>
      </c>
      <c r="K1302" s="4">
        <v>648160.82999999996</v>
      </c>
      <c r="L1302" t="s">
        <v>27</v>
      </c>
      <c r="M1302" s="4">
        <v>4767.5</v>
      </c>
      <c r="N1302" s="3">
        <v>0</v>
      </c>
      <c r="O1302" t="s">
        <v>2301</v>
      </c>
      <c r="P1302" t="s">
        <v>2199</v>
      </c>
      <c r="Q1302" t="s">
        <v>2284</v>
      </c>
      <c r="R1302" t="str">
        <f t="shared" si="41"/>
        <v>nao</v>
      </c>
      <c r="S1302" t="s">
        <v>2301</v>
      </c>
      <c r="T1302" t="s">
        <v>30</v>
      </c>
      <c r="U1302" t="s">
        <v>31</v>
      </c>
      <c r="V1302" s="3">
        <v>4767.5</v>
      </c>
      <c r="W1302" t="s">
        <v>32</v>
      </c>
      <c r="X1302" s="3">
        <v>4767.5</v>
      </c>
    </row>
    <row r="1303" spans="1:24" s="2" customFormat="1" x14ac:dyDescent="0.2">
      <c r="A1303">
        <v>1303</v>
      </c>
      <c r="B1303" t="s">
        <v>2109</v>
      </c>
      <c r="C1303" t="s">
        <v>2110</v>
      </c>
      <c r="D1303" t="s">
        <v>2305</v>
      </c>
      <c r="E1303" t="s">
        <v>30</v>
      </c>
      <c r="F1303" t="s">
        <v>24</v>
      </c>
      <c r="G1303" t="s">
        <v>25</v>
      </c>
      <c r="H1303" t="str">
        <f t="shared" si="40"/>
        <v xml:space="preserve">1/3 - GERENCIAMENTO PROJETO CORPORATIVO  1/3 | Recorrência: | Observações: </v>
      </c>
      <c r="I1303" t="s">
        <v>491</v>
      </c>
      <c r="J1303" s="4">
        <v>2500</v>
      </c>
      <c r="K1303" s="4">
        <v>650660.82999999996</v>
      </c>
      <c r="L1303" t="s">
        <v>27</v>
      </c>
      <c r="M1303" s="4">
        <v>2500</v>
      </c>
      <c r="N1303" s="3">
        <v>0</v>
      </c>
      <c r="O1303" t="s">
        <v>2268</v>
      </c>
      <c r="P1303" t="s">
        <v>2099</v>
      </c>
      <c r="Q1303" t="s">
        <v>2306</v>
      </c>
      <c r="R1303" t="str">
        <f t="shared" si="41"/>
        <v>Sim</v>
      </c>
      <c r="S1303" t="s">
        <v>2306</v>
      </c>
      <c r="T1303" t="s">
        <v>30</v>
      </c>
      <c r="U1303" t="s">
        <v>274</v>
      </c>
      <c r="V1303" s="3">
        <v>2500</v>
      </c>
      <c r="W1303" t="s">
        <v>166</v>
      </c>
      <c r="X1303" s="3">
        <v>2500</v>
      </c>
    </row>
    <row r="1304" spans="1:24" s="2" customFormat="1" x14ac:dyDescent="0.2">
      <c r="A1304" s="2">
        <v>1304</v>
      </c>
      <c r="B1304" t="s">
        <v>647</v>
      </c>
      <c r="C1304" t="s">
        <v>648</v>
      </c>
      <c r="D1304" t="s">
        <v>1794</v>
      </c>
      <c r="E1304" t="s">
        <v>910</v>
      </c>
      <c r="F1304" t="s">
        <v>63</v>
      </c>
      <c r="G1304" t="s">
        <v>25</v>
      </c>
      <c r="H1304" t="str">
        <f t="shared" si="40"/>
        <v xml:space="preserve">DARF COFINS - | Recorrência:10/12 | Observações: </v>
      </c>
      <c r="I1304" t="s">
        <v>26</v>
      </c>
      <c r="J1304" s="5">
        <v>-249.62</v>
      </c>
      <c r="K1304" s="4">
        <v>650411.21</v>
      </c>
      <c r="L1304" t="s">
        <v>27</v>
      </c>
      <c r="M1304" s="5">
        <v>-249.62</v>
      </c>
      <c r="N1304" s="3">
        <v>0</v>
      </c>
      <c r="O1304" t="s">
        <v>2268</v>
      </c>
      <c r="P1304" t="s">
        <v>2189</v>
      </c>
      <c r="Q1304" t="s">
        <v>2307</v>
      </c>
      <c r="R1304" t="str">
        <f t="shared" si="41"/>
        <v>Sim</v>
      </c>
      <c r="S1304" t="s">
        <v>2307</v>
      </c>
      <c r="T1304" t="s">
        <v>30</v>
      </c>
      <c r="U1304" t="s">
        <v>1508</v>
      </c>
      <c r="V1304" s="3">
        <v>-249.62</v>
      </c>
      <c r="W1304" t="s">
        <v>297</v>
      </c>
      <c r="X1304" s="3">
        <v>-249.62</v>
      </c>
    </row>
    <row r="1305" spans="1:24" s="2" customFormat="1" x14ac:dyDescent="0.2">
      <c r="A1305">
        <v>1305</v>
      </c>
      <c r="B1305" t="s">
        <v>647</v>
      </c>
      <c r="C1305" t="s">
        <v>648</v>
      </c>
      <c r="D1305" t="s">
        <v>2308</v>
      </c>
      <c r="E1305" t="s">
        <v>30</v>
      </c>
      <c r="F1305" t="s">
        <v>63</v>
      </c>
      <c r="G1305" t="s">
        <v>25</v>
      </c>
      <c r="H1305" t="str">
        <f t="shared" si="40"/>
        <v xml:space="preserve">4/59 - DARF PIS 4/60 | Recorrência: | Observações: </v>
      </c>
      <c r="I1305" t="s">
        <v>26</v>
      </c>
      <c r="J1305" s="5">
        <v>-54.08</v>
      </c>
      <c r="K1305" s="4">
        <v>650357.13</v>
      </c>
      <c r="L1305" t="s">
        <v>27</v>
      </c>
      <c r="M1305" s="5">
        <v>-54.08</v>
      </c>
      <c r="N1305" s="3">
        <v>0</v>
      </c>
      <c r="O1305" t="s">
        <v>2268</v>
      </c>
      <c r="P1305" t="s">
        <v>1502</v>
      </c>
      <c r="Q1305" t="s">
        <v>2307</v>
      </c>
      <c r="R1305" t="str">
        <f t="shared" si="41"/>
        <v>Sim</v>
      </c>
      <c r="S1305" t="s">
        <v>2307</v>
      </c>
      <c r="T1305" t="s">
        <v>30</v>
      </c>
      <c r="U1305" t="s">
        <v>601</v>
      </c>
      <c r="V1305" s="3">
        <v>-54.08</v>
      </c>
      <c r="W1305" t="s">
        <v>324</v>
      </c>
      <c r="X1305" s="3">
        <v>-54.08</v>
      </c>
    </row>
    <row r="1306" spans="1:24" s="2" customFormat="1" x14ac:dyDescent="0.2">
      <c r="A1306" s="2">
        <v>1306</v>
      </c>
      <c r="B1306"/>
      <c r="C1306" t="s">
        <v>153</v>
      </c>
      <c r="D1306" t="s">
        <v>2309</v>
      </c>
      <c r="E1306" t="s">
        <v>30</v>
      </c>
      <c r="F1306" t="s">
        <v>63</v>
      </c>
      <c r="G1306" t="s">
        <v>25</v>
      </c>
      <c r="H1306" t="str">
        <f t="shared" si="40"/>
        <v xml:space="preserve">MATERIAIS DE LIMPEZAS E HIGIENE | Recorrência: | Observações: PRODUTOS DE BELEZA GLAMOUR ITAIM - 15,98
CIA BRASILEIRA DE DISTRIBUIÇÃO - 195,65
CARREFOUR COMERCIO - 24,22
</v>
      </c>
      <c r="I1306" t="s">
        <v>2180</v>
      </c>
      <c r="J1306" s="5">
        <v>-235.85</v>
      </c>
      <c r="K1306" s="4">
        <v>650121.28</v>
      </c>
      <c r="L1306" t="s">
        <v>27</v>
      </c>
      <c r="M1306" s="5">
        <v>-235.85</v>
      </c>
      <c r="N1306" s="3">
        <v>0</v>
      </c>
      <c r="O1306" t="s">
        <v>2268</v>
      </c>
      <c r="P1306" t="s">
        <v>2268</v>
      </c>
      <c r="Q1306" t="s">
        <v>2268</v>
      </c>
      <c r="R1306" t="str">
        <f t="shared" si="41"/>
        <v>Sim</v>
      </c>
      <c r="S1306" t="s">
        <v>2268</v>
      </c>
      <c r="T1306" t="s">
        <v>2310</v>
      </c>
      <c r="U1306" t="s">
        <v>1127</v>
      </c>
      <c r="V1306" s="3">
        <v>-235.85</v>
      </c>
      <c r="W1306" t="s">
        <v>1722</v>
      </c>
      <c r="X1306" s="3">
        <v>-235.85</v>
      </c>
    </row>
    <row r="1307" spans="1:24" s="2" customFormat="1" x14ac:dyDescent="0.2">
      <c r="A1307">
        <v>1307</v>
      </c>
      <c r="B1307" t="s">
        <v>106</v>
      </c>
      <c r="C1307" t="s">
        <v>107</v>
      </c>
      <c r="D1307" t="s">
        <v>2312</v>
      </c>
      <c r="E1307" t="s">
        <v>30</v>
      </c>
      <c r="F1307" t="s">
        <v>24</v>
      </c>
      <c r="G1307" t="s">
        <v>25</v>
      </c>
      <c r="H1307" t="str">
        <f t="shared" si="40"/>
        <v xml:space="preserve">2/3 - PROJETO  - Rua Conde D’Eu,861&gt;&gt;&gt; 2/3 | Recorrência: | Observações: </v>
      </c>
      <c r="I1307" t="s">
        <v>491</v>
      </c>
      <c r="J1307" s="4">
        <v>8000</v>
      </c>
      <c r="K1307" s="4">
        <v>658121.28</v>
      </c>
      <c r="L1307" t="s">
        <v>27</v>
      </c>
      <c r="M1307" s="4">
        <v>8000</v>
      </c>
      <c r="N1307" s="3">
        <v>0</v>
      </c>
      <c r="O1307" t="s">
        <v>2311</v>
      </c>
      <c r="P1307" t="s">
        <v>2187</v>
      </c>
      <c r="Q1307" t="s">
        <v>2282</v>
      </c>
      <c r="R1307" t="str">
        <f t="shared" si="41"/>
        <v>Sim</v>
      </c>
      <c r="S1307" t="s">
        <v>2282</v>
      </c>
      <c r="T1307" t="s">
        <v>30</v>
      </c>
      <c r="U1307" t="s">
        <v>31</v>
      </c>
      <c r="V1307" s="3">
        <v>8000</v>
      </c>
      <c r="W1307" t="s">
        <v>32</v>
      </c>
      <c r="X1307" s="3">
        <v>8000</v>
      </c>
    </row>
    <row r="1308" spans="1:24" s="2" customFormat="1" x14ac:dyDescent="0.2">
      <c r="A1308" s="2">
        <v>1308</v>
      </c>
      <c r="B1308" t="s">
        <v>1373</v>
      </c>
      <c r="C1308" t="s">
        <v>1374</v>
      </c>
      <c r="D1308" t="s">
        <v>2313</v>
      </c>
      <c r="E1308" t="s">
        <v>30</v>
      </c>
      <c r="F1308" t="s">
        <v>24</v>
      </c>
      <c r="G1308" t="s">
        <v>25</v>
      </c>
      <c r="H1308" t="str">
        <f t="shared" si="40"/>
        <v xml:space="preserve">1/3 - PROJETO AIR BROOKLIN - 02 STUDIOS 1/3 | Recorrência: | Observações: </v>
      </c>
      <c r="I1308" t="s">
        <v>2180</v>
      </c>
      <c r="J1308" s="4">
        <v>3000</v>
      </c>
      <c r="K1308" s="4">
        <v>661121.28000000003</v>
      </c>
      <c r="L1308" t="s">
        <v>27</v>
      </c>
      <c r="M1308" s="4">
        <v>3000</v>
      </c>
      <c r="N1308" s="3">
        <v>0</v>
      </c>
      <c r="O1308" t="s">
        <v>2311</v>
      </c>
      <c r="P1308" t="s">
        <v>2268</v>
      </c>
      <c r="Q1308" t="s">
        <v>2311</v>
      </c>
      <c r="R1308" t="str">
        <f t="shared" si="41"/>
        <v>Sim</v>
      </c>
      <c r="S1308" t="s">
        <v>2311</v>
      </c>
      <c r="T1308" t="s">
        <v>30</v>
      </c>
      <c r="U1308" t="s">
        <v>31</v>
      </c>
      <c r="V1308" s="3">
        <v>3000</v>
      </c>
      <c r="W1308" t="s">
        <v>32</v>
      </c>
      <c r="X1308" s="3">
        <v>3000</v>
      </c>
    </row>
    <row r="1309" spans="1:24" s="2" customFormat="1" x14ac:dyDescent="0.2">
      <c r="A1309">
        <v>1309</v>
      </c>
      <c r="B1309" t="s">
        <v>2314</v>
      </c>
      <c r="C1309" t="s">
        <v>2315</v>
      </c>
      <c r="D1309" t="s">
        <v>2316</v>
      </c>
      <c r="E1309" t="s">
        <v>30</v>
      </c>
      <c r="F1309" t="s">
        <v>24</v>
      </c>
      <c r="G1309" t="s">
        <v>25</v>
      </c>
      <c r="H1309" t="str">
        <f t="shared" si="40"/>
        <v xml:space="preserve">RT ELIAS MARCENEIRO | Recorrência: | Observações: </v>
      </c>
      <c r="I1309" t="s">
        <v>991</v>
      </c>
      <c r="J1309" s="4">
        <v>520</v>
      </c>
      <c r="K1309" s="4">
        <v>661641.28</v>
      </c>
      <c r="L1309" t="s">
        <v>27</v>
      </c>
      <c r="M1309" s="4">
        <v>520</v>
      </c>
      <c r="N1309" s="3">
        <v>0</v>
      </c>
      <c r="O1309" t="s">
        <v>2311</v>
      </c>
      <c r="P1309" t="s">
        <v>2317</v>
      </c>
      <c r="Q1309" t="s">
        <v>2311</v>
      </c>
      <c r="R1309" t="str">
        <f t="shared" si="41"/>
        <v>Sim</v>
      </c>
      <c r="S1309" t="s">
        <v>2311</v>
      </c>
      <c r="T1309" t="s">
        <v>30</v>
      </c>
      <c r="U1309" t="s">
        <v>49</v>
      </c>
      <c r="V1309" s="3">
        <v>520</v>
      </c>
      <c r="W1309" t="s">
        <v>494</v>
      </c>
      <c r="X1309" s="3">
        <v>520</v>
      </c>
    </row>
    <row r="1310" spans="1:24" s="2" customFormat="1" x14ac:dyDescent="0.2">
      <c r="A1310" s="2">
        <v>1310</v>
      </c>
      <c r="B1310"/>
      <c r="C1310" t="s">
        <v>153</v>
      </c>
      <c r="D1310" t="s">
        <v>2318</v>
      </c>
      <c r="E1310" t="s">
        <v>30</v>
      </c>
      <c r="F1310" t="s">
        <v>63</v>
      </c>
      <c r="G1310" t="s">
        <v>25</v>
      </c>
      <c r="H1310" t="str">
        <f t="shared" si="40"/>
        <v xml:space="preserve">11/11 - SALÁRIO - JULYA 11/12 | Recorrência: | Observações: </v>
      </c>
      <c r="I1310" t="s">
        <v>991</v>
      </c>
      <c r="J1310" s="5">
        <v>-4693.75</v>
      </c>
      <c r="K1310" s="4">
        <v>656947.53</v>
      </c>
      <c r="L1310" t="s">
        <v>27</v>
      </c>
      <c r="M1310" s="5">
        <v>-4693.75</v>
      </c>
      <c r="N1310" s="3">
        <v>0</v>
      </c>
      <c r="O1310" t="s">
        <v>2280</v>
      </c>
      <c r="P1310" t="s">
        <v>1457</v>
      </c>
      <c r="Q1310" t="s">
        <v>2319</v>
      </c>
      <c r="R1310" t="str">
        <f t="shared" si="41"/>
        <v>nao</v>
      </c>
      <c r="S1310" t="s">
        <v>2280</v>
      </c>
      <c r="T1310" t="s">
        <v>30</v>
      </c>
      <c r="U1310" t="s">
        <v>323</v>
      </c>
      <c r="V1310" s="3">
        <v>-4693.75</v>
      </c>
      <c r="W1310" t="s">
        <v>1164</v>
      </c>
      <c r="X1310" s="3">
        <v>-4693.75</v>
      </c>
    </row>
    <row r="1311" spans="1:24" s="2" customFormat="1" x14ac:dyDescent="0.2">
      <c r="A1311">
        <v>1311</v>
      </c>
      <c r="B1311"/>
      <c r="C1311" t="s">
        <v>153</v>
      </c>
      <c r="D1311" t="s">
        <v>2320</v>
      </c>
      <c r="E1311" t="s">
        <v>30</v>
      </c>
      <c r="F1311" t="s">
        <v>63</v>
      </c>
      <c r="G1311" t="s">
        <v>25</v>
      </c>
      <c r="H1311" t="str">
        <f t="shared" si="40"/>
        <v xml:space="preserve">11/12 - PRÓ LABORE - NATASHA 11/12 | Recorrência: | Observações: </v>
      </c>
      <c r="I1311" t="s">
        <v>491</v>
      </c>
      <c r="J1311" s="5">
        <v>-20000</v>
      </c>
      <c r="K1311" s="4">
        <v>636947.53</v>
      </c>
      <c r="L1311" t="s">
        <v>27</v>
      </c>
      <c r="M1311" s="5">
        <v>-20000</v>
      </c>
      <c r="N1311" s="3">
        <v>0</v>
      </c>
      <c r="O1311" t="s">
        <v>2229</v>
      </c>
      <c r="P1311" t="s">
        <v>1457</v>
      </c>
      <c r="Q1311" t="s">
        <v>2319</v>
      </c>
      <c r="R1311" t="str">
        <f t="shared" si="41"/>
        <v>nao</v>
      </c>
      <c r="S1311" t="s">
        <v>2229</v>
      </c>
      <c r="T1311" t="s">
        <v>30</v>
      </c>
      <c r="U1311" t="s">
        <v>631</v>
      </c>
      <c r="V1311" s="3">
        <v>-20000</v>
      </c>
      <c r="W1311" t="s">
        <v>1164</v>
      </c>
      <c r="X1311" s="3">
        <v>-20000</v>
      </c>
    </row>
    <row r="1312" spans="1:24" s="2" customFormat="1" x14ac:dyDescent="0.2">
      <c r="A1312" s="2">
        <v>1312</v>
      </c>
      <c r="B1312"/>
      <c r="C1312" t="s">
        <v>153</v>
      </c>
      <c r="D1312" t="s">
        <v>2321</v>
      </c>
      <c r="E1312" t="s">
        <v>910</v>
      </c>
      <c r="F1312" t="s">
        <v>63</v>
      </c>
      <c r="G1312" t="s">
        <v>25</v>
      </c>
      <c r="H1312" t="str">
        <f t="shared" si="40"/>
        <v>DIÁRIAS  JULIANA SOARES - REFERENTE OUTUBRO | Recorrência:10/12 | Observações: DIÁRIAS: 03-11-18 E 26 JANEIRO</v>
      </c>
      <c r="I1312" t="s">
        <v>491</v>
      </c>
      <c r="J1312" s="5">
        <v>-480</v>
      </c>
      <c r="K1312" s="4">
        <v>636467.53</v>
      </c>
      <c r="L1312" t="s">
        <v>27</v>
      </c>
      <c r="M1312" s="5">
        <v>-480</v>
      </c>
      <c r="N1312" s="3">
        <v>0</v>
      </c>
      <c r="O1312" t="s">
        <v>2317</v>
      </c>
      <c r="P1312" t="s">
        <v>2240</v>
      </c>
      <c r="Q1312" t="s">
        <v>2317</v>
      </c>
      <c r="R1312" t="str">
        <f t="shared" si="41"/>
        <v>nao</v>
      </c>
      <c r="S1312" t="s">
        <v>2189</v>
      </c>
      <c r="T1312" t="s">
        <v>1668</v>
      </c>
      <c r="U1312" t="s">
        <v>691</v>
      </c>
      <c r="V1312" s="3">
        <v>-480</v>
      </c>
      <c r="W1312" t="s">
        <v>1058</v>
      </c>
      <c r="X1312" s="3">
        <v>-480</v>
      </c>
    </row>
    <row r="1313" spans="1:24" s="2" customFormat="1" x14ac:dyDescent="0.2">
      <c r="A1313">
        <v>1313</v>
      </c>
      <c r="B1313" t="s">
        <v>647</v>
      </c>
      <c r="C1313" t="s">
        <v>648</v>
      </c>
      <c r="D1313" t="s">
        <v>2322</v>
      </c>
      <c r="E1313" t="s">
        <v>30</v>
      </c>
      <c r="F1313" t="s">
        <v>63</v>
      </c>
      <c r="G1313" t="s">
        <v>25</v>
      </c>
      <c r="H1313" t="str">
        <f t="shared" si="40"/>
        <v xml:space="preserve">4/12 - DARF IRPJ 4/12 | Recorrência: | Observações: </v>
      </c>
      <c r="I1313" t="s">
        <v>26</v>
      </c>
      <c r="J1313" s="5">
        <v>-9497.35</v>
      </c>
      <c r="K1313" s="4">
        <v>626970.18000000005</v>
      </c>
      <c r="L1313" t="s">
        <v>27</v>
      </c>
      <c r="M1313" s="5">
        <v>-9497.35</v>
      </c>
      <c r="N1313" s="3">
        <v>0</v>
      </c>
      <c r="O1313" t="s">
        <v>2317</v>
      </c>
      <c r="P1313" t="s">
        <v>1392</v>
      </c>
      <c r="Q1313" t="s">
        <v>2323</v>
      </c>
      <c r="R1313" t="str">
        <f t="shared" si="41"/>
        <v>Sim</v>
      </c>
      <c r="S1313" t="s">
        <v>2323</v>
      </c>
      <c r="T1313" t="s">
        <v>30</v>
      </c>
      <c r="U1313" t="s">
        <v>1508</v>
      </c>
      <c r="V1313" s="3">
        <v>-9497.35</v>
      </c>
      <c r="W1313" t="s">
        <v>1115</v>
      </c>
      <c r="X1313" s="3">
        <v>-9497.35</v>
      </c>
    </row>
    <row r="1314" spans="1:24" s="2" customFormat="1" x14ac:dyDescent="0.2">
      <c r="A1314" s="2">
        <v>1314</v>
      </c>
      <c r="B1314"/>
      <c r="C1314" t="s">
        <v>828</v>
      </c>
      <c r="D1314" t="s">
        <v>830</v>
      </c>
      <c r="E1314" t="s">
        <v>2324</v>
      </c>
      <c r="F1314" t="s">
        <v>63</v>
      </c>
      <c r="G1314" t="s">
        <v>25</v>
      </c>
      <c r="H1314" t="str">
        <f t="shared" si="40"/>
        <v xml:space="preserve">PREFEITURA DO MUNICIPIO DE BERTIOGA | Recorrência:20/41 | Observações: REF.02 PAGAMENTOS </v>
      </c>
      <c r="I1314" t="s">
        <v>26</v>
      </c>
      <c r="J1314" s="5">
        <v>-234.15</v>
      </c>
      <c r="K1314" s="4">
        <v>626736.03</v>
      </c>
      <c r="L1314" t="s">
        <v>27</v>
      </c>
      <c r="M1314" s="5">
        <v>-234.15</v>
      </c>
      <c r="N1314" s="3">
        <v>0</v>
      </c>
      <c r="O1314" t="s">
        <v>2317</v>
      </c>
      <c r="P1314" t="s">
        <v>2285</v>
      </c>
      <c r="Q1314" t="s">
        <v>2323</v>
      </c>
      <c r="R1314" t="str">
        <f t="shared" si="41"/>
        <v>Sim</v>
      </c>
      <c r="S1314" t="s">
        <v>2323</v>
      </c>
      <c r="T1314" t="s">
        <v>831</v>
      </c>
      <c r="U1314" t="s">
        <v>832</v>
      </c>
      <c r="V1314" s="3">
        <v>-234.15</v>
      </c>
    </row>
    <row r="1315" spans="1:24" s="2" customFormat="1" x14ac:dyDescent="0.2">
      <c r="A1315">
        <v>1315</v>
      </c>
      <c r="B1315"/>
      <c r="C1315" t="s">
        <v>710</v>
      </c>
      <c r="D1315" t="s">
        <v>1978</v>
      </c>
      <c r="E1315" t="s">
        <v>910</v>
      </c>
      <c r="F1315" t="s">
        <v>63</v>
      </c>
      <c r="G1315" t="s">
        <v>25</v>
      </c>
      <c r="H1315" t="str">
        <f t="shared" si="40"/>
        <v xml:space="preserve">ENÉRGIA ELETRICA | Recorrência:10/12 | Observações: </v>
      </c>
      <c r="I1315" t="s">
        <v>491</v>
      </c>
      <c r="J1315" s="5">
        <v>-427.04</v>
      </c>
      <c r="K1315" s="4">
        <v>626308.99</v>
      </c>
      <c r="L1315" t="s">
        <v>27</v>
      </c>
      <c r="M1315" s="5">
        <v>-427.04</v>
      </c>
      <c r="N1315" s="3">
        <v>0</v>
      </c>
      <c r="O1315" t="s">
        <v>2317</v>
      </c>
      <c r="P1315" t="s">
        <v>2317</v>
      </c>
      <c r="Q1315" t="s">
        <v>2317</v>
      </c>
      <c r="R1315" t="str">
        <f t="shared" si="41"/>
        <v>Sim</v>
      </c>
      <c r="S1315" t="s">
        <v>2317</v>
      </c>
      <c r="T1315" t="s">
        <v>30</v>
      </c>
      <c r="U1315" t="s">
        <v>125</v>
      </c>
      <c r="V1315" s="3">
        <v>-427.04</v>
      </c>
      <c r="W1315" t="s">
        <v>125</v>
      </c>
      <c r="X1315" s="3">
        <v>-427.04</v>
      </c>
    </row>
    <row r="1316" spans="1:24" s="2" customFormat="1" x14ac:dyDescent="0.2">
      <c r="A1316" s="2">
        <v>1316</v>
      </c>
      <c r="B1316" t="s">
        <v>647</v>
      </c>
      <c r="C1316" t="s">
        <v>648</v>
      </c>
      <c r="D1316" t="s">
        <v>2325</v>
      </c>
      <c r="E1316" t="s">
        <v>30</v>
      </c>
      <c r="F1316" t="s">
        <v>63</v>
      </c>
      <c r="G1316" t="s">
        <v>25</v>
      </c>
      <c r="H1316" t="str">
        <f t="shared" si="40"/>
        <v xml:space="preserve">4/11 - DARF CSLL 4/12 | Recorrência: | Observações: </v>
      </c>
      <c r="I1316" t="s">
        <v>26</v>
      </c>
      <c r="J1316" s="5">
        <v>-4399.28</v>
      </c>
      <c r="K1316" s="4">
        <v>621909.71</v>
      </c>
      <c r="L1316" t="s">
        <v>27</v>
      </c>
      <c r="M1316" s="5">
        <v>-4399.28</v>
      </c>
      <c r="N1316" s="3">
        <v>0</v>
      </c>
      <c r="O1316" t="s">
        <v>2317</v>
      </c>
      <c r="P1316" t="s">
        <v>1391</v>
      </c>
      <c r="Q1316" t="s">
        <v>2323</v>
      </c>
      <c r="R1316" t="str">
        <f t="shared" si="41"/>
        <v>Sim</v>
      </c>
      <c r="S1316" t="s">
        <v>2323</v>
      </c>
      <c r="T1316" t="s">
        <v>30</v>
      </c>
      <c r="U1316" t="s">
        <v>728</v>
      </c>
      <c r="V1316" s="3">
        <v>-4399.28</v>
      </c>
      <c r="W1316" t="s">
        <v>1115</v>
      </c>
      <c r="X1316" s="3">
        <v>-4399.28</v>
      </c>
    </row>
    <row r="1317" spans="1:24" s="2" customFormat="1" x14ac:dyDescent="0.2">
      <c r="A1317">
        <v>1317</v>
      </c>
      <c r="B1317"/>
      <c r="C1317" t="s">
        <v>574</v>
      </c>
      <c r="D1317" t="s">
        <v>1533</v>
      </c>
      <c r="E1317" t="s">
        <v>955</v>
      </c>
      <c r="F1317" t="s">
        <v>63</v>
      </c>
      <c r="G1317" t="s">
        <v>25</v>
      </c>
      <c r="H1317" t="str">
        <f t="shared" si="40"/>
        <v xml:space="preserve">CONDOMINIO + ALUGUEL | Recorrência:11/12 | Observações: </v>
      </c>
      <c r="I1317" t="s">
        <v>26</v>
      </c>
      <c r="J1317" s="5">
        <v>-6394.9</v>
      </c>
      <c r="K1317" s="4">
        <v>615514.81000000006</v>
      </c>
      <c r="L1317" t="s">
        <v>27</v>
      </c>
      <c r="M1317" s="5">
        <v>-6394.9</v>
      </c>
      <c r="N1317" s="3">
        <v>0</v>
      </c>
      <c r="O1317" t="s">
        <v>2317</v>
      </c>
      <c r="P1317" t="s">
        <v>2326</v>
      </c>
      <c r="Q1317" t="s">
        <v>2269</v>
      </c>
      <c r="R1317" t="str">
        <f t="shared" si="41"/>
        <v>Sim</v>
      </c>
      <c r="S1317" t="s">
        <v>2269</v>
      </c>
      <c r="T1317" t="s">
        <v>30</v>
      </c>
      <c r="U1317" t="s">
        <v>571</v>
      </c>
      <c r="V1317" s="3">
        <v>-6394.9</v>
      </c>
      <c r="W1317" t="s">
        <v>1058</v>
      </c>
      <c r="X1317" s="3">
        <v>-6394.9</v>
      </c>
    </row>
    <row r="1318" spans="1:24" s="2" customFormat="1" x14ac:dyDescent="0.2">
      <c r="A1318" s="2">
        <v>1318</v>
      </c>
      <c r="B1318" t="s">
        <v>1016</v>
      </c>
      <c r="C1318" t="s">
        <v>1017</v>
      </c>
      <c r="D1318" t="s">
        <v>1017</v>
      </c>
      <c r="E1318" t="s">
        <v>518</v>
      </c>
      <c r="F1318" t="s">
        <v>63</v>
      </c>
      <c r="G1318" t="s">
        <v>25</v>
      </c>
      <c r="H1318" t="str">
        <f t="shared" si="40"/>
        <v xml:space="preserve">WEBDAS | Recorrência:4/12 | Observações: </v>
      </c>
      <c r="I1318" t="s">
        <v>755</v>
      </c>
      <c r="J1318" s="5">
        <v>-131.69999999999999</v>
      </c>
      <c r="K1318" s="4">
        <v>615383.11</v>
      </c>
      <c r="L1318" t="s">
        <v>27</v>
      </c>
      <c r="M1318" s="5">
        <v>-131.69999999999999</v>
      </c>
      <c r="N1318" s="3">
        <v>0</v>
      </c>
      <c r="O1318" t="s">
        <v>2323</v>
      </c>
      <c r="P1318" t="s">
        <v>2317</v>
      </c>
      <c r="Q1318" t="s">
        <v>2327</v>
      </c>
      <c r="R1318" t="str">
        <f t="shared" si="41"/>
        <v>Sim</v>
      </c>
      <c r="S1318" t="s">
        <v>2327</v>
      </c>
      <c r="T1318" t="s">
        <v>30</v>
      </c>
      <c r="U1318" t="s">
        <v>344</v>
      </c>
      <c r="V1318" s="3">
        <v>-131.69999999999999</v>
      </c>
      <c r="W1318" t="s">
        <v>1058</v>
      </c>
      <c r="X1318" s="3">
        <v>-131.69999999999999</v>
      </c>
    </row>
    <row r="1319" spans="1:24" s="2" customFormat="1" x14ac:dyDescent="0.2">
      <c r="A1319">
        <v>1319</v>
      </c>
      <c r="B1319"/>
      <c r="C1319" t="s">
        <v>153</v>
      </c>
      <c r="D1319" t="s">
        <v>2328</v>
      </c>
      <c r="E1319" t="s">
        <v>30</v>
      </c>
      <c r="F1319" t="s">
        <v>63</v>
      </c>
      <c r="G1319" t="s">
        <v>25</v>
      </c>
      <c r="H1319" t="str">
        <f t="shared" si="40"/>
        <v xml:space="preserve">12/10 - ELIANE - VALE TRANSPORTE &gt;referente mês Novembro | Recorrência: | Observações: </v>
      </c>
      <c r="I1319" t="s">
        <v>991</v>
      </c>
      <c r="J1319" s="5">
        <v>-316.8</v>
      </c>
      <c r="K1319" s="4">
        <v>615066.31000000006</v>
      </c>
      <c r="L1319" t="s">
        <v>27</v>
      </c>
      <c r="M1319" s="5">
        <v>-316.8</v>
      </c>
      <c r="N1319" s="3">
        <v>0</v>
      </c>
      <c r="O1319" t="s">
        <v>2323</v>
      </c>
      <c r="P1319" t="s">
        <v>1500</v>
      </c>
      <c r="Q1319" t="s">
        <v>2329</v>
      </c>
      <c r="R1319" t="str">
        <f t="shared" si="41"/>
        <v>Sim</v>
      </c>
      <c r="S1319" t="s">
        <v>2329</v>
      </c>
      <c r="T1319" t="s">
        <v>30</v>
      </c>
      <c r="U1319" t="s">
        <v>698</v>
      </c>
      <c r="V1319" s="3">
        <v>-316.8</v>
      </c>
      <c r="W1319" t="s">
        <v>698</v>
      </c>
      <c r="X1319" s="3">
        <v>-316.8</v>
      </c>
    </row>
    <row r="1320" spans="1:24" s="2" customFormat="1" x14ac:dyDescent="0.2">
      <c r="A1320" s="2">
        <v>1320</v>
      </c>
      <c r="B1320" t="s">
        <v>1833</v>
      </c>
      <c r="C1320" t="s">
        <v>1834</v>
      </c>
      <c r="D1320" t="s">
        <v>2330</v>
      </c>
      <c r="E1320" t="s">
        <v>30</v>
      </c>
      <c r="F1320" t="s">
        <v>24</v>
      </c>
      <c r="G1320" t="s">
        <v>25</v>
      </c>
      <c r="H1320" t="str">
        <f t="shared" si="40"/>
        <v>RT CAMILA DOSSE/PAULO RAMOS PEDIDO 21/09 | Recorrência: | Observações: 10% RT &gt; PAGAMENTO É REALIZADO ATÉ O FINAL DO MÊS SUBSEQUENTE DA DATA DO PEDIDO</v>
      </c>
      <c r="I1320" t="s">
        <v>491</v>
      </c>
      <c r="J1320" s="4">
        <v>2800</v>
      </c>
      <c r="K1320" s="4">
        <v>617866.31000000006</v>
      </c>
      <c r="L1320" t="s">
        <v>27</v>
      </c>
      <c r="M1320" s="4">
        <v>2800</v>
      </c>
      <c r="N1320" s="3">
        <v>0</v>
      </c>
      <c r="O1320" t="s">
        <v>2323</v>
      </c>
      <c r="P1320" t="s">
        <v>2201</v>
      </c>
      <c r="Q1320" t="s">
        <v>2317</v>
      </c>
      <c r="R1320" t="str">
        <f t="shared" si="41"/>
        <v>Sim</v>
      </c>
      <c r="S1320" t="s">
        <v>2317</v>
      </c>
      <c r="T1320" t="s">
        <v>2331</v>
      </c>
      <c r="U1320" t="s">
        <v>49</v>
      </c>
      <c r="V1320" s="3">
        <v>2800</v>
      </c>
      <c r="W1320" t="s">
        <v>494</v>
      </c>
      <c r="X1320" s="3">
        <v>2800</v>
      </c>
    </row>
    <row r="1321" spans="1:24" s="2" customFormat="1" x14ac:dyDescent="0.2">
      <c r="A1321">
        <v>1321</v>
      </c>
      <c r="B1321" t="s">
        <v>1133</v>
      </c>
      <c r="C1321" t="s">
        <v>1134</v>
      </c>
      <c r="D1321" t="s">
        <v>2332</v>
      </c>
      <c r="E1321" t="s">
        <v>30</v>
      </c>
      <c r="F1321" t="s">
        <v>24</v>
      </c>
      <c r="G1321" t="s">
        <v>25</v>
      </c>
      <c r="H1321" t="str">
        <f t="shared" si="40"/>
        <v xml:space="preserve">RT  OP 284439 - GABRIELA BORGES | Recorrência: | Observações: </v>
      </c>
      <c r="I1321" t="s">
        <v>491</v>
      </c>
      <c r="J1321" s="4">
        <v>1350</v>
      </c>
      <c r="K1321" s="4">
        <v>619216.31000000006</v>
      </c>
      <c r="L1321" t="s">
        <v>27</v>
      </c>
      <c r="M1321" s="4">
        <v>1350</v>
      </c>
      <c r="N1321" s="3">
        <v>0</v>
      </c>
      <c r="O1321" t="s">
        <v>2323</v>
      </c>
      <c r="P1321" t="s">
        <v>2284</v>
      </c>
      <c r="Q1321" t="s">
        <v>2323</v>
      </c>
      <c r="R1321" t="str">
        <f t="shared" si="41"/>
        <v>nao</v>
      </c>
      <c r="S1321" t="s">
        <v>2333</v>
      </c>
      <c r="T1321" t="s">
        <v>30</v>
      </c>
      <c r="U1321" t="s">
        <v>49</v>
      </c>
      <c r="V1321" s="3">
        <v>1350</v>
      </c>
      <c r="W1321" t="s">
        <v>494</v>
      </c>
      <c r="X1321" s="3">
        <v>1350</v>
      </c>
    </row>
    <row r="1322" spans="1:24" s="2" customFormat="1" x14ac:dyDescent="0.2">
      <c r="A1322" s="2">
        <v>1322</v>
      </c>
      <c r="B1322" t="s">
        <v>1450</v>
      </c>
      <c r="C1322" t="s">
        <v>1451</v>
      </c>
      <c r="D1322" t="s">
        <v>2334</v>
      </c>
      <c r="E1322" t="s">
        <v>30</v>
      </c>
      <c r="F1322" t="s">
        <v>24</v>
      </c>
      <c r="G1322" t="s">
        <v>25</v>
      </c>
      <c r="H1322" t="str">
        <f t="shared" si="40"/>
        <v xml:space="preserve">RT CAMILA DOSSE E PAULO RAMOS - 1° DEPÓSITO | Recorrência: | Observações: </v>
      </c>
      <c r="I1322" t="s">
        <v>491</v>
      </c>
      <c r="J1322" s="4">
        <v>3750</v>
      </c>
      <c r="K1322" s="4">
        <v>622966.31000000006</v>
      </c>
      <c r="L1322" t="s">
        <v>27</v>
      </c>
      <c r="M1322" s="4">
        <v>3750</v>
      </c>
      <c r="N1322" s="3">
        <v>0</v>
      </c>
      <c r="O1322" t="s">
        <v>2323</v>
      </c>
      <c r="P1322" t="s">
        <v>2201</v>
      </c>
      <c r="Q1322" t="s">
        <v>2225</v>
      </c>
      <c r="R1322" t="str">
        <f t="shared" si="41"/>
        <v>Sim</v>
      </c>
      <c r="S1322" t="s">
        <v>2225</v>
      </c>
      <c r="T1322" t="s">
        <v>30</v>
      </c>
      <c r="U1322" t="s">
        <v>49</v>
      </c>
      <c r="V1322" s="3">
        <v>3750</v>
      </c>
      <c r="W1322" t="s">
        <v>494</v>
      </c>
      <c r="X1322" s="3">
        <v>3750</v>
      </c>
    </row>
    <row r="1323" spans="1:24" s="2" customFormat="1" x14ac:dyDescent="0.2">
      <c r="A1323">
        <v>1323</v>
      </c>
      <c r="B1323" t="s">
        <v>2335</v>
      </c>
      <c r="C1323" t="s">
        <v>2336</v>
      </c>
      <c r="D1323" t="s">
        <v>2337</v>
      </c>
      <c r="E1323" t="s">
        <v>30</v>
      </c>
      <c r="F1323" t="s">
        <v>24</v>
      </c>
      <c r="G1323" t="s">
        <v>25</v>
      </c>
      <c r="H1323" t="str">
        <f t="shared" si="40"/>
        <v xml:space="preserve">RT PROPOSTA 105 - CAMILA DOSSE | Recorrência: | Observações: </v>
      </c>
      <c r="I1323" t="s">
        <v>491</v>
      </c>
      <c r="J1323" s="4">
        <v>403.33</v>
      </c>
      <c r="K1323" s="4">
        <v>623369.64</v>
      </c>
      <c r="L1323" t="s">
        <v>27</v>
      </c>
      <c r="M1323" s="4">
        <v>403.33</v>
      </c>
      <c r="N1323" s="3">
        <v>0</v>
      </c>
      <c r="O1323" t="s">
        <v>2323</v>
      </c>
      <c r="P1323" t="s">
        <v>2243</v>
      </c>
      <c r="Q1323" t="s">
        <v>2282</v>
      </c>
      <c r="R1323" t="str">
        <f t="shared" si="41"/>
        <v>Sim</v>
      </c>
      <c r="S1323" t="s">
        <v>2282</v>
      </c>
      <c r="T1323" t="s">
        <v>30</v>
      </c>
      <c r="U1323" t="s">
        <v>49</v>
      </c>
      <c r="V1323" s="3">
        <v>403.33</v>
      </c>
      <c r="W1323" t="s">
        <v>494</v>
      </c>
      <c r="X1323" s="3">
        <v>403.33</v>
      </c>
    </row>
    <row r="1324" spans="1:24" s="2" customFormat="1" x14ac:dyDescent="0.2">
      <c r="A1324" s="2">
        <v>1324</v>
      </c>
      <c r="B1324"/>
      <c r="C1324" t="s">
        <v>153</v>
      </c>
      <c r="D1324" t="s">
        <v>2338</v>
      </c>
      <c r="E1324" t="s">
        <v>30</v>
      </c>
      <c r="F1324" t="s">
        <v>63</v>
      </c>
      <c r="G1324" t="s">
        <v>25</v>
      </c>
      <c r="H1324" t="str">
        <f t="shared" si="40"/>
        <v xml:space="preserve">11/12 - PRÓ LABORE MAYARA 11/12 | Recorrência: | Observações: </v>
      </c>
      <c r="I1324" t="s">
        <v>491</v>
      </c>
      <c r="J1324" s="5">
        <v>-20000</v>
      </c>
      <c r="K1324" s="4">
        <v>603369.64</v>
      </c>
      <c r="L1324" t="s">
        <v>27</v>
      </c>
      <c r="M1324" s="5">
        <v>-20000</v>
      </c>
      <c r="N1324" s="3">
        <v>0</v>
      </c>
      <c r="O1324" t="s">
        <v>2323</v>
      </c>
      <c r="P1324" t="s">
        <v>1457</v>
      </c>
      <c r="Q1324" t="s">
        <v>2319</v>
      </c>
      <c r="R1324" t="str">
        <f t="shared" si="41"/>
        <v>nao</v>
      </c>
      <c r="S1324" t="s">
        <v>2229</v>
      </c>
      <c r="T1324" t="s">
        <v>30</v>
      </c>
      <c r="U1324" t="s">
        <v>631</v>
      </c>
      <c r="V1324" s="3">
        <v>-20000</v>
      </c>
      <c r="W1324" t="s">
        <v>1164</v>
      </c>
      <c r="X1324" s="3">
        <v>-20000</v>
      </c>
    </row>
    <row r="1325" spans="1:24" s="2" customFormat="1" x14ac:dyDescent="0.2">
      <c r="A1325">
        <v>1325</v>
      </c>
      <c r="B1325" t="s">
        <v>647</v>
      </c>
      <c r="C1325" t="s">
        <v>648</v>
      </c>
      <c r="D1325" t="s">
        <v>2339</v>
      </c>
      <c r="E1325" t="s">
        <v>30</v>
      </c>
      <c r="F1325" t="s">
        <v>63</v>
      </c>
      <c r="G1325" t="s">
        <v>25</v>
      </c>
      <c r="H1325" t="str">
        <f t="shared" si="40"/>
        <v xml:space="preserve">11/12 - FGTS 11/12 - COMPETÊNCIA 10/2023 | Recorrência: | Observações: </v>
      </c>
      <c r="I1325" t="s">
        <v>26</v>
      </c>
      <c r="J1325" s="5">
        <v>-145.62</v>
      </c>
      <c r="K1325" s="4">
        <v>603224.02</v>
      </c>
      <c r="L1325" t="s">
        <v>27</v>
      </c>
      <c r="M1325" s="5">
        <v>-145.62</v>
      </c>
      <c r="N1325" s="3">
        <v>0</v>
      </c>
      <c r="O1325" t="s">
        <v>2319</v>
      </c>
      <c r="P1325" t="s">
        <v>1469</v>
      </c>
      <c r="Q1325" t="s">
        <v>2319</v>
      </c>
      <c r="R1325" t="str">
        <f t="shared" si="41"/>
        <v>Sim</v>
      </c>
      <c r="S1325" t="s">
        <v>2319</v>
      </c>
      <c r="T1325" t="s">
        <v>30</v>
      </c>
      <c r="U1325" t="s">
        <v>1531</v>
      </c>
      <c r="V1325" s="3">
        <v>-145.62</v>
      </c>
    </row>
    <row r="1326" spans="1:24" s="2" customFormat="1" x14ac:dyDescent="0.2">
      <c r="A1326" s="2">
        <v>1326</v>
      </c>
      <c r="B1326"/>
      <c r="C1326" t="s">
        <v>153</v>
      </c>
      <c r="D1326" t="s">
        <v>2340</v>
      </c>
      <c r="E1326" t="s">
        <v>30</v>
      </c>
      <c r="F1326" t="s">
        <v>63</v>
      </c>
      <c r="G1326" t="s">
        <v>25</v>
      </c>
      <c r="H1326" t="str">
        <f t="shared" si="40"/>
        <v xml:space="preserve">SODEXO ELIANE 10/12 | Recorrência: | Observações: </v>
      </c>
      <c r="I1326" t="s">
        <v>26</v>
      </c>
      <c r="J1326" s="5">
        <v>-670.7</v>
      </c>
      <c r="K1326" s="4">
        <v>602553.31999999995</v>
      </c>
      <c r="L1326" t="s">
        <v>27</v>
      </c>
      <c r="M1326" s="5">
        <v>-670.7</v>
      </c>
      <c r="N1326" s="3">
        <v>0</v>
      </c>
      <c r="O1326" t="s">
        <v>2319</v>
      </c>
      <c r="P1326" t="s">
        <v>2122</v>
      </c>
      <c r="Q1326" t="s">
        <v>2319</v>
      </c>
      <c r="R1326" t="str">
        <f t="shared" si="41"/>
        <v>Sim</v>
      </c>
      <c r="S1326" t="s">
        <v>2319</v>
      </c>
      <c r="T1326" t="s">
        <v>30</v>
      </c>
      <c r="U1326" t="s">
        <v>93</v>
      </c>
      <c r="V1326" s="3">
        <v>-670.7</v>
      </c>
      <c r="W1326" t="s">
        <v>331</v>
      </c>
      <c r="X1326" s="3">
        <v>-670.7</v>
      </c>
    </row>
    <row r="1327" spans="1:24" s="2" customFormat="1" x14ac:dyDescent="0.2">
      <c r="A1327">
        <v>1327</v>
      </c>
      <c r="B1327"/>
      <c r="C1327" t="s">
        <v>153</v>
      </c>
      <c r="D1327" t="s">
        <v>1910</v>
      </c>
      <c r="E1327" t="s">
        <v>2341</v>
      </c>
      <c r="F1327" t="s">
        <v>63</v>
      </c>
      <c r="G1327" t="s">
        <v>25</v>
      </c>
      <c r="H1327" t="str">
        <f t="shared" si="40"/>
        <v xml:space="preserve">SALÁRIO_MAYARA OLIVEIRA | Recorrência:7/7 | Observações: </v>
      </c>
      <c r="I1327" t="s">
        <v>491</v>
      </c>
      <c r="J1327" s="5">
        <v>-3411.27</v>
      </c>
      <c r="K1327" s="4">
        <v>599142.05000000005</v>
      </c>
      <c r="L1327" t="s">
        <v>27</v>
      </c>
      <c r="M1327" s="5">
        <v>-3411.27</v>
      </c>
      <c r="N1327" s="3">
        <v>0</v>
      </c>
      <c r="O1327" t="s">
        <v>2319</v>
      </c>
      <c r="P1327" t="s">
        <v>2301</v>
      </c>
      <c r="Q1327" t="s">
        <v>2319</v>
      </c>
      <c r="R1327" t="str">
        <f t="shared" si="41"/>
        <v>Sim</v>
      </c>
      <c r="S1327" t="s">
        <v>2319</v>
      </c>
      <c r="T1327" t="s">
        <v>30</v>
      </c>
      <c r="U1327" t="s">
        <v>323</v>
      </c>
      <c r="V1327" s="3">
        <v>-3411.27</v>
      </c>
      <c r="W1327" t="s">
        <v>1043</v>
      </c>
      <c r="X1327" s="3">
        <v>-3411.27</v>
      </c>
    </row>
    <row r="1328" spans="1:24" s="2" customFormat="1" x14ac:dyDescent="0.2">
      <c r="A1328" s="2">
        <v>1328</v>
      </c>
      <c r="B1328" t="s">
        <v>1987</v>
      </c>
      <c r="C1328" t="s">
        <v>1988</v>
      </c>
      <c r="D1328" t="s">
        <v>2342</v>
      </c>
      <c r="E1328" t="s">
        <v>30</v>
      </c>
      <c r="F1328" t="s">
        <v>63</v>
      </c>
      <c r="G1328" t="s">
        <v>25</v>
      </c>
      <c r="H1328" t="str">
        <f t="shared" si="40"/>
        <v>2/3 - COMISSÃO PROJETO MARIEL E FAUSTO 2/3 | Recorrência: | Observações: COMISSÃO REFERENTE A PROJETO MARIEL E FAUSTO
VALOR PROJETO R$ 24.000,00 X 3%= R$ 720,00
PAGAMENTO EM 3X SET/OUT/NOV
PAGAMENTO COMISSÃO 3X OUT/NOV/ DEZ</v>
      </c>
      <c r="I1328" t="s">
        <v>491</v>
      </c>
      <c r="J1328" s="5">
        <v>-240</v>
      </c>
      <c r="K1328" s="4">
        <v>598902.05000000005</v>
      </c>
      <c r="L1328" t="s">
        <v>27</v>
      </c>
      <c r="M1328" s="5">
        <v>-240</v>
      </c>
      <c r="N1328" s="3">
        <v>0</v>
      </c>
      <c r="O1328" t="s">
        <v>2319</v>
      </c>
      <c r="P1328" t="s">
        <v>2187</v>
      </c>
      <c r="Q1328" t="s">
        <v>2319</v>
      </c>
      <c r="R1328" t="str">
        <f t="shared" si="41"/>
        <v>Sim</v>
      </c>
      <c r="S1328" t="s">
        <v>2319</v>
      </c>
      <c r="T1328" t="s">
        <v>2255</v>
      </c>
      <c r="U1328" t="s">
        <v>1991</v>
      </c>
      <c r="V1328" s="3">
        <v>-240</v>
      </c>
      <c r="W1328" t="s">
        <v>1722</v>
      </c>
      <c r="X1328" s="3">
        <v>-240</v>
      </c>
    </row>
    <row r="1329" spans="1:24" s="2" customFormat="1" x14ac:dyDescent="0.2">
      <c r="A1329">
        <v>1329</v>
      </c>
      <c r="B1329" t="s">
        <v>1987</v>
      </c>
      <c r="C1329" t="s">
        <v>1988</v>
      </c>
      <c r="D1329" t="s">
        <v>2343</v>
      </c>
      <c r="E1329" t="s">
        <v>30</v>
      </c>
      <c r="F1329" t="s">
        <v>63</v>
      </c>
      <c r="G1329" t="s">
        <v>25</v>
      </c>
      <c r="H1329" t="str">
        <f t="shared" si="40"/>
        <v>1/2 - COMISSÃO PROJETO VIRNA E ERIC 1/2 | Recorrência: | Observações: COMISSÃO PROJETO VIRNA E ERIC
VALOR PROJETO R$ 28.500,00 COMISSÃO DE 3%
VALOR COMISSÃO R$855,00 EM 2X
NOVEMBRO -R$ 427,00
DEZEMBRO-R$ 427,00</v>
      </c>
      <c r="I1329" t="s">
        <v>491</v>
      </c>
      <c r="J1329" s="5">
        <v>-427.5</v>
      </c>
      <c r="K1329" s="4">
        <v>598474.55000000005</v>
      </c>
      <c r="L1329" t="s">
        <v>27</v>
      </c>
      <c r="M1329" s="5">
        <v>-427.5</v>
      </c>
      <c r="N1329" s="3">
        <v>0</v>
      </c>
      <c r="O1329" t="s">
        <v>2319</v>
      </c>
      <c r="P1329" t="s">
        <v>2212</v>
      </c>
      <c r="Q1329" t="s">
        <v>2319</v>
      </c>
      <c r="R1329" t="str">
        <f t="shared" si="41"/>
        <v>Sim</v>
      </c>
      <c r="S1329" t="s">
        <v>2319</v>
      </c>
      <c r="T1329" t="s">
        <v>2344</v>
      </c>
      <c r="U1329" t="s">
        <v>1991</v>
      </c>
      <c r="V1329" s="3">
        <v>-427.5</v>
      </c>
      <c r="W1329" t="s">
        <v>1722</v>
      </c>
      <c r="X1329" s="3">
        <v>-427.5</v>
      </c>
    </row>
    <row r="1330" spans="1:24" s="2" customFormat="1" x14ac:dyDescent="0.2">
      <c r="A1330" s="2">
        <v>1330</v>
      </c>
      <c r="B1330" t="s">
        <v>1987</v>
      </c>
      <c r="C1330" t="s">
        <v>1988</v>
      </c>
      <c r="D1330" t="s">
        <v>2345</v>
      </c>
      <c r="E1330" t="s">
        <v>30</v>
      </c>
      <c r="F1330" t="s">
        <v>63</v>
      </c>
      <c r="G1330" t="s">
        <v>25</v>
      </c>
      <c r="H1330" t="str">
        <f t="shared" si="40"/>
        <v>2/2 - COMISSÃO RITZ 2/2 | Recorrência: | Observações: COMISSÃO REFERENTE A PROJETO ED. RITZ
VALOR PROJETO R$ 10.000,00 X 3%=R$ 300,00
01/10-R$ 150.00
01/11-R$ 150,00</v>
      </c>
      <c r="I1330" t="s">
        <v>491</v>
      </c>
      <c r="J1330" s="5">
        <v>-150</v>
      </c>
      <c r="K1330" s="4">
        <v>598324.55000000005</v>
      </c>
      <c r="L1330" t="s">
        <v>27</v>
      </c>
      <c r="M1330" s="5">
        <v>-150</v>
      </c>
      <c r="N1330" s="3">
        <v>0</v>
      </c>
      <c r="O1330" t="s">
        <v>2319</v>
      </c>
      <c r="P1330" t="s">
        <v>2219</v>
      </c>
      <c r="Q1330" t="s">
        <v>2319</v>
      </c>
      <c r="R1330" t="str">
        <f t="shared" si="41"/>
        <v>Sim</v>
      </c>
      <c r="S1330" t="s">
        <v>2319</v>
      </c>
      <c r="T1330" t="s">
        <v>2257</v>
      </c>
      <c r="U1330" t="s">
        <v>1991</v>
      </c>
      <c r="V1330" s="3">
        <v>-150</v>
      </c>
      <c r="W1330" t="s">
        <v>1722</v>
      </c>
      <c r="X1330" s="3">
        <v>-150</v>
      </c>
    </row>
    <row r="1331" spans="1:24" s="2" customFormat="1" x14ac:dyDescent="0.2">
      <c r="A1331">
        <v>1331</v>
      </c>
      <c r="B1331" t="s">
        <v>1987</v>
      </c>
      <c r="C1331" t="s">
        <v>1988</v>
      </c>
      <c r="D1331" t="s">
        <v>2346</v>
      </c>
      <c r="E1331" t="s">
        <v>30</v>
      </c>
      <c r="F1331" t="s">
        <v>63</v>
      </c>
      <c r="G1331" t="s">
        <v>25</v>
      </c>
      <c r="H1331" t="str">
        <f t="shared" si="40"/>
        <v>1/4 - COMISSÃO GABI E DANIEL 1/4 | Recorrência: | Observações: COMISSÃO REFERENTE AO PROJETO GABRIELA E DANIEL
VALOR PROJETO: R$21.600,00 DIVIDIDO EM 4X
VALOR TOTAL DA COMISSÃO DE 3%=R$ R$648,00/4=R$ R$ 162,00
01/11-R$ 162,00
01/12-R$ 162,00
01/01-R$ 162,00
01/02-R$ 162,00</v>
      </c>
      <c r="I1331" t="s">
        <v>30</v>
      </c>
      <c r="J1331" s="5">
        <v>-162</v>
      </c>
      <c r="K1331" s="4">
        <v>598162.55000000005</v>
      </c>
      <c r="L1331" t="s">
        <v>27</v>
      </c>
      <c r="M1331" s="5">
        <v>-162</v>
      </c>
      <c r="N1331" s="3">
        <v>0</v>
      </c>
      <c r="O1331" t="s">
        <v>2319</v>
      </c>
      <c r="P1331" t="s">
        <v>2268</v>
      </c>
      <c r="Q1331" t="s">
        <v>2319</v>
      </c>
      <c r="R1331" t="str">
        <f t="shared" si="41"/>
        <v>Sim</v>
      </c>
      <c r="S1331" t="s">
        <v>2319</v>
      </c>
      <c r="T1331" t="s">
        <v>2347</v>
      </c>
      <c r="U1331" t="s">
        <v>1991</v>
      </c>
      <c r="V1331" s="3">
        <v>-162</v>
      </c>
      <c r="W1331" t="s">
        <v>1722</v>
      </c>
      <c r="X1331" s="3">
        <v>-162</v>
      </c>
    </row>
    <row r="1332" spans="1:24" s="2" customFormat="1" x14ac:dyDescent="0.2">
      <c r="A1332" s="2">
        <v>1332</v>
      </c>
      <c r="B1332" t="s">
        <v>1987</v>
      </c>
      <c r="C1332" t="s">
        <v>1988</v>
      </c>
      <c r="D1332" t="s">
        <v>2348</v>
      </c>
      <c r="E1332" t="s">
        <v>30</v>
      </c>
      <c r="F1332" t="s">
        <v>63</v>
      </c>
      <c r="G1332" t="s">
        <v>25</v>
      </c>
      <c r="H1332" t="str">
        <f t="shared" si="40"/>
        <v>1/3 - COMISSÃO PROJETO AIR BROOKLIN DIANA E DIOGO 1/3 | Recorrência: | Observações: COMISSÃO REFERENTE AO PROJETO AIR BROOKLIN
VALOR PROJETO R$ 9.000,00X 5%=R$ 450,00/3
01/11-R$ 150,00
01/12-R$ 150,00
01/01-R$ 150.00</v>
      </c>
      <c r="I1332" t="s">
        <v>30</v>
      </c>
      <c r="J1332" s="5">
        <v>-150</v>
      </c>
      <c r="K1332" s="4">
        <v>598012.55000000005</v>
      </c>
      <c r="L1332" t="s">
        <v>27</v>
      </c>
      <c r="M1332" s="5">
        <v>-150</v>
      </c>
      <c r="N1332" s="3">
        <v>0</v>
      </c>
      <c r="O1332" t="s">
        <v>2319</v>
      </c>
      <c r="P1332" t="s">
        <v>2268</v>
      </c>
      <c r="Q1332" t="s">
        <v>2319</v>
      </c>
      <c r="R1332" t="str">
        <f t="shared" si="41"/>
        <v>Sim</v>
      </c>
      <c r="S1332" t="s">
        <v>2319</v>
      </c>
      <c r="T1332" t="s">
        <v>2349</v>
      </c>
      <c r="U1332" t="s">
        <v>1991</v>
      </c>
      <c r="V1332" s="3">
        <v>-150</v>
      </c>
      <c r="W1332" t="s">
        <v>1722</v>
      </c>
      <c r="X1332" s="3">
        <v>-150</v>
      </c>
    </row>
    <row r="1333" spans="1:24" s="2" customFormat="1" x14ac:dyDescent="0.2">
      <c r="A1333">
        <v>1333</v>
      </c>
      <c r="B1333" t="s">
        <v>1987</v>
      </c>
      <c r="C1333" t="s">
        <v>1988</v>
      </c>
      <c r="D1333" t="s">
        <v>2350</v>
      </c>
      <c r="E1333" t="s">
        <v>30</v>
      </c>
      <c r="F1333" t="s">
        <v>63</v>
      </c>
      <c r="G1333" t="s">
        <v>25</v>
      </c>
      <c r="H1333" t="str">
        <f t="shared" si="40"/>
        <v>1/2 - COMISSÃO PROJETO FIGUEREIDO BERTONI 1/2 | Recorrência: | Observações: COMISSÃO PROJETO FIGUEREIDO E BERTONI
R$ 4.000,00X5%=R$ 200,00/2
01/11-R$ 100.00
01/12-R$ 100.00</v>
      </c>
      <c r="I1333" t="s">
        <v>30</v>
      </c>
      <c r="J1333" s="5">
        <v>-100</v>
      </c>
      <c r="K1333" s="4">
        <v>597912.55000000005</v>
      </c>
      <c r="L1333" t="s">
        <v>27</v>
      </c>
      <c r="M1333" s="5">
        <v>-100</v>
      </c>
      <c r="N1333" s="3">
        <v>0</v>
      </c>
      <c r="O1333" t="s">
        <v>2319</v>
      </c>
      <c r="P1333" t="s">
        <v>2268</v>
      </c>
      <c r="Q1333" t="s">
        <v>2319</v>
      </c>
      <c r="R1333" t="str">
        <f t="shared" si="41"/>
        <v>Sim</v>
      </c>
      <c r="S1333" t="s">
        <v>2319</v>
      </c>
      <c r="T1333" t="s">
        <v>2351</v>
      </c>
      <c r="U1333" t="s">
        <v>1991</v>
      </c>
      <c r="V1333" s="3">
        <v>-100</v>
      </c>
      <c r="W1333" t="s">
        <v>1722</v>
      </c>
      <c r="X1333" s="3">
        <v>-100</v>
      </c>
    </row>
    <row r="1334" spans="1:24" s="2" customFormat="1" x14ac:dyDescent="0.2">
      <c r="A1334" s="2">
        <v>1334</v>
      </c>
      <c r="B1334"/>
      <c r="C1334" t="s">
        <v>943</v>
      </c>
      <c r="D1334" t="s">
        <v>2352</v>
      </c>
      <c r="E1334" t="s">
        <v>30</v>
      </c>
      <c r="F1334" t="s">
        <v>24</v>
      </c>
      <c r="G1334" t="s">
        <v>25</v>
      </c>
      <c r="H1334" t="str">
        <f t="shared" si="40"/>
        <v xml:space="preserve">5/5 - GERENCIAMENTO  ATMOSFERA VILA MARIANA | Recorrência: | Observações: </v>
      </c>
      <c r="I1334" t="s">
        <v>491</v>
      </c>
      <c r="J1334" s="4">
        <v>4000</v>
      </c>
      <c r="K1334" s="4">
        <v>601912.55000000005</v>
      </c>
      <c r="L1334" t="s">
        <v>27</v>
      </c>
      <c r="M1334" s="4">
        <v>4000</v>
      </c>
      <c r="N1334" s="3">
        <v>0</v>
      </c>
      <c r="O1334" t="s">
        <v>2319</v>
      </c>
      <c r="P1334" t="s">
        <v>1938</v>
      </c>
      <c r="Q1334" t="s">
        <v>2327</v>
      </c>
      <c r="R1334" t="str">
        <f t="shared" si="41"/>
        <v>Sim</v>
      </c>
      <c r="S1334" t="s">
        <v>2327</v>
      </c>
      <c r="T1334" t="s">
        <v>30</v>
      </c>
      <c r="U1334" t="s">
        <v>274</v>
      </c>
      <c r="V1334" s="3">
        <v>4000</v>
      </c>
      <c r="W1334" t="s">
        <v>166</v>
      </c>
      <c r="X1334" s="3">
        <v>4000</v>
      </c>
    </row>
    <row r="1335" spans="1:24" s="2" customFormat="1" x14ac:dyDescent="0.2">
      <c r="A1335">
        <v>1335</v>
      </c>
      <c r="B1335" t="s">
        <v>2208</v>
      </c>
      <c r="C1335" t="s">
        <v>2209</v>
      </c>
      <c r="D1335" t="s">
        <v>2353</v>
      </c>
      <c r="E1335" t="s">
        <v>30</v>
      </c>
      <c r="F1335" t="s">
        <v>24</v>
      </c>
      <c r="G1335" t="s">
        <v>25</v>
      </c>
      <c r="H1335" t="str">
        <f t="shared" si="40"/>
        <v xml:space="preserve">2/2 - NATUR IND[USTRIA - RT STEPHANIE &gt; PV 5356 2/2 | Recorrência: | Observações: </v>
      </c>
      <c r="I1335" t="s">
        <v>491</v>
      </c>
      <c r="J1335" s="4">
        <v>3770.55</v>
      </c>
      <c r="K1335" s="4">
        <v>605683.1</v>
      </c>
      <c r="L1335" t="s">
        <v>27</v>
      </c>
      <c r="M1335" s="4">
        <v>3770.55</v>
      </c>
      <c r="N1335" s="3">
        <v>0</v>
      </c>
      <c r="O1335" t="s">
        <v>2319</v>
      </c>
      <c r="P1335" t="s">
        <v>2093</v>
      </c>
      <c r="Q1335" t="s">
        <v>2229</v>
      </c>
      <c r="R1335" t="str">
        <f t="shared" si="41"/>
        <v>nao</v>
      </c>
      <c r="S1335" t="s">
        <v>2319</v>
      </c>
      <c r="T1335" t="s">
        <v>30</v>
      </c>
      <c r="U1335" t="s">
        <v>49</v>
      </c>
      <c r="V1335" s="3">
        <v>3770.55</v>
      </c>
      <c r="W1335" t="s">
        <v>494</v>
      </c>
      <c r="X1335" s="3">
        <v>3770.55</v>
      </c>
    </row>
    <row r="1336" spans="1:24" s="2" customFormat="1" x14ac:dyDescent="0.2">
      <c r="A1336" s="2">
        <v>1336</v>
      </c>
      <c r="B1336"/>
      <c r="C1336" t="s">
        <v>153</v>
      </c>
      <c r="D1336" t="s">
        <v>1579</v>
      </c>
      <c r="E1336" t="s">
        <v>955</v>
      </c>
      <c r="F1336" t="s">
        <v>63</v>
      </c>
      <c r="G1336" t="s">
        <v>25</v>
      </c>
      <c r="H1336" t="str">
        <f t="shared" si="40"/>
        <v xml:space="preserve">SALÁRIO ELIANE  | Recorrência:11/12 | Observações: </v>
      </c>
      <c r="I1336" t="s">
        <v>491</v>
      </c>
      <c r="J1336" s="5">
        <v>-1676.33</v>
      </c>
      <c r="K1336" s="4">
        <v>604006.77</v>
      </c>
      <c r="L1336" t="s">
        <v>27</v>
      </c>
      <c r="M1336" s="5">
        <v>-1676.33</v>
      </c>
      <c r="N1336" s="3">
        <v>0</v>
      </c>
      <c r="O1336" t="s">
        <v>2319</v>
      </c>
      <c r="P1336" t="s">
        <v>2354</v>
      </c>
      <c r="Q1336" t="s">
        <v>2319</v>
      </c>
      <c r="R1336" t="str">
        <f t="shared" si="41"/>
        <v>Sim</v>
      </c>
      <c r="S1336" t="s">
        <v>2319</v>
      </c>
      <c r="T1336" t="s">
        <v>30</v>
      </c>
      <c r="U1336" t="s">
        <v>323</v>
      </c>
      <c r="V1336" s="3">
        <v>-1676.33</v>
      </c>
      <c r="W1336" t="s">
        <v>1164</v>
      </c>
      <c r="X1336" s="3">
        <v>-1676.33</v>
      </c>
    </row>
    <row r="1337" spans="1:24" s="2" customFormat="1" x14ac:dyDescent="0.2">
      <c r="A1337">
        <v>1337</v>
      </c>
      <c r="B1337"/>
      <c r="C1337"/>
      <c r="D1337" t="s">
        <v>2355</v>
      </c>
      <c r="E1337" t="s">
        <v>30</v>
      </c>
      <c r="F1337" t="s">
        <v>63</v>
      </c>
      <c r="G1337" t="s">
        <v>25</v>
      </c>
      <c r="H1337" t="str">
        <f t="shared" si="40"/>
        <v>2/2 - COMISSÃO PROJETO LUCIENE E AMAURI 2/2 | Recorrência: | Observações: COMISSÃO PROJETO LUCIENE E AMAURI 
VALOR PROJETO R$ 12.000,00X3%=R$ 360,00
02/10-R$ 180,00
02/11-R$ 180,00</v>
      </c>
      <c r="I1337" t="s">
        <v>491</v>
      </c>
      <c r="J1337" s="5">
        <v>-180</v>
      </c>
      <c r="K1337" s="4">
        <v>603826.77</v>
      </c>
      <c r="L1337" t="s">
        <v>27</v>
      </c>
      <c r="M1337" s="5">
        <v>-180</v>
      </c>
      <c r="N1337" s="3">
        <v>0</v>
      </c>
      <c r="O1337" t="s">
        <v>2250</v>
      </c>
      <c r="P1337" t="s">
        <v>2225</v>
      </c>
      <c r="Q1337" t="s">
        <v>2250</v>
      </c>
      <c r="R1337" t="str">
        <f t="shared" si="41"/>
        <v>Sim</v>
      </c>
      <c r="S1337" t="s">
        <v>2250</v>
      </c>
      <c r="T1337" t="s">
        <v>2259</v>
      </c>
      <c r="U1337" t="s">
        <v>1991</v>
      </c>
      <c r="V1337" s="3">
        <v>-180</v>
      </c>
    </row>
    <row r="1338" spans="1:24" s="2" customFormat="1" x14ac:dyDescent="0.2">
      <c r="A1338" s="2">
        <v>1338</v>
      </c>
      <c r="B1338" t="s">
        <v>1673</v>
      </c>
      <c r="C1338" t="s">
        <v>1674</v>
      </c>
      <c r="D1338" t="s">
        <v>2357</v>
      </c>
      <c r="E1338" t="s">
        <v>30</v>
      </c>
      <c r="F1338" t="s">
        <v>24</v>
      </c>
      <c r="G1338" t="s">
        <v>25</v>
      </c>
      <c r="H1338" t="str">
        <f t="shared" si="40"/>
        <v xml:space="preserve">2/2 - RT PEDIDO 24990310 - CAMILA DOSSE 2/2 | Recorrência: | Observações: </v>
      </c>
      <c r="I1338" t="s">
        <v>491</v>
      </c>
      <c r="J1338" s="4">
        <v>1170</v>
      </c>
      <c r="K1338" s="4">
        <v>604996.77</v>
      </c>
      <c r="L1338" t="s">
        <v>27</v>
      </c>
      <c r="M1338" s="4">
        <v>1170</v>
      </c>
      <c r="N1338" s="3">
        <v>0</v>
      </c>
      <c r="O1338" t="s">
        <v>2356</v>
      </c>
      <c r="P1338" t="s">
        <v>2261</v>
      </c>
      <c r="Q1338" t="s">
        <v>2250</v>
      </c>
      <c r="R1338" t="str">
        <f t="shared" si="41"/>
        <v>Sim</v>
      </c>
      <c r="S1338" t="s">
        <v>2250</v>
      </c>
      <c r="T1338" t="s">
        <v>30</v>
      </c>
      <c r="U1338" t="s">
        <v>49</v>
      </c>
      <c r="V1338" s="3">
        <v>1170</v>
      </c>
      <c r="W1338" t="s">
        <v>494</v>
      </c>
      <c r="X1338" s="3">
        <v>1170</v>
      </c>
    </row>
    <row r="1339" spans="1:24" s="2" customFormat="1" x14ac:dyDescent="0.2">
      <c r="A1339">
        <v>1339</v>
      </c>
      <c r="B1339" t="s">
        <v>647</v>
      </c>
      <c r="C1339" t="s">
        <v>648</v>
      </c>
      <c r="D1339" t="s">
        <v>2358</v>
      </c>
      <c r="E1339" t="s">
        <v>30</v>
      </c>
      <c r="F1339" t="s">
        <v>63</v>
      </c>
      <c r="G1339" t="s">
        <v>25</v>
      </c>
      <c r="H1339" t="str">
        <f t="shared" si="40"/>
        <v xml:space="preserve">11/35 - DARF ISS 11/36 | Recorrência: | Observações: </v>
      </c>
      <c r="I1339" t="s">
        <v>26</v>
      </c>
      <c r="J1339" s="5">
        <v>-838.04</v>
      </c>
      <c r="K1339" s="4">
        <v>604158.73</v>
      </c>
      <c r="L1339" t="s">
        <v>27</v>
      </c>
      <c r="M1339" s="5">
        <v>-838.04</v>
      </c>
      <c r="N1339" s="3">
        <v>0</v>
      </c>
      <c r="O1339" t="s">
        <v>2356</v>
      </c>
      <c r="P1339" t="s">
        <v>1474</v>
      </c>
      <c r="Q1339" t="s">
        <v>2333</v>
      </c>
      <c r="R1339" t="str">
        <f t="shared" si="41"/>
        <v>Sim</v>
      </c>
      <c r="S1339" t="s">
        <v>2333</v>
      </c>
      <c r="T1339" t="s">
        <v>30</v>
      </c>
      <c r="U1339" t="s">
        <v>1098</v>
      </c>
      <c r="V1339" s="3">
        <v>-838.04</v>
      </c>
      <c r="W1339" t="s">
        <v>324</v>
      </c>
      <c r="X1339" s="3">
        <v>-838.04</v>
      </c>
    </row>
    <row r="1340" spans="1:24" s="2" customFormat="1" x14ac:dyDescent="0.2">
      <c r="A1340" s="2">
        <v>1340</v>
      </c>
      <c r="B1340"/>
      <c r="C1340" t="s">
        <v>828</v>
      </c>
      <c r="D1340" t="s">
        <v>830</v>
      </c>
      <c r="E1340" t="s">
        <v>2359</v>
      </c>
      <c r="F1340" t="s">
        <v>63</v>
      </c>
      <c r="G1340" t="s">
        <v>25</v>
      </c>
      <c r="H1340" t="str">
        <f t="shared" si="40"/>
        <v xml:space="preserve">PREFEITURA DO MUNICIPIO DE BERTIOGA | Recorrência:21/41 | Observações: REF.02 PAGAMENTOS </v>
      </c>
      <c r="I1340" t="s">
        <v>26</v>
      </c>
      <c r="J1340" s="5">
        <v>-234.81</v>
      </c>
      <c r="K1340" s="4">
        <v>603923.92000000004</v>
      </c>
      <c r="L1340" t="s">
        <v>27</v>
      </c>
      <c r="M1340" s="5">
        <v>-234.81</v>
      </c>
      <c r="N1340" s="3">
        <v>0</v>
      </c>
      <c r="O1340" t="s">
        <v>2356</v>
      </c>
      <c r="P1340" t="s">
        <v>2360</v>
      </c>
      <c r="Q1340" t="s">
        <v>2361</v>
      </c>
      <c r="R1340" t="str">
        <f t="shared" si="41"/>
        <v>Sim</v>
      </c>
      <c r="S1340" t="s">
        <v>2361</v>
      </c>
      <c r="T1340" t="s">
        <v>831</v>
      </c>
      <c r="U1340" t="s">
        <v>832</v>
      </c>
      <c r="V1340" s="3">
        <v>-234.81</v>
      </c>
    </row>
    <row r="1341" spans="1:24" s="2" customFormat="1" x14ac:dyDescent="0.2">
      <c r="A1341">
        <v>1341</v>
      </c>
      <c r="B1341" t="s">
        <v>647</v>
      </c>
      <c r="C1341" t="s">
        <v>648</v>
      </c>
      <c r="D1341" t="s">
        <v>1544</v>
      </c>
      <c r="E1341" t="s">
        <v>955</v>
      </c>
      <c r="F1341" t="s">
        <v>63</v>
      </c>
      <c r="G1341" t="s">
        <v>25</v>
      </c>
      <c r="H1341" t="str">
        <f t="shared" si="40"/>
        <v xml:space="preserve">HONORARIOS CONTABEIS | Recorrência:11/12 | Observações: </v>
      </c>
      <c r="I1341" t="s">
        <v>26</v>
      </c>
      <c r="J1341" s="5">
        <v>-925</v>
      </c>
      <c r="K1341" s="4">
        <v>602998.92000000004</v>
      </c>
      <c r="L1341" t="s">
        <v>27</v>
      </c>
      <c r="M1341" s="5">
        <v>-925</v>
      </c>
      <c r="N1341" s="3">
        <v>0</v>
      </c>
      <c r="O1341" t="s">
        <v>2356</v>
      </c>
      <c r="P1341" t="s">
        <v>2362</v>
      </c>
      <c r="Q1341" t="s">
        <v>2286</v>
      </c>
      <c r="R1341" t="str">
        <f t="shared" si="41"/>
        <v>Sim</v>
      </c>
      <c r="S1341" t="s">
        <v>2286</v>
      </c>
      <c r="T1341" t="s">
        <v>30</v>
      </c>
      <c r="U1341" t="s">
        <v>608</v>
      </c>
      <c r="V1341" s="3">
        <v>-925</v>
      </c>
      <c r="W1341" t="s">
        <v>297</v>
      </c>
      <c r="X1341" s="3">
        <v>-925</v>
      </c>
    </row>
    <row r="1342" spans="1:24" s="2" customFormat="1" x14ac:dyDescent="0.2">
      <c r="A1342" s="2">
        <v>1342</v>
      </c>
      <c r="B1342" t="s">
        <v>1619</v>
      </c>
      <c r="C1342" t="s">
        <v>112</v>
      </c>
      <c r="D1342" t="s">
        <v>2363</v>
      </c>
      <c r="E1342" t="s">
        <v>30</v>
      </c>
      <c r="F1342" t="s">
        <v>24</v>
      </c>
      <c r="G1342" t="s">
        <v>25</v>
      </c>
      <c r="H1342" t="str">
        <f t="shared" si="40"/>
        <v xml:space="preserve">RT PEDIDO 665 - FARIZE♥LEANDRO | Recorrência: | Observações: </v>
      </c>
      <c r="I1342" t="s">
        <v>491</v>
      </c>
      <c r="J1342" s="4">
        <v>3900</v>
      </c>
      <c r="K1342" s="4">
        <v>606898.92000000004</v>
      </c>
      <c r="L1342" t="s">
        <v>27</v>
      </c>
      <c r="M1342" s="4">
        <v>3900</v>
      </c>
      <c r="N1342" s="3">
        <v>0</v>
      </c>
      <c r="O1342" t="s">
        <v>2248</v>
      </c>
      <c r="P1342" t="s">
        <v>1998</v>
      </c>
      <c r="Q1342" t="s">
        <v>2364</v>
      </c>
      <c r="R1342" t="str">
        <f t="shared" si="41"/>
        <v>Sim</v>
      </c>
      <c r="S1342" t="s">
        <v>2364</v>
      </c>
      <c r="T1342" t="s">
        <v>30</v>
      </c>
      <c r="U1342" t="s">
        <v>49</v>
      </c>
      <c r="V1342" s="3">
        <v>3900</v>
      </c>
      <c r="W1342" t="s">
        <v>494</v>
      </c>
      <c r="X1342" s="3">
        <v>3900</v>
      </c>
    </row>
    <row r="1343" spans="1:24" s="2" customFormat="1" x14ac:dyDescent="0.2">
      <c r="A1343">
        <v>1343</v>
      </c>
      <c r="B1343" t="s">
        <v>1536</v>
      </c>
      <c r="C1343" t="s">
        <v>666</v>
      </c>
      <c r="D1343" t="s">
        <v>667</v>
      </c>
      <c r="E1343" t="s">
        <v>955</v>
      </c>
      <c r="F1343" t="s">
        <v>63</v>
      </c>
      <c r="G1343" t="s">
        <v>25</v>
      </c>
      <c r="H1343" t="str">
        <f t="shared" si="40"/>
        <v xml:space="preserve">TELEFONIA E INTERNET | Recorrência:11/12 | Observações: </v>
      </c>
      <c r="I1343" t="s">
        <v>26</v>
      </c>
      <c r="J1343" s="5">
        <v>-130.09</v>
      </c>
      <c r="K1343" s="4">
        <v>606898.92000000004</v>
      </c>
      <c r="L1343" t="s">
        <v>756</v>
      </c>
      <c r="M1343" s="5">
        <v>-130.09</v>
      </c>
      <c r="N1343" s="3">
        <v>0</v>
      </c>
      <c r="O1343" t="s">
        <v>2248</v>
      </c>
      <c r="P1343" t="s">
        <v>2191</v>
      </c>
      <c r="Q1343" t="s">
        <v>2248</v>
      </c>
      <c r="R1343" t="str">
        <f t="shared" si="41"/>
        <v>Sim</v>
      </c>
      <c r="S1343" t="s">
        <v>2248</v>
      </c>
      <c r="T1343" t="s">
        <v>30</v>
      </c>
      <c r="U1343" t="s">
        <v>670</v>
      </c>
      <c r="V1343" s="3">
        <v>-130.09</v>
      </c>
      <c r="W1343" t="s">
        <v>324</v>
      </c>
      <c r="X1343" s="3">
        <v>-130.09</v>
      </c>
    </row>
    <row r="1344" spans="1:24" s="2" customFormat="1" x14ac:dyDescent="0.2">
      <c r="A1344" s="2">
        <v>1344</v>
      </c>
      <c r="B1344" t="s">
        <v>2365</v>
      </c>
      <c r="C1344" t="s">
        <v>2366</v>
      </c>
      <c r="D1344" t="s">
        <v>2367</v>
      </c>
      <c r="E1344" t="s">
        <v>30</v>
      </c>
      <c r="F1344" t="s">
        <v>24</v>
      </c>
      <c r="G1344" t="s">
        <v>25</v>
      </c>
      <c r="H1344" t="str">
        <f t="shared" si="40"/>
        <v xml:space="preserve">RT  PEDIDO 6672 - CAMILA DOSSE/PAULO RAMOS | Recorrência: | Observações: Cliente realizou 50% do Pagamento. Conforme as condições para o recebimento de RT &gt; somente na metade do Pagamento 
</v>
      </c>
      <c r="I1344" t="s">
        <v>491</v>
      </c>
      <c r="J1344" s="4">
        <v>2459.8000000000002</v>
      </c>
      <c r="K1344" s="4">
        <v>609358.72</v>
      </c>
      <c r="L1344" t="s">
        <v>27</v>
      </c>
      <c r="M1344" s="4">
        <v>2459.8000000000002</v>
      </c>
      <c r="N1344" s="3">
        <v>0</v>
      </c>
      <c r="O1344" t="s">
        <v>2286</v>
      </c>
      <c r="P1344" t="s">
        <v>2201</v>
      </c>
      <c r="Q1344" t="s">
        <v>2333</v>
      </c>
      <c r="R1344" t="str">
        <f t="shared" si="41"/>
        <v>nao</v>
      </c>
      <c r="S1344" t="s">
        <v>2231</v>
      </c>
      <c r="T1344" t="s">
        <v>2368</v>
      </c>
      <c r="U1344" t="s">
        <v>49</v>
      </c>
      <c r="V1344" s="3">
        <v>2459.8000000000002</v>
      </c>
      <c r="W1344" t="s">
        <v>494</v>
      </c>
      <c r="X1344" s="3">
        <v>2459.8000000000002</v>
      </c>
    </row>
    <row r="1345" spans="1:24" s="2" customFormat="1" x14ac:dyDescent="0.2">
      <c r="A1345">
        <v>1345</v>
      </c>
      <c r="B1345" t="s">
        <v>2365</v>
      </c>
      <c r="C1345" t="s">
        <v>2366</v>
      </c>
      <c r="D1345" t="s">
        <v>2369</v>
      </c>
      <c r="E1345" t="s">
        <v>30</v>
      </c>
      <c r="F1345" t="s">
        <v>24</v>
      </c>
      <c r="G1345" t="s">
        <v>25</v>
      </c>
      <c r="H1345" t="str">
        <f t="shared" si="40"/>
        <v xml:space="preserve">RT 0808 RM - VERA PARASMO | Recorrência: | Observações: </v>
      </c>
      <c r="I1345" t="s">
        <v>491</v>
      </c>
      <c r="J1345" s="4">
        <v>457.2</v>
      </c>
      <c r="K1345" s="4">
        <v>609815.92000000004</v>
      </c>
      <c r="L1345" t="s">
        <v>27</v>
      </c>
      <c r="M1345" s="4">
        <v>457.2</v>
      </c>
      <c r="N1345" s="3">
        <v>0</v>
      </c>
      <c r="O1345" t="s">
        <v>2286</v>
      </c>
      <c r="P1345" t="s">
        <v>2037</v>
      </c>
      <c r="Q1345" t="s">
        <v>2370</v>
      </c>
      <c r="R1345" t="str">
        <f t="shared" si="41"/>
        <v>Sim</v>
      </c>
      <c r="S1345" t="s">
        <v>2370</v>
      </c>
      <c r="T1345" t="s">
        <v>30</v>
      </c>
      <c r="U1345" t="s">
        <v>49</v>
      </c>
      <c r="V1345" s="3">
        <v>457.2</v>
      </c>
      <c r="W1345" t="s">
        <v>494</v>
      </c>
      <c r="X1345" s="3">
        <v>457.2</v>
      </c>
    </row>
    <row r="1346" spans="1:24" s="2" customFormat="1" x14ac:dyDescent="0.2">
      <c r="A1346" s="2">
        <v>1346</v>
      </c>
      <c r="B1346" t="s">
        <v>2371</v>
      </c>
      <c r="C1346" t="s">
        <v>2372</v>
      </c>
      <c r="D1346" t="s">
        <v>2373</v>
      </c>
      <c r="E1346" t="s">
        <v>30</v>
      </c>
      <c r="F1346" t="s">
        <v>24</v>
      </c>
      <c r="G1346" t="s">
        <v>25</v>
      </c>
      <c r="H1346" t="str">
        <f t="shared" si="40"/>
        <v xml:space="preserve">RT ED KENSINGTON PARK | Recorrência: | Observações: </v>
      </c>
      <c r="I1346" t="s">
        <v>491</v>
      </c>
      <c r="J1346" s="4">
        <v>398.96</v>
      </c>
      <c r="K1346" s="4">
        <v>610214.88</v>
      </c>
      <c r="L1346" t="s">
        <v>27</v>
      </c>
      <c r="M1346" s="4">
        <v>398.96</v>
      </c>
      <c r="N1346" s="3">
        <v>0</v>
      </c>
      <c r="O1346" t="s">
        <v>2286</v>
      </c>
      <c r="P1346" t="s">
        <v>2374</v>
      </c>
      <c r="Q1346" t="s">
        <v>2286</v>
      </c>
      <c r="R1346" t="str">
        <f t="shared" si="41"/>
        <v>Sim</v>
      </c>
      <c r="S1346" t="s">
        <v>2286</v>
      </c>
      <c r="T1346" t="s">
        <v>30</v>
      </c>
      <c r="U1346" t="s">
        <v>49</v>
      </c>
      <c r="V1346" s="3">
        <v>398.96</v>
      </c>
      <c r="W1346" t="s">
        <v>494</v>
      </c>
      <c r="X1346" s="3">
        <v>398.96</v>
      </c>
    </row>
    <row r="1347" spans="1:24" s="2" customFormat="1" x14ac:dyDescent="0.2">
      <c r="A1347">
        <v>1347</v>
      </c>
      <c r="B1347" t="s">
        <v>2375</v>
      </c>
      <c r="C1347" t="s">
        <v>2376</v>
      </c>
      <c r="D1347" t="s">
        <v>2377</v>
      </c>
      <c r="E1347" t="s">
        <v>30</v>
      </c>
      <c r="F1347" t="s">
        <v>24</v>
      </c>
      <c r="G1347" t="s">
        <v>25</v>
      </c>
      <c r="H1347" t="str">
        <f t="shared" ref="H1347:H1410" si="42">D1347&amp;" | "&amp;$E$1&amp;E1347&amp;" | Observações: "&amp;T1347</f>
        <v>1/6 - GERENCIAMENTO RIVIERA 1/6 | Recorrência: | Observações: EMITIR NF PF - 51.716,40
Maria Isabel C Najm Strapetti 
CPF 073.627.088-40
Endereço: Rua General Fonseca Teles, 64 - Jd. Paulistano - CEP 01429-020 - São Paulo - SP
E-mail: belstrapetti@gmail.com</v>
      </c>
      <c r="I1347" t="s">
        <v>491</v>
      </c>
      <c r="J1347" s="4">
        <v>8621.14</v>
      </c>
      <c r="K1347" s="4">
        <v>618836.02</v>
      </c>
      <c r="L1347" t="s">
        <v>27</v>
      </c>
      <c r="M1347" s="4">
        <v>8621.14</v>
      </c>
      <c r="N1347" s="3">
        <v>0</v>
      </c>
      <c r="O1347" t="s">
        <v>2333</v>
      </c>
      <c r="P1347" t="s">
        <v>2301</v>
      </c>
      <c r="Q1347" t="s">
        <v>2333</v>
      </c>
      <c r="R1347" t="str">
        <f t="shared" ref="R1347:R1410" si="43">IF(Q1347=S1347,"Sim","nao")</f>
        <v>Sim</v>
      </c>
      <c r="S1347" t="s">
        <v>2333</v>
      </c>
      <c r="T1347" t="s">
        <v>2378</v>
      </c>
      <c r="U1347" t="s">
        <v>274</v>
      </c>
      <c r="V1347" s="3">
        <v>8621.14</v>
      </c>
      <c r="W1347" t="s">
        <v>166</v>
      </c>
      <c r="X1347" s="3">
        <v>8621.14</v>
      </c>
    </row>
    <row r="1348" spans="1:24" s="2" customFormat="1" x14ac:dyDescent="0.2">
      <c r="A1348" s="2">
        <v>1348</v>
      </c>
      <c r="B1348" t="s">
        <v>1227</v>
      </c>
      <c r="C1348" t="s">
        <v>849</v>
      </c>
      <c r="D1348" t="s">
        <v>2379</v>
      </c>
      <c r="E1348" t="s">
        <v>30</v>
      </c>
      <c r="F1348" t="s">
        <v>24</v>
      </c>
      <c r="G1348" t="s">
        <v>25</v>
      </c>
      <c r="H1348" t="str">
        <f t="shared" si="42"/>
        <v xml:space="preserve">RT PEDIDO 008035 - TIAGO kOCH | Recorrência: | Observações: </v>
      </c>
      <c r="I1348" t="s">
        <v>491</v>
      </c>
      <c r="J1348" s="4">
        <v>160</v>
      </c>
      <c r="K1348" s="4">
        <v>618996.02</v>
      </c>
      <c r="L1348" t="s">
        <v>27</v>
      </c>
      <c r="M1348" s="4">
        <v>160</v>
      </c>
      <c r="N1348" s="3">
        <v>0</v>
      </c>
      <c r="O1348" t="s">
        <v>2333</v>
      </c>
      <c r="P1348" t="s">
        <v>2173</v>
      </c>
      <c r="Q1348" t="s">
        <v>2333</v>
      </c>
      <c r="R1348" t="str">
        <f t="shared" si="43"/>
        <v>Sim</v>
      </c>
      <c r="S1348" t="s">
        <v>2333</v>
      </c>
      <c r="T1348" t="s">
        <v>30</v>
      </c>
      <c r="U1348" t="s">
        <v>49</v>
      </c>
      <c r="V1348" s="3">
        <v>160</v>
      </c>
      <c r="W1348" t="s">
        <v>494</v>
      </c>
      <c r="X1348" s="3">
        <v>160</v>
      </c>
    </row>
    <row r="1349" spans="1:24" s="2" customFormat="1" x14ac:dyDescent="0.2">
      <c r="A1349">
        <v>1349</v>
      </c>
      <c r="B1349"/>
      <c r="C1349" t="s">
        <v>1111</v>
      </c>
      <c r="D1349" t="s">
        <v>2380</v>
      </c>
      <c r="E1349" t="s">
        <v>30</v>
      </c>
      <c r="F1349" t="s">
        <v>24</v>
      </c>
      <c r="G1349" t="s">
        <v>25</v>
      </c>
      <c r="H1349" t="str">
        <f t="shared" si="42"/>
        <v>1/6 - GERENCIAMENTO RIVIERA  1/6 | Recorrência: | Observações: EMITIR NF PF - 37.435,41
Fábio Najm 
CPF - 030.448.618-37
Endereço - Rua Conselheiro Zacarias, 122 - Jardim Paulista - São Paulo-SP - CEP 01429-020 
E-mail - Fcnajm@gmail.com</v>
      </c>
      <c r="I1349" t="s">
        <v>491</v>
      </c>
      <c r="J1349" s="4">
        <v>6239.24</v>
      </c>
      <c r="K1349" s="4">
        <v>625235.26</v>
      </c>
      <c r="L1349" t="s">
        <v>27</v>
      </c>
      <c r="M1349" s="4">
        <v>6239.24</v>
      </c>
      <c r="N1349" s="3">
        <v>0</v>
      </c>
      <c r="O1349" t="s">
        <v>2333</v>
      </c>
      <c r="P1349" t="s">
        <v>2301</v>
      </c>
      <c r="Q1349" t="s">
        <v>2333</v>
      </c>
      <c r="R1349" t="str">
        <f t="shared" si="43"/>
        <v>Sim</v>
      </c>
      <c r="S1349" t="s">
        <v>2333</v>
      </c>
      <c r="T1349" t="s">
        <v>2381</v>
      </c>
      <c r="U1349" t="s">
        <v>274</v>
      </c>
      <c r="V1349" s="3">
        <v>6239.24</v>
      </c>
      <c r="W1349" t="s">
        <v>166</v>
      </c>
      <c r="X1349" s="3">
        <v>6239.24</v>
      </c>
    </row>
    <row r="1350" spans="1:24" s="2" customFormat="1" x14ac:dyDescent="0.2">
      <c r="A1350" s="2">
        <v>1350</v>
      </c>
      <c r="B1350" t="s">
        <v>1406</v>
      </c>
      <c r="C1350" t="s">
        <v>1407</v>
      </c>
      <c r="D1350" t="s">
        <v>2382</v>
      </c>
      <c r="E1350" t="s">
        <v>30</v>
      </c>
      <c r="F1350" t="s">
        <v>24</v>
      </c>
      <c r="G1350" t="s">
        <v>25</v>
      </c>
      <c r="H1350" t="str">
        <f t="shared" si="42"/>
        <v xml:space="preserve">RT PEDIDO V5083536 - CAMILA DOSSE /PAULO RAMOS | Recorrência: | Observações: </v>
      </c>
      <c r="I1350" t="s">
        <v>491</v>
      </c>
      <c r="J1350" s="4">
        <v>3300</v>
      </c>
      <c r="K1350" s="4">
        <v>625235.26</v>
      </c>
      <c r="L1350" t="s">
        <v>756</v>
      </c>
      <c r="M1350" s="4">
        <v>3300</v>
      </c>
      <c r="N1350" s="3">
        <v>0</v>
      </c>
      <c r="O1350" t="s">
        <v>2333</v>
      </c>
      <c r="P1350" t="s">
        <v>2201</v>
      </c>
      <c r="Q1350" t="s">
        <v>2333</v>
      </c>
      <c r="R1350" t="str">
        <f t="shared" si="43"/>
        <v>Sim</v>
      </c>
      <c r="S1350" t="s">
        <v>2333</v>
      </c>
      <c r="T1350" t="s">
        <v>30</v>
      </c>
      <c r="U1350" t="s">
        <v>49</v>
      </c>
      <c r="V1350" s="3">
        <v>3300</v>
      </c>
      <c r="W1350" t="s">
        <v>494</v>
      </c>
      <c r="X1350" s="3">
        <v>3300</v>
      </c>
    </row>
    <row r="1351" spans="1:24" s="2" customFormat="1" x14ac:dyDescent="0.2">
      <c r="A1351">
        <v>1351</v>
      </c>
      <c r="B1351" t="s">
        <v>1654</v>
      </c>
      <c r="C1351" t="s">
        <v>1655</v>
      </c>
      <c r="D1351" t="s">
        <v>2384</v>
      </c>
      <c r="E1351" t="s">
        <v>30</v>
      </c>
      <c r="F1351" t="s">
        <v>24</v>
      </c>
      <c r="G1351" t="s">
        <v>25</v>
      </c>
      <c r="H1351" t="str">
        <f t="shared" si="42"/>
        <v xml:space="preserve">RT PEDIDO OR 0726 - STEPHANIE | Recorrência: | Observações: </v>
      </c>
      <c r="I1351" t="s">
        <v>491</v>
      </c>
      <c r="J1351" s="4">
        <v>230</v>
      </c>
      <c r="K1351" s="4">
        <v>625465.26</v>
      </c>
      <c r="L1351" t="s">
        <v>27</v>
      </c>
      <c r="M1351" s="4">
        <v>230</v>
      </c>
      <c r="N1351" s="3">
        <v>0</v>
      </c>
      <c r="O1351" t="s">
        <v>2383</v>
      </c>
      <c r="P1351" t="s">
        <v>2135</v>
      </c>
      <c r="Q1351" t="s">
        <v>2364</v>
      </c>
      <c r="R1351" t="str">
        <f t="shared" si="43"/>
        <v>Sim</v>
      </c>
      <c r="S1351" t="s">
        <v>2364</v>
      </c>
      <c r="T1351" t="s">
        <v>30</v>
      </c>
      <c r="U1351" t="s">
        <v>49</v>
      </c>
      <c r="V1351" s="3">
        <v>230</v>
      </c>
      <c r="W1351" t="s">
        <v>494</v>
      </c>
      <c r="X1351" s="3">
        <v>230</v>
      </c>
    </row>
    <row r="1352" spans="1:24" s="2" customFormat="1" x14ac:dyDescent="0.2">
      <c r="A1352" s="2">
        <v>1352</v>
      </c>
      <c r="B1352" t="s">
        <v>1088</v>
      </c>
      <c r="C1352" t="s">
        <v>1089</v>
      </c>
      <c r="D1352" t="s">
        <v>2385</v>
      </c>
      <c r="E1352" t="s">
        <v>30</v>
      </c>
      <c r="F1352" t="s">
        <v>24</v>
      </c>
      <c r="G1352" t="s">
        <v>25</v>
      </c>
      <c r="H1352" t="str">
        <f t="shared" si="42"/>
        <v xml:space="preserve">RT FARIZE E LEANDRO | Recorrência: | Observações: </v>
      </c>
      <c r="I1352" t="s">
        <v>491</v>
      </c>
      <c r="J1352" s="4">
        <v>1000</v>
      </c>
      <c r="K1352" s="4">
        <v>626465.26</v>
      </c>
      <c r="L1352" t="s">
        <v>27</v>
      </c>
      <c r="M1352" s="4">
        <v>1000</v>
      </c>
      <c r="N1352" s="3">
        <v>0</v>
      </c>
      <c r="O1352" t="s">
        <v>2383</v>
      </c>
      <c r="P1352" t="s">
        <v>2374</v>
      </c>
      <c r="Q1352" t="s">
        <v>2383</v>
      </c>
      <c r="R1352" t="str">
        <f t="shared" si="43"/>
        <v>Sim</v>
      </c>
      <c r="S1352" t="s">
        <v>2383</v>
      </c>
      <c r="T1352" t="s">
        <v>30</v>
      </c>
      <c r="U1352" t="s">
        <v>49</v>
      </c>
      <c r="V1352" s="3">
        <v>1000</v>
      </c>
      <c r="W1352" t="s">
        <v>494</v>
      </c>
      <c r="X1352" s="3">
        <v>1000</v>
      </c>
    </row>
    <row r="1353" spans="1:24" s="2" customFormat="1" x14ac:dyDescent="0.2">
      <c r="A1353">
        <v>1353</v>
      </c>
      <c r="B1353" t="s">
        <v>1088</v>
      </c>
      <c r="C1353" t="s">
        <v>1089</v>
      </c>
      <c r="D1353" t="s">
        <v>2386</v>
      </c>
      <c r="E1353" t="s">
        <v>30</v>
      </c>
      <c r="F1353" t="s">
        <v>24</v>
      </c>
      <c r="G1353" t="s">
        <v>25</v>
      </c>
      <c r="H1353" t="str">
        <f t="shared" si="42"/>
        <v xml:space="preserve">RT  CAMILA E PAULO | Recorrência: | Observações: </v>
      </c>
      <c r="I1353" t="s">
        <v>491</v>
      </c>
      <c r="J1353" s="4">
        <v>3280</v>
      </c>
      <c r="K1353" s="4">
        <v>629745.26</v>
      </c>
      <c r="L1353" t="s">
        <v>27</v>
      </c>
      <c r="M1353" s="4">
        <v>3280</v>
      </c>
      <c r="N1353" s="3">
        <v>0</v>
      </c>
      <c r="O1353" t="s">
        <v>2374</v>
      </c>
      <c r="P1353" t="s">
        <v>2374</v>
      </c>
      <c r="Q1353" t="s">
        <v>2374</v>
      </c>
      <c r="R1353" t="str">
        <f t="shared" si="43"/>
        <v>Sim</v>
      </c>
      <c r="S1353" t="s">
        <v>2374</v>
      </c>
      <c r="T1353" t="s">
        <v>30</v>
      </c>
      <c r="U1353" t="s">
        <v>49</v>
      </c>
      <c r="V1353" s="3">
        <v>3280</v>
      </c>
      <c r="W1353" t="s">
        <v>494</v>
      </c>
      <c r="X1353" s="3">
        <v>3280</v>
      </c>
    </row>
    <row r="1354" spans="1:24" s="2" customFormat="1" x14ac:dyDescent="0.2">
      <c r="A1354" s="2">
        <v>1354</v>
      </c>
      <c r="B1354"/>
      <c r="C1354" t="s">
        <v>595</v>
      </c>
      <c r="D1354" t="s">
        <v>2387</v>
      </c>
      <c r="E1354" t="s">
        <v>30</v>
      </c>
      <c r="F1354" t="s">
        <v>63</v>
      </c>
      <c r="G1354" t="s">
        <v>25</v>
      </c>
      <c r="H1354" t="str">
        <f t="shared" si="42"/>
        <v xml:space="preserve">PRESTAÇÃO DE SERVIÇOS INFORMÁTICA | Recorrência: | Observações: </v>
      </c>
      <c r="I1354" t="s">
        <v>1113</v>
      </c>
      <c r="J1354" s="5">
        <v>-330</v>
      </c>
      <c r="K1354" s="4">
        <v>629415.26</v>
      </c>
      <c r="L1354" t="s">
        <v>27</v>
      </c>
      <c r="M1354" s="5">
        <v>-330</v>
      </c>
      <c r="N1354" s="3">
        <v>0</v>
      </c>
      <c r="O1354" t="s">
        <v>2374</v>
      </c>
      <c r="P1354" t="s">
        <v>2374</v>
      </c>
      <c r="Q1354" t="s">
        <v>2374</v>
      </c>
      <c r="R1354" t="str">
        <f t="shared" si="43"/>
        <v>Sim</v>
      </c>
      <c r="S1354" t="s">
        <v>2374</v>
      </c>
      <c r="T1354" t="s">
        <v>30</v>
      </c>
      <c r="U1354" t="s">
        <v>344</v>
      </c>
      <c r="V1354" s="3">
        <v>-330</v>
      </c>
      <c r="W1354" t="s">
        <v>1722</v>
      </c>
      <c r="X1354" s="3">
        <v>-330</v>
      </c>
    </row>
    <row r="1355" spans="1:24" s="2" customFormat="1" x14ac:dyDescent="0.2">
      <c r="A1355">
        <v>1355</v>
      </c>
      <c r="B1355" t="s">
        <v>2388</v>
      </c>
      <c r="C1355" t="s">
        <v>2389</v>
      </c>
      <c r="D1355" t="s">
        <v>2390</v>
      </c>
      <c r="E1355" t="s">
        <v>30</v>
      </c>
      <c r="F1355" t="s">
        <v>63</v>
      </c>
      <c r="G1355" t="s">
        <v>25</v>
      </c>
      <c r="H1355" t="str">
        <f t="shared" si="42"/>
        <v xml:space="preserve">RENOVAÇÃO ANUIDADE CONTA AZUL PLATAFORMA FINANCEIRA | Recorrência: | Observações: </v>
      </c>
      <c r="I1355" t="s">
        <v>26</v>
      </c>
      <c r="J1355" s="5">
        <v>-2195.23</v>
      </c>
      <c r="K1355" s="4">
        <v>627220.03</v>
      </c>
      <c r="L1355" t="s">
        <v>27</v>
      </c>
      <c r="M1355" s="5">
        <v>-2195.23</v>
      </c>
      <c r="N1355" s="3">
        <v>0</v>
      </c>
      <c r="O1355" t="s">
        <v>2374</v>
      </c>
      <c r="P1355" t="s">
        <v>2333</v>
      </c>
      <c r="Q1355" t="s">
        <v>2383</v>
      </c>
      <c r="R1355" t="str">
        <f t="shared" si="43"/>
        <v>Sim</v>
      </c>
      <c r="S1355" t="s">
        <v>2383</v>
      </c>
      <c r="T1355" t="s">
        <v>30</v>
      </c>
      <c r="U1355" t="s">
        <v>1421</v>
      </c>
      <c r="V1355" s="3">
        <v>-2195.23</v>
      </c>
      <c r="W1355" t="s">
        <v>1722</v>
      </c>
      <c r="X1355" s="3">
        <v>-2195.23</v>
      </c>
    </row>
    <row r="1356" spans="1:24" s="2" customFormat="1" x14ac:dyDescent="0.2">
      <c r="A1356" s="2">
        <v>1356</v>
      </c>
      <c r="B1356" t="s">
        <v>1088</v>
      </c>
      <c r="C1356" t="s">
        <v>1089</v>
      </c>
      <c r="D1356" t="s">
        <v>2391</v>
      </c>
      <c r="E1356" t="s">
        <v>30</v>
      </c>
      <c r="F1356" t="s">
        <v>24</v>
      </c>
      <c r="G1356" t="s">
        <v>25</v>
      </c>
      <c r="H1356" t="str">
        <f t="shared" si="42"/>
        <v xml:space="preserve">RT CAMILA DOSSE | Recorrência: | Observações: </v>
      </c>
      <c r="I1356" t="s">
        <v>991</v>
      </c>
      <c r="J1356" s="4">
        <v>1000</v>
      </c>
      <c r="K1356" s="4">
        <v>628220.03</v>
      </c>
      <c r="L1356" t="s">
        <v>27</v>
      </c>
      <c r="M1356" s="4">
        <v>1000</v>
      </c>
      <c r="N1356" s="3">
        <v>0</v>
      </c>
      <c r="O1356" t="s">
        <v>2374</v>
      </c>
      <c r="P1356" t="s">
        <v>2392</v>
      </c>
      <c r="Q1356" t="s">
        <v>2374</v>
      </c>
      <c r="R1356" t="str">
        <f t="shared" si="43"/>
        <v>Sim</v>
      </c>
      <c r="S1356" t="s">
        <v>2374</v>
      </c>
      <c r="T1356" t="s">
        <v>30</v>
      </c>
      <c r="U1356" t="s">
        <v>49</v>
      </c>
      <c r="V1356" s="3">
        <v>1000</v>
      </c>
      <c r="W1356" t="s">
        <v>494</v>
      </c>
      <c r="X1356" s="3">
        <v>1000</v>
      </c>
    </row>
    <row r="1357" spans="1:24" s="2" customFormat="1" x14ac:dyDescent="0.2">
      <c r="A1357">
        <v>1357</v>
      </c>
      <c r="B1357" t="s">
        <v>1088</v>
      </c>
      <c r="C1357" t="s">
        <v>1089</v>
      </c>
      <c r="D1357" t="s">
        <v>2393</v>
      </c>
      <c r="E1357" t="s">
        <v>30</v>
      </c>
      <c r="F1357" t="s">
        <v>24</v>
      </c>
      <c r="G1357" t="s">
        <v>25</v>
      </c>
      <c r="H1357" t="str">
        <f t="shared" si="42"/>
        <v xml:space="preserve">RT - FARIZE | Recorrência: | Observações: </v>
      </c>
      <c r="I1357" t="s">
        <v>991</v>
      </c>
      <c r="J1357" s="4">
        <v>1000</v>
      </c>
      <c r="K1357" s="4">
        <v>629220.03</v>
      </c>
      <c r="L1357" t="s">
        <v>27</v>
      </c>
      <c r="M1357" s="4">
        <v>1000</v>
      </c>
      <c r="N1357" s="3">
        <v>0</v>
      </c>
      <c r="O1357" t="s">
        <v>2374</v>
      </c>
      <c r="P1357" t="s">
        <v>2374</v>
      </c>
      <c r="Q1357" t="s">
        <v>2374</v>
      </c>
      <c r="R1357" t="str">
        <f t="shared" si="43"/>
        <v>Sim</v>
      </c>
      <c r="S1357" t="s">
        <v>2374</v>
      </c>
      <c r="T1357" t="s">
        <v>30</v>
      </c>
      <c r="U1357" t="s">
        <v>49</v>
      </c>
      <c r="V1357" s="3">
        <v>1000</v>
      </c>
      <c r="W1357" t="s">
        <v>494</v>
      </c>
      <c r="X1357" s="3">
        <v>1000</v>
      </c>
    </row>
    <row r="1358" spans="1:24" s="2" customFormat="1" x14ac:dyDescent="0.2">
      <c r="A1358" s="2">
        <v>1358</v>
      </c>
      <c r="B1358" t="s">
        <v>647</v>
      </c>
      <c r="C1358" t="s">
        <v>648</v>
      </c>
      <c r="D1358" t="s">
        <v>1556</v>
      </c>
      <c r="E1358" t="s">
        <v>955</v>
      </c>
      <c r="F1358" t="s">
        <v>63</v>
      </c>
      <c r="G1358" t="s">
        <v>25</v>
      </c>
      <c r="H1358" t="str">
        <f t="shared" si="42"/>
        <v xml:space="preserve">DARF PREVIDÊNCIARIO | Recorrência:11/12 | Observações: </v>
      </c>
      <c r="I1358" t="s">
        <v>26</v>
      </c>
      <c r="J1358" s="5">
        <v>-1459.36</v>
      </c>
      <c r="K1358" s="4">
        <v>627760.67000000004</v>
      </c>
      <c r="L1358" t="s">
        <v>27</v>
      </c>
      <c r="M1358" s="5">
        <v>-1459.36</v>
      </c>
      <c r="N1358" s="3">
        <v>0</v>
      </c>
      <c r="O1358" t="s">
        <v>2394</v>
      </c>
      <c r="P1358" t="s">
        <v>2395</v>
      </c>
      <c r="Q1358" t="s">
        <v>2364</v>
      </c>
      <c r="R1358" t="str">
        <f t="shared" si="43"/>
        <v>nao</v>
      </c>
      <c r="S1358" t="s">
        <v>2396</v>
      </c>
      <c r="T1358" t="s">
        <v>30</v>
      </c>
      <c r="U1358" t="s">
        <v>601</v>
      </c>
      <c r="V1358" s="3">
        <v>-1459.36</v>
      </c>
      <c r="W1358" t="s">
        <v>376</v>
      </c>
      <c r="X1358" s="3">
        <v>-1459.36</v>
      </c>
    </row>
    <row r="1359" spans="1:24" s="2" customFormat="1" x14ac:dyDescent="0.2">
      <c r="A1359">
        <v>1359</v>
      </c>
      <c r="B1359" t="s">
        <v>2274</v>
      </c>
      <c r="C1359" t="s">
        <v>2275</v>
      </c>
      <c r="D1359" t="s">
        <v>2397</v>
      </c>
      <c r="E1359" t="s">
        <v>30</v>
      </c>
      <c r="F1359" t="s">
        <v>24</v>
      </c>
      <c r="G1359" t="s">
        <v>25</v>
      </c>
      <c r="H1359" t="str">
        <f t="shared" si="42"/>
        <v xml:space="preserve">2/3 - RT &gt; P 1500 / P 15394 / P1094 2/3 | Recorrência: | Observações: Cliente: Baltimore Participações LTDA  - (Stephanie)
Pedido: P-1500
Valor da venda: R$ 38.400,00
RT R$ 1.828,00
Cliente: Amauri Marchi
Pedido: 15394
Valor da venda: R$ 154.000,00
RT R$ 6.300,40
Cliente: Baltimore Participações LTDA -  (Stephanie)
Pedido: P-1094
Valor da venda: R$ 80.400
RT R$ 3.828,60
</v>
      </c>
      <c r="I1359" t="s">
        <v>491</v>
      </c>
      <c r="J1359" s="4">
        <v>4000</v>
      </c>
      <c r="K1359" s="4">
        <v>631760.67000000004</v>
      </c>
      <c r="L1359" t="s">
        <v>27</v>
      </c>
      <c r="M1359" s="4">
        <v>4000</v>
      </c>
      <c r="N1359" s="3">
        <v>0</v>
      </c>
      <c r="O1359" t="s">
        <v>2394</v>
      </c>
      <c r="P1359" t="s">
        <v>2189</v>
      </c>
      <c r="Q1359" t="s">
        <v>2370</v>
      </c>
      <c r="R1359" t="str">
        <f t="shared" si="43"/>
        <v>Sim</v>
      </c>
      <c r="S1359" t="s">
        <v>2370</v>
      </c>
      <c r="T1359" t="s">
        <v>2277</v>
      </c>
      <c r="U1359" t="s">
        <v>49</v>
      </c>
      <c r="V1359" s="3">
        <v>4000</v>
      </c>
      <c r="W1359" t="s">
        <v>494</v>
      </c>
      <c r="X1359" s="3">
        <v>4000</v>
      </c>
    </row>
    <row r="1360" spans="1:24" s="2" customFormat="1" x14ac:dyDescent="0.2">
      <c r="A1360" s="2">
        <v>1360</v>
      </c>
      <c r="B1360" t="s">
        <v>1373</v>
      </c>
      <c r="C1360" t="s">
        <v>1374</v>
      </c>
      <c r="D1360" t="s">
        <v>2398</v>
      </c>
      <c r="E1360" t="s">
        <v>30</v>
      </c>
      <c r="F1360" t="s">
        <v>24</v>
      </c>
      <c r="G1360" t="s">
        <v>25</v>
      </c>
      <c r="H1360" t="str">
        <f t="shared" si="42"/>
        <v xml:space="preserve">1/5 - GERENCIAMENTO  O PARQUE  1/5 | Recorrência: | Observações: </v>
      </c>
      <c r="I1360" t="s">
        <v>491</v>
      </c>
      <c r="J1360" s="4">
        <v>3500</v>
      </c>
      <c r="K1360" s="4">
        <v>635260.67000000004</v>
      </c>
      <c r="L1360" t="s">
        <v>27</v>
      </c>
      <c r="M1360" s="4">
        <v>3500</v>
      </c>
      <c r="N1360" s="3">
        <v>0</v>
      </c>
      <c r="O1360" t="s">
        <v>2394</v>
      </c>
      <c r="P1360" t="s">
        <v>1938</v>
      </c>
      <c r="Q1360" t="s">
        <v>2370</v>
      </c>
      <c r="R1360" t="str">
        <f t="shared" si="43"/>
        <v>Sim</v>
      </c>
      <c r="S1360" t="s">
        <v>2370</v>
      </c>
      <c r="T1360" t="s">
        <v>30</v>
      </c>
      <c r="U1360" t="s">
        <v>274</v>
      </c>
      <c r="V1360" s="3">
        <v>3500</v>
      </c>
      <c r="W1360" t="s">
        <v>166</v>
      </c>
      <c r="X1360" s="3">
        <v>3500</v>
      </c>
    </row>
    <row r="1361" spans="1:24" s="2" customFormat="1" x14ac:dyDescent="0.2">
      <c r="A1361">
        <v>1361</v>
      </c>
      <c r="B1361" t="s">
        <v>1088</v>
      </c>
      <c r="C1361" t="s">
        <v>1089</v>
      </c>
      <c r="D1361" t="s">
        <v>2385</v>
      </c>
      <c r="E1361" t="s">
        <v>30</v>
      </c>
      <c r="F1361" t="s">
        <v>24</v>
      </c>
      <c r="G1361" t="s">
        <v>25</v>
      </c>
      <c r="H1361" t="str">
        <f t="shared" si="42"/>
        <v xml:space="preserve">RT FARIZE E LEANDRO | Recorrência: | Observações: </v>
      </c>
      <c r="I1361" t="s">
        <v>491</v>
      </c>
      <c r="J1361" s="4">
        <v>410</v>
      </c>
      <c r="K1361" s="4">
        <v>635670.67000000004</v>
      </c>
      <c r="L1361" t="s">
        <v>27</v>
      </c>
      <c r="M1361" s="4">
        <v>410</v>
      </c>
      <c r="N1361" s="3">
        <v>0</v>
      </c>
      <c r="O1361" t="s">
        <v>2364</v>
      </c>
      <c r="P1361" t="s">
        <v>2364</v>
      </c>
      <c r="Q1361" t="s">
        <v>2364</v>
      </c>
      <c r="R1361" t="str">
        <f t="shared" si="43"/>
        <v>Sim</v>
      </c>
      <c r="S1361" t="s">
        <v>2364</v>
      </c>
      <c r="T1361" t="s">
        <v>30</v>
      </c>
      <c r="U1361" t="s">
        <v>49</v>
      </c>
      <c r="V1361" s="3">
        <v>410</v>
      </c>
      <c r="W1361" t="s">
        <v>494</v>
      </c>
      <c r="X1361" s="3">
        <v>410</v>
      </c>
    </row>
    <row r="1362" spans="1:24" s="2" customFormat="1" x14ac:dyDescent="0.2">
      <c r="A1362" s="2">
        <v>1362</v>
      </c>
      <c r="B1362" t="s">
        <v>1810</v>
      </c>
      <c r="C1362" t="s">
        <v>1811</v>
      </c>
      <c r="D1362" t="s">
        <v>2399</v>
      </c>
      <c r="E1362" t="s">
        <v>30</v>
      </c>
      <c r="F1362" t="s">
        <v>24</v>
      </c>
      <c r="G1362" t="s">
        <v>25</v>
      </c>
      <c r="H1362" t="str">
        <f t="shared" si="42"/>
        <v xml:space="preserve">2/3 - GERENCIAMENTO - EDIFICIO D'ORU 2/3 | Recorrência: | Observações: </v>
      </c>
      <c r="I1362" t="s">
        <v>491</v>
      </c>
      <c r="J1362" s="4">
        <v>1815.5</v>
      </c>
      <c r="K1362" s="4">
        <v>637486.17000000004</v>
      </c>
      <c r="L1362" t="s">
        <v>27</v>
      </c>
      <c r="M1362" s="4">
        <v>1815.5</v>
      </c>
      <c r="N1362" s="3">
        <v>0</v>
      </c>
      <c r="O1362" t="s">
        <v>2364</v>
      </c>
      <c r="P1362" t="s">
        <v>2038</v>
      </c>
      <c r="Q1362" t="s">
        <v>2400</v>
      </c>
      <c r="R1362" t="str">
        <f t="shared" si="43"/>
        <v>Sim</v>
      </c>
      <c r="S1362" t="s">
        <v>2400</v>
      </c>
      <c r="T1362" t="s">
        <v>30</v>
      </c>
      <c r="U1362" t="s">
        <v>40</v>
      </c>
      <c r="V1362" s="3">
        <v>1815.5</v>
      </c>
      <c r="W1362" t="s">
        <v>166</v>
      </c>
      <c r="X1362" s="3">
        <v>1815.5</v>
      </c>
    </row>
    <row r="1363" spans="1:24" s="2" customFormat="1" x14ac:dyDescent="0.2">
      <c r="A1363">
        <v>1363</v>
      </c>
      <c r="B1363" t="s">
        <v>2109</v>
      </c>
      <c r="C1363" t="s">
        <v>2110</v>
      </c>
      <c r="D1363" t="s">
        <v>2402</v>
      </c>
      <c r="E1363" t="s">
        <v>30</v>
      </c>
      <c r="F1363" t="s">
        <v>24</v>
      </c>
      <c r="G1363" t="s">
        <v>25</v>
      </c>
      <c r="H1363" t="str">
        <f t="shared" si="42"/>
        <v xml:space="preserve">2/3 - GERENCIAMENTO PROJETO CORPORATIVO  2/3 | Recorrência: | Observações: </v>
      </c>
      <c r="I1363" t="s">
        <v>491</v>
      </c>
      <c r="J1363" s="4">
        <v>2500</v>
      </c>
      <c r="K1363" s="4">
        <v>639986.17000000004</v>
      </c>
      <c r="L1363" t="s">
        <v>27</v>
      </c>
      <c r="M1363" s="4">
        <v>2500</v>
      </c>
      <c r="N1363" s="3">
        <v>0</v>
      </c>
      <c r="O1363" t="s">
        <v>2401</v>
      </c>
      <c r="P1363" t="s">
        <v>2099</v>
      </c>
      <c r="Q1363" t="s">
        <v>2383</v>
      </c>
      <c r="R1363" t="str">
        <f t="shared" si="43"/>
        <v>Sim</v>
      </c>
      <c r="S1363" t="s">
        <v>2383</v>
      </c>
      <c r="T1363" t="s">
        <v>30</v>
      </c>
      <c r="U1363" t="s">
        <v>274</v>
      </c>
      <c r="V1363" s="3">
        <v>2500</v>
      </c>
      <c r="W1363" t="s">
        <v>166</v>
      </c>
      <c r="X1363" s="3">
        <v>2500</v>
      </c>
    </row>
    <row r="1364" spans="1:24" s="2" customFormat="1" x14ac:dyDescent="0.2">
      <c r="A1364" s="2">
        <v>1364</v>
      </c>
      <c r="B1364" t="s">
        <v>2119</v>
      </c>
      <c r="C1364" t="s">
        <v>2120</v>
      </c>
      <c r="D1364" t="s">
        <v>2403</v>
      </c>
      <c r="E1364" t="s">
        <v>30</v>
      </c>
      <c r="F1364" t="s">
        <v>24</v>
      </c>
      <c r="G1364" t="s">
        <v>25</v>
      </c>
      <c r="H1364" t="str">
        <f t="shared" si="42"/>
        <v xml:space="preserve">3/4 - RT DIFERNÇA _ AMAURI E LUCIENE ACAPULGO GUARUJÁ 3/4 | Recorrência: | Observações: </v>
      </c>
      <c r="I1364" t="s">
        <v>491</v>
      </c>
      <c r="J1364" s="4">
        <v>490</v>
      </c>
      <c r="K1364" s="4">
        <v>640476.17000000004</v>
      </c>
      <c r="L1364" t="s">
        <v>27</v>
      </c>
      <c r="M1364" s="4">
        <v>490</v>
      </c>
      <c r="N1364" s="3">
        <v>0</v>
      </c>
      <c r="O1364" t="s">
        <v>2401</v>
      </c>
      <c r="P1364" t="s">
        <v>2122</v>
      </c>
      <c r="Q1364" t="s">
        <v>2404</v>
      </c>
      <c r="R1364" t="str">
        <f t="shared" si="43"/>
        <v>Sim</v>
      </c>
      <c r="S1364" t="s">
        <v>2404</v>
      </c>
      <c r="T1364" t="s">
        <v>30</v>
      </c>
      <c r="U1364" t="s">
        <v>49</v>
      </c>
      <c r="V1364" s="3">
        <v>490</v>
      </c>
      <c r="W1364" t="s">
        <v>494</v>
      </c>
      <c r="X1364" s="3">
        <v>490</v>
      </c>
    </row>
    <row r="1365" spans="1:24" s="2" customFormat="1" x14ac:dyDescent="0.2">
      <c r="A1365">
        <v>1365</v>
      </c>
      <c r="B1365" t="s">
        <v>1515</v>
      </c>
      <c r="C1365" t="s">
        <v>1516</v>
      </c>
      <c r="D1365" t="s">
        <v>2405</v>
      </c>
      <c r="E1365" t="s">
        <v>30</v>
      </c>
      <c r="F1365" t="s">
        <v>24</v>
      </c>
      <c r="G1365" t="s">
        <v>25</v>
      </c>
      <c r="H1365" t="str">
        <f t="shared" si="42"/>
        <v xml:space="preserve">RT PJ 15422 - DIANA/DIOGO &gt;O PARQUE | Recorrência: | Observações: </v>
      </c>
      <c r="I1365" t="s">
        <v>491</v>
      </c>
      <c r="J1365" s="4">
        <v>171.76</v>
      </c>
      <c r="K1365" s="4">
        <v>640647.93000000005</v>
      </c>
      <c r="L1365" t="s">
        <v>27</v>
      </c>
      <c r="M1365" s="4">
        <v>171.76</v>
      </c>
      <c r="N1365" s="3">
        <v>0</v>
      </c>
      <c r="O1365" t="s">
        <v>2401</v>
      </c>
      <c r="P1365" t="s">
        <v>2333</v>
      </c>
      <c r="Q1365" t="s">
        <v>2329</v>
      </c>
      <c r="R1365" t="str">
        <f t="shared" si="43"/>
        <v>Sim</v>
      </c>
      <c r="S1365" t="s">
        <v>2329</v>
      </c>
      <c r="T1365" t="s">
        <v>30</v>
      </c>
      <c r="U1365" t="s">
        <v>49</v>
      </c>
      <c r="V1365" s="3">
        <v>171.76</v>
      </c>
      <c r="W1365" t="s">
        <v>494</v>
      </c>
      <c r="X1365" s="3">
        <v>171.76</v>
      </c>
    </row>
    <row r="1366" spans="1:24" s="2" customFormat="1" x14ac:dyDescent="0.2">
      <c r="A1366" s="2">
        <v>1366</v>
      </c>
      <c r="B1366" t="s">
        <v>647</v>
      </c>
      <c r="C1366" t="s">
        <v>648</v>
      </c>
      <c r="D1366" t="s">
        <v>1794</v>
      </c>
      <c r="E1366" t="s">
        <v>955</v>
      </c>
      <c r="F1366" t="s">
        <v>63</v>
      </c>
      <c r="G1366" t="s">
        <v>25</v>
      </c>
      <c r="H1366" t="str">
        <f t="shared" si="42"/>
        <v xml:space="preserve">DARF COFINS - | Recorrência:11/12 | Observações: </v>
      </c>
      <c r="I1366" t="s">
        <v>26</v>
      </c>
      <c r="J1366" s="5">
        <v>-70.760000000000005</v>
      </c>
      <c r="K1366" s="4">
        <v>640577.17000000004</v>
      </c>
      <c r="L1366" t="s">
        <v>27</v>
      </c>
      <c r="M1366" s="5">
        <v>-70.760000000000005</v>
      </c>
      <c r="N1366" s="3">
        <v>0</v>
      </c>
      <c r="O1366" t="s">
        <v>2406</v>
      </c>
      <c r="P1366" t="s">
        <v>2229</v>
      </c>
      <c r="Q1366" t="s">
        <v>2406</v>
      </c>
      <c r="R1366" t="str">
        <f t="shared" si="43"/>
        <v>Sim</v>
      </c>
      <c r="S1366" t="s">
        <v>2406</v>
      </c>
      <c r="T1366" t="s">
        <v>30</v>
      </c>
      <c r="U1366" t="s">
        <v>1508</v>
      </c>
      <c r="V1366" s="3">
        <v>-70.760000000000005</v>
      </c>
      <c r="W1366" t="s">
        <v>297</v>
      </c>
      <c r="X1366" s="3">
        <v>-70.760000000000005</v>
      </c>
    </row>
    <row r="1367" spans="1:24" s="2" customFormat="1" x14ac:dyDescent="0.2">
      <c r="A1367">
        <v>1367</v>
      </c>
      <c r="B1367" t="s">
        <v>647</v>
      </c>
      <c r="C1367" t="s">
        <v>648</v>
      </c>
      <c r="D1367" t="s">
        <v>2407</v>
      </c>
      <c r="E1367" t="s">
        <v>30</v>
      </c>
      <c r="F1367" t="s">
        <v>63</v>
      </c>
      <c r="G1367" t="s">
        <v>25</v>
      </c>
      <c r="H1367" t="str">
        <f t="shared" si="42"/>
        <v xml:space="preserve">5/59 - DARF PIS 5/60 | Recorrência: | Observações: </v>
      </c>
      <c r="I1367" t="s">
        <v>26</v>
      </c>
      <c r="J1367" s="5">
        <v>-15.33</v>
      </c>
      <c r="K1367" s="4">
        <v>640561.84</v>
      </c>
      <c r="L1367" t="s">
        <v>27</v>
      </c>
      <c r="M1367" s="5">
        <v>-15.33</v>
      </c>
      <c r="N1367" s="3">
        <v>0</v>
      </c>
      <c r="O1367" t="s">
        <v>2406</v>
      </c>
      <c r="P1367" t="s">
        <v>1502</v>
      </c>
      <c r="Q1367" t="s">
        <v>2396</v>
      </c>
      <c r="R1367" t="str">
        <f t="shared" si="43"/>
        <v>Sim</v>
      </c>
      <c r="S1367" t="s">
        <v>2396</v>
      </c>
      <c r="T1367" t="s">
        <v>30</v>
      </c>
      <c r="U1367" t="s">
        <v>601</v>
      </c>
      <c r="V1367" s="3">
        <v>-15.33</v>
      </c>
      <c r="W1367" t="s">
        <v>324</v>
      </c>
      <c r="X1367" s="3">
        <v>-15.33</v>
      </c>
    </row>
    <row r="1368" spans="1:24" s="2" customFormat="1" x14ac:dyDescent="0.2">
      <c r="A1368" s="2">
        <v>1368</v>
      </c>
      <c r="B1368" t="s">
        <v>1654</v>
      </c>
      <c r="C1368" t="s">
        <v>1655</v>
      </c>
      <c r="D1368" t="s">
        <v>2408</v>
      </c>
      <c r="E1368" t="s">
        <v>30</v>
      </c>
      <c r="F1368" t="s">
        <v>24</v>
      </c>
      <c r="G1368" t="s">
        <v>25</v>
      </c>
      <c r="H1368" t="str">
        <f t="shared" si="42"/>
        <v xml:space="preserve">RT PEDIDO OR 0919 - DIANA E DIOGO &gt;O PARQUE | Recorrência: | Observações: </v>
      </c>
      <c r="I1368" t="s">
        <v>491</v>
      </c>
      <c r="J1368" s="4">
        <v>100</v>
      </c>
      <c r="K1368" s="4">
        <v>640661.84</v>
      </c>
      <c r="L1368" t="s">
        <v>27</v>
      </c>
      <c r="M1368" s="4">
        <v>100</v>
      </c>
      <c r="N1368" s="3">
        <v>0</v>
      </c>
      <c r="O1368" t="s">
        <v>2404</v>
      </c>
      <c r="P1368" t="s">
        <v>2333</v>
      </c>
      <c r="Q1368" t="s">
        <v>2333</v>
      </c>
      <c r="R1368" t="str">
        <f t="shared" si="43"/>
        <v>Sim</v>
      </c>
      <c r="S1368" t="s">
        <v>2333</v>
      </c>
      <c r="T1368" t="s">
        <v>30</v>
      </c>
      <c r="U1368" t="s">
        <v>49</v>
      </c>
      <c r="V1368" s="3">
        <v>100</v>
      </c>
      <c r="W1368" t="s">
        <v>494</v>
      </c>
      <c r="X1368" s="3">
        <v>100</v>
      </c>
    </row>
    <row r="1369" spans="1:24" s="2" customFormat="1" x14ac:dyDescent="0.2">
      <c r="A1369">
        <v>1369</v>
      </c>
      <c r="B1369" t="s">
        <v>1204</v>
      </c>
      <c r="C1369" t="s">
        <v>1205</v>
      </c>
      <c r="D1369" t="s">
        <v>2409</v>
      </c>
      <c r="E1369" t="s">
        <v>30</v>
      </c>
      <c r="F1369" t="s">
        <v>24</v>
      </c>
      <c r="G1369" t="s">
        <v>25</v>
      </c>
      <c r="H1369" t="str">
        <f t="shared" si="42"/>
        <v xml:space="preserve">RT REFERENTE :MÊS DE MAIO E OUTUBRO | Recorrência: | Observações: </v>
      </c>
      <c r="I1369" t="s">
        <v>491</v>
      </c>
      <c r="J1369" s="4">
        <v>660.54</v>
      </c>
      <c r="K1369" s="4">
        <v>641322.38</v>
      </c>
      <c r="L1369" t="s">
        <v>27</v>
      </c>
      <c r="M1369" s="4">
        <v>660.54</v>
      </c>
      <c r="N1369" s="3">
        <v>0</v>
      </c>
      <c r="O1369" t="s">
        <v>2404</v>
      </c>
      <c r="P1369" t="s">
        <v>2356</v>
      </c>
      <c r="Q1369" t="s">
        <v>2356</v>
      </c>
      <c r="R1369" t="str">
        <f t="shared" si="43"/>
        <v>Sim</v>
      </c>
      <c r="S1369" t="s">
        <v>2356</v>
      </c>
      <c r="T1369" t="s">
        <v>30</v>
      </c>
      <c r="U1369" t="s">
        <v>49</v>
      </c>
      <c r="V1369" s="3">
        <v>660.54</v>
      </c>
      <c r="W1369" t="s">
        <v>494</v>
      </c>
      <c r="X1369" s="3">
        <v>660.54</v>
      </c>
    </row>
    <row r="1370" spans="1:24" s="2" customFormat="1" x14ac:dyDescent="0.2">
      <c r="A1370" s="2">
        <v>1370</v>
      </c>
      <c r="B1370" t="s">
        <v>1373</v>
      </c>
      <c r="C1370" t="s">
        <v>1374</v>
      </c>
      <c r="D1370" t="s">
        <v>2410</v>
      </c>
      <c r="E1370" t="s">
        <v>30</v>
      </c>
      <c r="F1370" t="s">
        <v>24</v>
      </c>
      <c r="G1370" t="s">
        <v>25</v>
      </c>
      <c r="H1370" t="str">
        <f t="shared" si="42"/>
        <v xml:space="preserve">2/3 - PROJETO AIR BROOKLIN - 02 STUDIOS 2/3 | Recorrência: | Observações: </v>
      </c>
      <c r="I1370" t="s">
        <v>2180</v>
      </c>
      <c r="J1370" s="4">
        <v>3000</v>
      </c>
      <c r="K1370" s="4">
        <v>644322.38</v>
      </c>
      <c r="L1370" t="s">
        <v>27</v>
      </c>
      <c r="M1370" s="4">
        <v>3000</v>
      </c>
      <c r="N1370" s="3">
        <v>0</v>
      </c>
      <c r="O1370" t="s">
        <v>2404</v>
      </c>
      <c r="P1370" t="s">
        <v>2268</v>
      </c>
      <c r="Q1370" t="s">
        <v>2411</v>
      </c>
      <c r="R1370" t="str">
        <f t="shared" si="43"/>
        <v>Sim</v>
      </c>
      <c r="S1370" t="s">
        <v>2411</v>
      </c>
      <c r="T1370" t="s">
        <v>30</v>
      </c>
      <c r="U1370" t="s">
        <v>31</v>
      </c>
      <c r="V1370" s="3">
        <v>3000</v>
      </c>
      <c r="W1370" t="s">
        <v>32</v>
      </c>
      <c r="X1370" s="3">
        <v>3000</v>
      </c>
    </row>
    <row r="1371" spans="1:24" s="2" customFormat="1" x14ac:dyDescent="0.2">
      <c r="A1371">
        <v>1371</v>
      </c>
      <c r="B1371" t="s">
        <v>2130</v>
      </c>
      <c r="C1371" t="s">
        <v>2131</v>
      </c>
      <c r="D1371" t="s">
        <v>2412</v>
      </c>
      <c r="E1371" t="s">
        <v>30</v>
      </c>
      <c r="F1371" t="s">
        <v>24</v>
      </c>
      <c r="G1371" t="s">
        <v>25</v>
      </c>
      <c r="H1371" t="str">
        <f t="shared" si="42"/>
        <v xml:space="preserve">RT ACAPULCO &gt; LUCIENE E AMAURI | Recorrência: | Observações: </v>
      </c>
      <c r="I1371" t="s">
        <v>491</v>
      </c>
      <c r="J1371" s="4">
        <v>580</v>
      </c>
      <c r="K1371" s="4">
        <v>644902.38</v>
      </c>
      <c r="L1371" t="s">
        <v>27</v>
      </c>
      <c r="M1371" s="4">
        <v>580</v>
      </c>
      <c r="N1371" s="3">
        <v>0</v>
      </c>
      <c r="O1371" t="s">
        <v>2329</v>
      </c>
      <c r="P1371" t="s">
        <v>2329</v>
      </c>
      <c r="Q1371" t="s">
        <v>2329</v>
      </c>
      <c r="R1371" t="str">
        <f t="shared" si="43"/>
        <v>Sim</v>
      </c>
      <c r="S1371" t="s">
        <v>2329</v>
      </c>
      <c r="T1371" t="s">
        <v>30</v>
      </c>
      <c r="U1371" t="s">
        <v>49</v>
      </c>
      <c r="V1371" s="3">
        <v>580</v>
      </c>
      <c r="W1371" t="s">
        <v>494</v>
      </c>
      <c r="X1371" s="3">
        <v>580</v>
      </c>
    </row>
    <row r="1372" spans="1:24" s="2" customFormat="1" x14ac:dyDescent="0.2">
      <c r="A1372" s="2">
        <v>1372</v>
      </c>
      <c r="B1372" t="s">
        <v>106</v>
      </c>
      <c r="C1372" t="s">
        <v>107</v>
      </c>
      <c r="D1372" t="s">
        <v>2414</v>
      </c>
      <c r="E1372" t="s">
        <v>30</v>
      </c>
      <c r="F1372" t="s">
        <v>24</v>
      </c>
      <c r="G1372" t="s">
        <v>25</v>
      </c>
      <c r="H1372" t="str">
        <f t="shared" si="42"/>
        <v xml:space="preserve">3/3 - PROJETO  - Rua Conde D’Eu,861&gt;&gt;&gt; 3/3 | Recorrência: | Observações: </v>
      </c>
      <c r="I1372" t="s">
        <v>491</v>
      </c>
      <c r="J1372" s="4">
        <v>8000</v>
      </c>
      <c r="K1372" s="4">
        <v>652902.38</v>
      </c>
      <c r="L1372" t="s">
        <v>27</v>
      </c>
      <c r="M1372" s="4">
        <v>8000</v>
      </c>
      <c r="N1372" s="3">
        <v>0</v>
      </c>
      <c r="O1372" t="s">
        <v>2413</v>
      </c>
      <c r="P1372" t="s">
        <v>2187</v>
      </c>
      <c r="Q1372" t="s">
        <v>2415</v>
      </c>
      <c r="R1372" t="str">
        <f t="shared" si="43"/>
        <v>Sim</v>
      </c>
      <c r="S1372" t="s">
        <v>2415</v>
      </c>
      <c r="T1372" t="s">
        <v>30</v>
      </c>
      <c r="U1372" t="s">
        <v>31</v>
      </c>
      <c r="V1372" s="3">
        <v>8000</v>
      </c>
      <c r="W1372" t="s">
        <v>32</v>
      </c>
      <c r="X1372" s="3">
        <v>8000</v>
      </c>
    </row>
    <row r="1373" spans="1:24" s="2" customFormat="1" x14ac:dyDescent="0.2">
      <c r="A1373">
        <v>1373</v>
      </c>
      <c r="B1373" t="s">
        <v>1186</v>
      </c>
      <c r="C1373" t="s">
        <v>1187</v>
      </c>
      <c r="D1373" t="s">
        <v>2416</v>
      </c>
      <c r="E1373" t="s">
        <v>30</v>
      </c>
      <c r="F1373" t="s">
        <v>24</v>
      </c>
      <c r="G1373" t="s">
        <v>25</v>
      </c>
      <c r="H1373" t="str">
        <f t="shared" si="42"/>
        <v xml:space="preserve">RT PEDIDO 7080 - FARIZE | Recorrência: | Observações: </v>
      </c>
      <c r="I1373" t="s">
        <v>491</v>
      </c>
      <c r="J1373" s="4">
        <v>29</v>
      </c>
      <c r="K1373" s="4">
        <v>652931.38</v>
      </c>
      <c r="L1373" t="s">
        <v>27</v>
      </c>
      <c r="M1373" s="4">
        <v>29</v>
      </c>
      <c r="N1373" s="3">
        <v>0</v>
      </c>
      <c r="O1373" t="s">
        <v>2413</v>
      </c>
      <c r="P1373" t="s">
        <v>2311</v>
      </c>
      <c r="Q1373" t="s">
        <v>2413</v>
      </c>
      <c r="R1373" t="str">
        <f t="shared" si="43"/>
        <v>Sim</v>
      </c>
      <c r="S1373" t="s">
        <v>2413</v>
      </c>
      <c r="T1373" t="s">
        <v>30</v>
      </c>
      <c r="U1373" t="s">
        <v>49</v>
      </c>
      <c r="V1373" s="3">
        <v>29</v>
      </c>
      <c r="W1373" t="s">
        <v>494</v>
      </c>
      <c r="X1373" s="3">
        <v>29</v>
      </c>
    </row>
    <row r="1374" spans="1:24" s="2" customFormat="1" x14ac:dyDescent="0.2">
      <c r="A1374" s="2">
        <v>1374</v>
      </c>
      <c r="B1374"/>
      <c r="C1374" t="s">
        <v>153</v>
      </c>
      <c r="D1374" t="s">
        <v>2417</v>
      </c>
      <c r="E1374" t="s">
        <v>30</v>
      </c>
      <c r="F1374" t="s">
        <v>63</v>
      </c>
      <c r="G1374" t="s">
        <v>25</v>
      </c>
      <c r="H1374" t="str">
        <f t="shared" si="42"/>
        <v xml:space="preserve">ELIANE - VALE TRANSPORTE - Referente Dezembro | Recorrência: | Observações: </v>
      </c>
      <c r="I1374" t="s">
        <v>491</v>
      </c>
      <c r="J1374" s="5">
        <v>-281</v>
      </c>
      <c r="K1374" s="4">
        <v>652650.38</v>
      </c>
      <c r="L1374" t="s">
        <v>27</v>
      </c>
      <c r="M1374" s="5">
        <v>-281</v>
      </c>
      <c r="N1374" s="3">
        <v>0</v>
      </c>
      <c r="O1374" t="s">
        <v>2361</v>
      </c>
      <c r="P1374" t="s">
        <v>2361</v>
      </c>
      <c r="Q1374" t="s">
        <v>2418</v>
      </c>
      <c r="R1374" t="str">
        <f t="shared" si="43"/>
        <v>Sim</v>
      </c>
      <c r="S1374" t="s">
        <v>2418</v>
      </c>
      <c r="T1374" t="s">
        <v>30</v>
      </c>
      <c r="U1374" t="s">
        <v>662</v>
      </c>
      <c r="V1374" s="3">
        <v>-281</v>
      </c>
      <c r="W1374" t="s">
        <v>698</v>
      </c>
      <c r="X1374" s="3">
        <v>-281</v>
      </c>
    </row>
    <row r="1375" spans="1:24" s="2" customFormat="1" x14ac:dyDescent="0.2">
      <c r="A1375">
        <v>1375</v>
      </c>
      <c r="B1375"/>
      <c r="C1375" t="s">
        <v>153</v>
      </c>
      <c r="D1375" t="s">
        <v>2419</v>
      </c>
      <c r="E1375" t="s">
        <v>30</v>
      </c>
      <c r="F1375" t="s">
        <v>63</v>
      </c>
      <c r="G1375" t="s">
        <v>25</v>
      </c>
      <c r="H1375" t="str">
        <f t="shared" si="42"/>
        <v xml:space="preserve">1°PARCELA 13° SALÁRIO ELIANE | Recorrência: | Observações: </v>
      </c>
      <c r="I1375" t="s">
        <v>491</v>
      </c>
      <c r="J1375" s="5">
        <v>-910.18</v>
      </c>
      <c r="K1375" s="4">
        <v>651740.19999999995</v>
      </c>
      <c r="L1375" t="s">
        <v>27</v>
      </c>
      <c r="M1375" s="5">
        <v>-910.18</v>
      </c>
      <c r="N1375" s="3">
        <v>0</v>
      </c>
      <c r="O1375" t="s">
        <v>2361</v>
      </c>
      <c r="P1375" t="s">
        <v>2356</v>
      </c>
      <c r="Q1375" t="s">
        <v>2361</v>
      </c>
      <c r="R1375" t="str">
        <f t="shared" si="43"/>
        <v>Sim</v>
      </c>
      <c r="S1375" t="s">
        <v>2361</v>
      </c>
      <c r="T1375" t="s">
        <v>30</v>
      </c>
      <c r="U1375" t="s">
        <v>550</v>
      </c>
      <c r="V1375" s="3">
        <v>-910.18</v>
      </c>
      <c r="W1375" t="s">
        <v>2420</v>
      </c>
      <c r="X1375" s="3">
        <v>-910.18</v>
      </c>
    </row>
    <row r="1376" spans="1:24" s="2" customFormat="1" x14ac:dyDescent="0.2">
      <c r="A1376" s="2">
        <v>1376</v>
      </c>
      <c r="B1376"/>
      <c r="C1376" t="s">
        <v>153</v>
      </c>
      <c r="D1376" t="s">
        <v>2421</v>
      </c>
      <c r="E1376" t="s">
        <v>30</v>
      </c>
      <c r="F1376" t="s">
        <v>63</v>
      </c>
      <c r="G1376" t="s">
        <v>25</v>
      </c>
      <c r="H1376" t="str">
        <f t="shared" si="42"/>
        <v>FÉRIAS_ELIANE_REFERENTE ANO 2023 | Recorrência: | Observações: DE AQUISIÇÃO - 22/01 A 21/01/2023</v>
      </c>
      <c r="I1376" t="s">
        <v>491</v>
      </c>
      <c r="J1376" s="5">
        <v>-2227.7199999999998</v>
      </c>
      <c r="K1376" s="4">
        <v>649512.48</v>
      </c>
      <c r="L1376" t="s">
        <v>27</v>
      </c>
      <c r="M1376" s="5">
        <v>-2227.7199999999998</v>
      </c>
      <c r="N1376" s="3">
        <v>0</v>
      </c>
      <c r="O1376" t="s">
        <v>2361</v>
      </c>
      <c r="P1376" t="s">
        <v>2361</v>
      </c>
      <c r="Q1376" t="s">
        <v>2361</v>
      </c>
      <c r="R1376" t="str">
        <f t="shared" si="43"/>
        <v>Sim</v>
      </c>
      <c r="S1376" t="s">
        <v>2361</v>
      </c>
      <c r="T1376" t="s">
        <v>2422</v>
      </c>
      <c r="U1376" t="s">
        <v>1350</v>
      </c>
      <c r="V1376" s="3">
        <v>-2227.7199999999998</v>
      </c>
      <c r="W1376" t="s">
        <v>1351</v>
      </c>
      <c r="X1376" s="3">
        <v>-2227.7199999999998</v>
      </c>
    </row>
    <row r="1377" spans="1:24" s="2" customFormat="1" x14ac:dyDescent="0.2">
      <c r="A1377">
        <v>1377</v>
      </c>
      <c r="B1377"/>
      <c r="C1377" t="s">
        <v>153</v>
      </c>
      <c r="D1377" t="s">
        <v>2423</v>
      </c>
      <c r="E1377" t="s">
        <v>955</v>
      </c>
      <c r="F1377" t="s">
        <v>63</v>
      </c>
      <c r="G1377" t="s">
        <v>25</v>
      </c>
      <c r="H1377" t="str">
        <f t="shared" si="42"/>
        <v>DIÁRIAS  JULIANA SOARES - REFERENTE NOVEMBRO | Recorrência:11/12 | Observações: DIÁRIAS: 04-11-18-25 OUTUBRO</v>
      </c>
      <c r="I1377" t="s">
        <v>491</v>
      </c>
      <c r="J1377" s="5">
        <v>-600</v>
      </c>
      <c r="K1377" s="4">
        <v>648912.48</v>
      </c>
      <c r="L1377" t="s">
        <v>27</v>
      </c>
      <c r="M1377" s="5">
        <v>-600</v>
      </c>
      <c r="N1377" s="3">
        <v>0</v>
      </c>
      <c r="O1377" t="s">
        <v>2361</v>
      </c>
      <c r="P1377" t="s">
        <v>2319</v>
      </c>
      <c r="Q1377" t="s">
        <v>2361</v>
      </c>
      <c r="R1377" t="str">
        <f t="shared" si="43"/>
        <v>Sim</v>
      </c>
      <c r="S1377" t="s">
        <v>2361</v>
      </c>
      <c r="T1377" t="s">
        <v>2424</v>
      </c>
      <c r="U1377" t="s">
        <v>691</v>
      </c>
      <c r="V1377" s="3">
        <v>-600</v>
      </c>
      <c r="W1377" t="s">
        <v>1058</v>
      </c>
      <c r="X1377" s="3">
        <v>-600</v>
      </c>
    </row>
    <row r="1378" spans="1:24" s="2" customFormat="1" x14ac:dyDescent="0.2">
      <c r="A1378" s="2">
        <v>1378</v>
      </c>
      <c r="B1378"/>
      <c r="C1378" t="s">
        <v>710</v>
      </c>
      <c r="D1378" t="s">
        <v>1978</v>
      </c>
      <c r="E1378" t="s">
        <v>955</v>
      </c>
      <c r="F1378" t="s">
        <v>63</v>
      </c>
      <c r="G1378" t="s">
        <v>25</v>
      </c>
      <c r="H1378" t="str">
        <f t="shared" si="42"/>
        <v xml:space="preserve">ENÉRGIA ELETRICA | Recorrência:11/12 | Observações: </v>
      </c>
      <c r="I1378" t="s">
        <v>26</v>
      </c>
      <c r="J1378" s="5">
        <v>-377.21</v>
      </c>
      <c r="K1378" s="4">
        <v>648535.27</v>
      </c>
      <c r="L1378" t="s">
        <v>27</v>
      </c>
      <c r="M1378" s="5">
        <v>-377.21</v>
      </c>
      <c r="N1378" s="3">
        <v>0</v>
      </c>
      <c r="O1378" t="s">
        <v>2361</v>
      </c>
      <c r="P1378" t="s">
        <v>2361</v>
      </c>
      <c r="Q1378" t="s">
        <v>2361</v>
      </c>
      <c r="R1378" t="str">
        <f t="shared" si="43"/>
        <v>Sim</v>
      </c>
      <c r="S1378" t="s">
        <v>2361</v>
      </c>
      <c r="T1378" t="s">
        <v>30</v>
      </c>
      <c r="U1378" t="s">
        <v>125</v>
      </c>
      <c r="V1378" s="3">
        <v>-377.21</v>
      </c>
      <c r="W1378" t="s">
        <v>125</v>
      </c>
      <c r="X1378" s="3">
        <v>-377.21</v>
      </c>
    </row>
    <row r="1379" spans="1:24" s="2" customFormat="1" x14ac:dyDescent="0.2">
      <c r="A1379">
        <v>1379</v>
      </c>
      <c r="B1379"/>
      <c r="C1379" t="s">
        <v>153</v>
      </c>
      <c r="D1379" t="s">
        <v>2425</v>
      </c>
      <c r="E1379" t="s">
        <v>30</v>
      </c>
      <c r="F1379" t="s">
        <v>63</v>
      </c>
      <c r="G1379" t="s">
        <v>25</v>
      </c>
      <c r="H1379" t="str">
        <f t="shared" si="42"/>
        <v xml:space="preserve">SALÁRIO - JULYA 12/12 | Recorrência: | Observações: </v>
      </c>
      <c r="I1379" t="s">
        <v>991</v>
      </c>
      <c r="J1379" s="5">
        <v>-4389.17</v>
      </c>
      <c r="K1379" s="4">
        <v>644146.1</v>
      </c>
      <c r="L1379" t="s">
        <v>27</v>
      </c>
      <c r="M1379" s="5">
        <v>-4389.17</v>
      </c>
      <c r="N1379" s="3">
        <v>0</v>
      </c>
      <c r="O1379" t="s">
        <v>2418</v>
      </c>
      <c r="P1379" t="s">
        <v>2122</v>
      </c>
      <c r="Q1379" t="s">
        <v>2418</v>
      </c>
      <c r="R1379" t="str">
        <f t="shared" si="43"/>
        <v>Sim</v>
      </c>
      <c r="S1379" t="s">
        <v>2418</v>
      </c>
      <c r="T1379" t="s">
        <v>30</v>
      </c>
      <c r="U1379" t="s">
        <v>323</v>
      </c>
      <c r="V1379" s="3">
        <v>-4389.17</v>
      </c>
      <c r="W1379" t="s">
        <v>1164</v>
      </c>
      <c r="X1379" s="3">
        <v>-4389.17</v>
      </c>
    </row>
    <row r="1380" spans="1:24" s="2" customFormat="1" x14ac:dyDescent="0.2">
      <c r="A1380" s="2">
        <v>1380</v>
      </c>
      <c r="B1380"/>
      <c r="C1380" t="s">
        <v>153</v>
      </c>
      <c r="D1380" t="s">
        <v>1910</v>
      </c>
      <c r="E1380" t="s">
        <v>30</v>
      </c>
      <c r="F1380" t="s">
        <v>63</v>
      </c>
      <c r="G1380" t="s">
        <v>25</v>
      </c>
      <c r="H1380" t="str">
        <f t="shared" si="42"/>
        <v xml:space="preserve">SALÁRIO_MAYARA OLIVEIRA | Recorrência: | Observações: </v>
      </c>
      <c r="I1380" t="s">
        <v>491</v>
      </c>
      <c r="J1380" s="5">
        <v>-3430.29</v>
      </c>
      <c r="K1380" s="4">
        <v>640715.81000000006</v>
      </c>
      <c r="L1380" t="s">
        <v>27</v>
      </c>
      <c r="M1380" s="5">
        <v>-3430.29</v>
      </c>
      <c r="N1380" s="3">
        <v>0</v>
      </c>
      <c r="O1380" t="s">
        <v>2418</v>
      </c>
      <c r="P1380" t="s">
        <v>2261</v>
      </c>
      <c r="Q1380" t="s">
        <v>2418</v>
      </c>
      <c r="R1380" t="str">
        <f t="shared" si="43"/>
        <v>Sim</v>
      </c>
      <c r="S1380" t="s">
        <v>2418</v>
      </c>
      <c r="T1380" t="s">
        <v>30</v>
      </c>
      <c r="U1380" t="s">
        <v>323</v>
      </c>
      <c r="V1380" s="3">
        <v>-3430.29</v>
      </c>
      <c r="W1380" t="s">
        <v>323</v>
      </c>
      <c r="X1380" s="3">
        <v>-3430.29</v>
      </c>
    </row>
    <row r="1381" spans="1:24" s="2" customFormat="1" x14ac:dyDescent="0.2">
      <c r="A1381">
        <v>1381</v>
      </c>
      <c r="B1381" t="s">
        <v>2426</v>
      </c>
      <c r="C1381" t="s">
        <v>2427</v>
      </c>
      <c r="D1381" t="s">
        <v>2380</v>
      </c>
      <c r="E1381" t="s">
        <v>30</v>
      </c>
      <c r="F1381" t="s">
        <v>24</v>
      </c>
      <c r="G1381" t="s">
        <v>25</v>
      </c>
      <c r="H1381" t="str">
        <f t="shared" si="42"/>
        <v>1/6 - GERENCIAMENTO RIVIERA  1/6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381" t="s">
        <v>491</v>
      </c>
      <c r="J1381" s="4">
        <v>11308</v>
      </c>
      <c r="K1381" s="4">
        <v>652023.81000000006</v>
      </c>
      <c r="L1381" t="s">
        <v>27</v>
      </c>
      <c r="M1381" s="4">
        <v>11308</v>
      </c>
      <c r="N1381" s="3">
        <v>0</v>
      </c>
      <c r="O1381" t="s">
        <v>2418</v>
      </c>
      <c r="P1381" t="s">
        <v>2301</v>
      </c>
      <c r="Q1381" t="s">
        <v>2333</v>
      </c>
      <c r="R1381" t="str">
        <f t="shared" si="43"/>
        <v>Sim</v>
      </c>
      <c r="S1381" t="s">
        <v>2333</v>
      </c>
      <c r="T1381" t="s">
        <v>2428</v>
      </c>
      <c r="U1381" t="s">
        <v>274</v>
      </c>
      <c r="V1381" s="3">
        <v>11308</v>
      </c>
      <c r="W1381" t="s">
        <v>166</v>
      </c>
      <c r="X1381" s="3">
        <v>11308</v>
      </c>
    </row>
    <row r="1382" spans="1:24" s="2" customFormat="1" x14ac:dyDescent="0.2">
      <c r="A1382" s="2">
        <v>1382</v>
      </c>
      <c r="B1382" t="s">
        <v>1987</v>
      </c>
      <c r="C1382" t="s">
        <v>1988</v>
      </c>
      <c r="D1382" t="s">
        <v>2429</v>
      </c>
      <c r="E1382" t="s">
        <v>30</v>
      </c>
      <c r="F1382" t="s">
        <v>63</v>
      </c>
      <c r="G1382" t="s">
        <v>25</v>
      </c>
      <c r="H1382" t="str">
        <f t="shared" si="42"/>
        <v>3/3 - COMISSÃO PROJETO MARIEL E FAUSTO 3/3 | Recorrência: | Observações: COMISSÃO REFERENTE A PROJETO MARIEL E FAUSTO
VALOR PROJETO R$ 24.000,00 X 3%= R$ 720,00
PAGAMENTO EM 3X SET/OUT/NOV
PAGAMENTO COMISSÃO 3X OUT/NOV/ DEZ</v>
      </c>
      <c r="I1382" t="s">
        <v>491</v>
      </c>
      <c r="J1382" s="5">
        <v>-240</v>
      </c>
      <c r="K1382" s="4">
        <v>651783.81000000006</v>
      </c>
      <c r="L1382" t="s">
        <v>27</v>
      </c>
      <c r="M1382" s="5">
        <v>-240</v>
      </c>
      <c r="N1382" s="3">
        <v>0</v>
      </c>
      <c r="O1382" t="s">
        <v>2418</v>
      </c>
      <c r="P1382" t="s">
        <v>2187</v>
      </c>
      <c r="Q1382" t="s">
        <v>2418</v>
      </c>
      <c r="R1382" t="str">
        <f t="shared" si="43"/>
        <v>Sim</v>
      </c>
      <c r="S1382" t="s">
        <v>2418</v>
      </c>
      <c r="T1382" t="s">
        <v>2255</v>
      </c>
      <c r="U1382" t="s">
        <v>1991</v>
      </c>
      <c r="V1382" s="3">
        <v>-240</v>
      </c>
      <c r="W1382" t="s">
        <v>1722</v>
      </c>
      <c r="X1382" s="3">
        <v>-240</v>
      </c>
    </row>
    <row r="1383" spans="1:24" s="2" customFormat="1" x14ac:dyDescent="0.2">
      <c r="A1383">
        <v>1383</v>
      </c>
      <c r="B1383" t="s">
        <v>1987</v>
      </c>
      <c r="C1383" t="s">
        <v>1988</v>
      </c>
      <c r="D1383" t="s">
        <v>2430</v>
      </c>
      <c r="E1383" t="s">
        <v>30</v>
      </c>
      <c r="F1383" t="s">
        <v>63</v>
      </c>
      <c r="G1383" t="s">
        <v>25</v>
      </c>
      <c r="H1383" t="str">
        <f t="shared" si="42"/>
        <v>2/2 - COMISSÃO PROJETO VIRNA E ERIC 2/2 | Recorrência: | Observações: COMISSÃO PROJETO VIRNA E ERIC
VALOR PROJETO R$ 28.500,00 COMISSÃO DE 3%
VALOR COMISSÃO R$855,00 EM 2X
NOVEMBRO -R$ 427,00
DEZEMBRO-R$ 427,00</v>
      </c>
      <c r="I1383" t="s">
        <v>491</v>
      </c>
      <c r="J1383" s="5">
        <v>-427.5</v>
      </c>
      <c r="K1383" s="4">
        <v>651356.31000000006</v>
      </c>
      <c r="L1383" t="s">
        <v>27</v>
      </c>
      <c r="M1383" s="5">
        <v>-427.5</v>
      </c>
      <c r="N1383" s="3">
        <v>0</v>
      </c>
      <c r="O1383" t="s">
        <v>2418</v>
      </c>
      <c r="P1383" t="s">
        <v>2212</v>
      </c>
      <c r="Q1383" t="s">
        <v>2418</v>
      </c>
      <c r="R1383" t="str">
        <f t="shared" si="43"/>
        <v>Sim</v>
      </c>
      <c r="S1383" t="s">
        <v>2418</v>
      </c>
      <c r="T1383" t="s">
        <v>2344</v>
      </c>
      <c r="U1383" t="s">
        <v>1991</v>
      </c>
      <c r="V1383" s="3">
        <v>-427.5</v>
      </c>
      <c r="W1383" t="s">
        <v>1722</v>
      </c>
      <c r="X1383" s="3">
        <v>-427.5</v>
      </c>
    </row>
    <row r="1384" spans="1:24" s="2" customFormat="1" x14ac:dyDescent="0.2">
      <c r="A1384" s="2">
        <v>1384</v>
      </c>
      <c r="B1384" t="s">
        <v>1987</v>
      </c>
      <c r="C1384" t="s">
        <v>1988</v>
      </c>
      <c r="D1384" t="s">
        <v>2431</v>
      </c>
      <c r="E1384" t="s">
        <v>30</v>
      </c>
      <c r="F1384" t="s">
        <v>63</v>
      </c>
      <c r="G1384" t="s">
        <v>25</v>
      </c>
      <c r="H1384" t="str">
        <f t="shared" si="42"/>
        <v>2/4 - COMISSÃO GABI E DANIEL 2/4 | Recorrência: | Observações: COMISSÃO REFERENTE AO PROJETO GABRIELA E DANIEL
VALOR PROJETO: R$21.600,00 DIVIDIDO EM 4X
VALOR TOTAL DA COMISSÃO DE 3%=R$ R$648,00/4=R$ R$ 162,00
01/11-R$ 162,00
01/12-R$ 162,00
01/01-R$ 162,00
01/02-R$ 162,00</v>
      </c>
      <c r="I1384" t="s">
        <v>30</v>
      </c>
      <c r="J1384" s="5">
        <v>-162</v>
      </c>
      <c r="K1384" s="4">
        <v>651194.31000000006</v>
      </c>
      <c r="L1384" t="s">
        <v>27</v>
      </c>
      <c r="M1384" s="5">
        <v>-162</v>
      </c>
      <c r="N1384" s="3">
        <v>0</v>
      </c>
      <c r="O1384" t="s">
        <v>2418</v>
      </c>
      <c r="P1384" t="s">
        <v>2268</v>
      </c>
      <c r="Q1384" t="s">
        <v>2418</v>
      </c>
      <c r="R1384" t="str">
        <f t="shared" si="43"/>
        <v>Sim</v>
      </c>
      <c r="S1384" t="s">
        <v>2418</v>
      </c>
      <c r="T1384" t="s">
        <v>2347</v>
      </c>
      <c r="U1384" t="s">
        <v>1991</v>
      </c>
      <c r="V1384" s="3">
        <v>-162</v>
      </c>
      <c r="W1384" t="s">
        <v>1722</v>
      </c>
      <c r="X1384" s="3">
        <v>-162</v>
      </c>
    </row>
    <row r="1385" spans="1:24" s="2" customFormat="1" x14ac:dyDescent="0.2">
      <c r="A1385">
        <v>1385</v>
      </c>
      <c r="B1385" t="s">
        <v>1987</v>
      </c>
      <c r="C1385" t="s">
        <v>1988</v>
      </c>
      <c r="D1385" t="s">
        <v>2432</v>
      </c>
      <c r="E1385" t="s">
        <v>30</v>
      </c>
      <c r="F1385" t="s">
        <v>63</v>
      </c>
      <c r="G1385" t="s">
        <v>25</v>
      </c>
      <c r="H1385" t="str">
        <f t="shared" si="42"/>
        <v>2/3 - COMISSÃO PROJETO AIR BROOKLIN DIANA E DIOGO 2/3 | Recorrência: | Observações: COMISSÃO REFERENTE AO PROJETO AIR BROOKLIN
VALOR PROJETO R$ 9.000,00X 5%=R$ 450,00/3
01/11-R$ 150,00
01/12-R$ 150,00
01/01-R$ 150.00</v>
      </c>
      <c r="I1385" t="s">
        <v>30</v>
      </c>
      <c r="J1385" s="5">
        <v>-150</v>
      </c>
      <c r="K1385" s="4">
        <v>651044.31000000006</v>
      </c>
      <c r="L1385" t="s">
        <v>27</v>
      </c>
      <c r="M1385" s="5">
        <v>-150</v>
      </c>
      <c r="N1385" s="3">
        <v>0</v>
      </c>
      <c r="O1385" t="s">
        <v>2418</v>
      </c>
      <c r="P1385" t="s">
        <v>2268</v>
      </c>
      <c r="Q1385" t="s">
        <v>2418</v>
      </c>
      <c r="R1385" t="str">
        <f t="shared" si="43"/>
        <v>Sim</v>
      </c>
      <c r="S1385" t="s">
        <v>2418</v>
      </c>
      <c r="T1385" t="s">
        <v>2349</v>
      </c>
      <c r="U1385" t="s">
        <v>1991</v>
      </c>
      <c r="V1385" s="3">
        <v>-150</v>
      </c>
      <c r="W1385" t="s">
        <v>1722</v>
      </c>
      <c r="X1385" s="3">
        <v>-150</v>
      </c>
    </row>
    <row r="1386" spans="1:24" s="2" customFormat="1" x14ac:dyDescent="0.2">
      <c r="A1386" s="2">
        <v>1386</v>
      </c>
      <c r="B1386" t="s">
        <v>1987</v>
      </c>
      <c r="C1386" t="s">
        <v>1988</v>
      </c>
      <c r="D1386" t="s">
        <v>2433</v>
      </c>
      <c r="E1386" t="s">
        <v>30</v>
      </c>
      <c r="F1386" t="s">
        <v>63</v>
      </c>
      <c r="G1386" t="s">
        <v>25</v>
      </c>
      <c r="H1386" t="str">
        <f t="shared" si="42"/>
        <v>2/2 - COMISSÃO PROJETO FIGUEREIDO BERTONI 2/2 | Recorrência: | Observações: COMISSÃO PROJETO FIGUEREIDO E BERTONI
R$ 4.000,00X5%=R$ 200,00/2
01/11-R$ 100.00
01/12-R$ 100.00</v>
      </c>
      <c r="I1386" t="s">
        <v>30</v>
      </c>
      <c r="J1386" s="5">
        <v>-100</v>
      </c>
      <c r="K1386" s="4">
        <v>650944.31000000006</v>
      </c>
      <c r="L1386" t="s">
        <v>27</v>
      </c>
      <c r="M1386" s="5">
        <v>-100</v>
      </c>
      <c r="N1386" s="3">
        <v>0</v>
      </c>
      <c r="O1386" t="s">
        <v>2418</v>
      </c>
      <c r="P1386" t="s">
        <v>2268</v>
      </c>
      <c r="Q1386" t="s">
        <v>2418</v>
      </c>
      <c r="R1386" t="str">
        <f t="shared" si="43"/>
        <v>Sim</v>
      </c>
      <c r="S1386" t="s">
        <v>2418</v>
      </c>
      <c r="T1386" t="s">
        <v>2351</v>
      </c>
      <c r="U1386" t="s">
        <v>1991</v>
      </c>
      <c r="V1386" s="3">
        <v>-100</v>
      </c>
      <c r="W1386" t="s">
        <v>1722</v>
      </c>
      <c r="X1386" s="3">
        <v>-100</v>
      </c>
    </row>
    <row r="1387" spans="1:24" s="2" customFormat="1" x14ac:dyDescent="0.2">
      <c r="A1387">
        <v>1387</v>
      </c>
      <c r="B1387" t="s">
        <v>2265</v>
      </c>
      <c r="C1387" t="s">
        <v>2266</v>
      </c>
      <c r="D1387" t="s">
        <v>2434</v>
      </c>
      <c r="E1387" t="s">
        <v>30</v>
      </c>
      <c r="F1387" t="s">
        <v>24</v>
      </c>
      <c r="G1387" t="s">
        <v>25</v>
      </c>
      <c r="H1387" t="str">
        <f t="shared" si="42"/>
        <v xml:space="preserve">3/4 - PROJETO  3/4 | Recorrência: | Observações: </v>
      </c>
      <c r="I1387" t="s">
        <v>491</v>
      </c>
      <c r="J1387" s="4">
        <v>5400</v>
      </c>
      <c r="K1387" s="4">
        <v>656344.31000000006</v>
      </c>
      <c r="L1387" t="s">
        <v>27</v>
      </c>
      <c r="M1387" s="4">
        <v>5400</v>
      </c>
      <c r="N1387" s="3">
        <v>0</v>
      </c>
      <c r="O1387" t="s">
        <v>2418</v>
      </c>
      <c r="P1387" t="s">
        <v>2268</v>
      </c>
      <c r="Q1387" t="s">
        <v>2435</v>
      </c>
      <c r="R1387" t="str">
        <f t="shared" si="43"/>
        <v>Sim</v>
      </c>
      <c r="S1387" t="s">
        <v>2435</v>
      </c>
      <c r="T1387" t="s">
        <v>30</v>
      </c>
      <c r="U1387" t="s">
        <v>31</v>
      </c>
      <c r="V1387" s="3">
        <v>5400</v>
      </c>
      <c r="W1387" t="s">
        <v>32</v>
      </c>
      <c r="X1387" s="3">
        <v>5400</v>
      </c>
    </row>
    <row r="1388" spans="1:24" s="2" customFormat="1" x14ac:dyDescent="0.2">
      <c r="A1388" s="2">
        <v>1388</v>
      </c>
      <c r="B1388" t="s">
        <v>2426</v>
      </c>
      <c r="C1388" t="s">
        <v>2427</v>
      </c>
      <c r="D1388" t="s">
        <v>2436</v>
      </c>
      <c r="E1388" t="s">
        <v>30</v>
      </c>
      <c r="F1388" t="s">
        <v>24</v>
      </c>
      <c r="G1388" t="s">
        <v>25</v>
      </c>
      <c r="H1388" t="str">
        <f t="shared" si="42"/>
        <v>2/6 - GERENCIAMENTO RIVIERA  2/6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388" t="s">
        <v>491</v>
      </c>
      <c r="J1388" s="4">
        <v>11308</v>
      </c>
      <c r="K1388" s="4">
        <v>667652.31000000006</v>
      </c>
      <c r="L1388" t="s">
        <v>27</v>
      </c>
      <c r="M1388" s="4">
        <v>11308</v>
      </c>
      <c r="N1388" s="3">
        <v>0</v>
      </c>
      <c r="O1388" t="s">
        <v>2418</v>
      </c>
      <c r="P1388" t="s">
        <v>2301</v>
      </c>
      <c r="Q1388" t="s">
        <v>2437</v>
      </c>
      <c r="R1388" t="str">
        <f t="shared" si="43"/>
        <v>Sim</v>
      </c>
      <c r="S1388" t="s">
        <v>2437</v>
      </c>
      <c r="T1388" t="s">
        <v>2428</v>
      </c>
      <c r="U1388" t="s">
        <v>274</v>
      </c>
      <c r="V1388" s="3">
        <v>11308</v>
      </c>
      <c r="W1388" t="s">
        <v>166</v>
      </c>
      <c r="X1388" s="3">
        <v>11308</v>
      </c>
    </row>
    <row r="1389" spans="1:24" s="2" customFormat="1" x14ac:dyDescent="0.2">
      <c r="A1389">
        <v>1389</v>
      </c>
      <c r="B1389"/>
      <c r="C1389" t="s">
        <v>574</v>
      </c>
      <c r="D1389" t="s">
        <v>1533</v>
      </c>
      <c r="E1389" t="s">
        <v>1404</v>
      </c>
      <c r="F1389" t="s">
        <v>63</v>
      </c>
      <c r="G1389" t="s">
        <v>25</v>
      </c>
      <c r="H1389" t="str">
        <f t="shared" si="42"/>
        <v xml:space="preserve">CONDOMINIO + ALUGUEL | Recorrência:12/12 | Observações: </v>
      </c>
      <c r="I1389" t="s">
        <v>26</v>
      </c>
      <c r="J1389" s="5">
        <v>-6501.25</v>
      </c>
      <c r="K1389" s="4">
        <v>661151.06000000006</v>
      </c>
      <c r="L1389" t="s">
        <v>27</v>
      </c>
      <c r="M1389" s="5">
        <v>-6501.25</v>
      </c>
      <c r="N1389" s="3">
        <v>0</v>
      </c>
      <c r="O1389" t="s">
        <v>2435</v>
      </c>
      <c r="P1389" t="s">
        <v>2438</v>
      </c>
      <c r="Q1389" t="s">
        <v>2435</v>
      </c>
      <c r="R1389" t="str">
        <f t="shared" si="43"/>
        <v>Sim</v>
      </c>
      <c r="S1389" t="s">
        <v>2435</v>
      </c>
      <c r="T1389" t="s">
        <v>30</v>
      </c>
      <c r="U1389" t="s">
        <v>571</v>
      </c>
      <c r="V1389" s="3">
        <v>-6501.25</v>
      </c>
      <c r="W1389" t="s">
        <v>1058</v>
      </c>
      <c r="X1389" s="3">
        <v>-6501.25</v>
      </c>
    </row>
    <row r="1390" spans="1:24" s="2" customFormat="1" x14ac:dyDescent="0.2">
      <c r="A1390" s="2">
        <v>1390</v>
      </c>
      <c r="B1390"/>
      <c r="C1390" t="s">
        <v>153</v>
      </c>
      <c r="D1390" t="s">
        <v>1579</v>
      </c>
      <c r="E1390" t="s">
        <v>1404</v>
      </c>
      <c r="F1390" t="s">
        <v>63</v>
      </c>
      <c r="G1390" t="s">
        <v>25</v>
      </c>
      <c r="H1390" t="str">
        <f t="shared" si="42"/>
        <v xml:space="preserve">SALÁRIO ELIANE  | Recorrência:12/12 | Observações: </v>
      </c>
      <c r="I1390" t="s">
        <v>491</v>
      </c>
      <c r="J1390" s="5">
        <v>-1676.33</v>
      </c>
      <c r="K1390" s="4">
        <v>659474.73</v>
      </c>
      <c r="L1390" t="s">
        <v>27</v>
      </c>
      <c r="M1390" s="5">
        <v>-1676.33</v>
      </c>
      <c r="N1390" s="3">
        <v>0</v>
      </c>
      <c r="O1390" t="s">
        <v>2435</v>
      </c>
      <c r="P1390" t="s">
        <v>2439</v>
      </c>
      <c r="Q1390" t="s">
        <v>2418</v>
      </c>
      <c r="R1390" t="str">
        <f t="shared" si="43"/>
        <v>Sim</v>
      </c>
      <c r="S1390" t="s">
        <v>2418</v>
      </c>
      <c r="T1390" t="s">
        <v>30</v>
      </c>
      <c r="U1390" t="s">
        <v>323</v>
      </c>
      <c r="V1390" s="3">
        <v>-1676.33</v>
      </c>
      <c r="W1390" t="s">
        <v>1164</v>
      </c>
      <c r="X1390" s="3">
        <v>-1676.33</v>
      </c>
    </row>
    <row r="1391" spans="1:24" s="2" customFormat="1" x14ac:dyDescent="0.2">
      <c r="A1391">
        <v>1391</v>
      </c>
      <c r="B1391"/>
      <c r="C1391" t="s">
        <v>153</v>
      </c>
      <c r="D1391" t="s">
        <v>2441</v>
      </c>
      <c r="E1391" t="s">
        <v>30</v>
      </c>
      <c r="F1391" t="s">
        <v>63</v>
      </c>
      <c r="G1391" t="s">
        <v>25</v>
      </c>
      <c r="H1391" t="str">
        <f t="shared" si="42"/>
        <v xml:space="preserve">SODEXO_ELIANE 12/12 | Recorrência: | Observações: </v>
      </c>
      <c r="I1391" t="s">
        <v>26</v>
      </c>
      <c r="J1391" s="5">
        <v>-176.5</v>
      </c>
      <c r="K1391" s="4">
        <v>659298.23</v>
      </c>
      <c r="L1391" t="s">
        <v>27</v>
      </c>
      <c r="M1391" s="5">
        <v>-176.5</v>
      </c>
      <c r="N1391" s="3">
        <v>0</v>
      </c>
      <c r="O1391" t="s">
        <v>2440</v>
      </c>
      <c r="P1391" t="s">
        <v>2122</v>
      </c>
      <c r="Q1391" t="s">
        <v>2442</v>
      </c>
      <c r="R1391" t="str">
        <f t="shared" si="43"/>
        <v>Sim</v>
      </c>
      <c r="S1391" t="s">
        <v>2442</v>
      </c>
      <c r="T1391" t="s">
        <v>30</v>
      </c>
      <c r="U1391" t="s">
        <v>93</v>
      </c>
      <c r="V1391" s="3">
        <v>-176.5</v>
      </c>
      <c r="W1391" t="s">
        <v>331</v>
      </c>
      <c r="X1391" s="3">
        <v>-176.5</v>
      </c>
    </row>
    <row r="1392" spans="1:24" s="2" customFormat="1" x14ac:dyDescent="0.2">
      <c r="A1392" s="2">
        <v>1392</v>
      </c>
      <c r="B1392" t="s">
        <v>1088</v>
      </c>
      <c r="C1392" t="s">
        <v>1089</v>
      </c>
      <c r="D1392" t="s">
        <v>2443</v>
      </c>
      <c r="E1392" t="s">
        <v>30</v>
      </c>
      <c r="F1392" t="s">
        <v>24</v>
      </c>
      <c r="G1392" t="s">
        <v>25</v>
      </c>
      <c r="H1392" t="str">
        <f t="shared" si="42"/>
        <v xml:space="preserve">RT - CAMILA DOSSE E PAULO | Recorrência: | Observações: </v>
      </c>
      <c r="I1392" t="s">
        <v>491</v>
      </c>
      <c r="J1392" s="4">
        <v>3280</v>
      </c>
      <c r="K1392" s="4">
        <v>662578.23</v>
      </c>
      <c r="L1392" t="s">
        <v>27</v>
      </c>
      <c r="M1392" s="4">
        <v>3280</v>
      </c>
      <c r="N1392" s="3">
        <v>0</v>
      </c>
      <c r="O1392" t="s">
        <v>2326</v>
      </c>
      <c r="P1392" t="s">
        <v>2326</v>
      </c>
      <c r="Q1392" t="s">
        <v>2326</v>
      </c>
      <c r="R1392" t="str">
        <f t="shared" si="43"/>
        <v>Sim</v>
      </c>
      <c r="S1392" t="s">
        <v>2326</v>
      </c>
      <c r="T1392" t="s">
        <v>30</v>
      </c>
      <c r="U1392" t="s">
        <v>49</v>
      </c>
      <c r="V1392" s="3">
        <v>3280</v>
      </c>
      <c r="W1392" t="s">
        <v>494</v>
      </c>
      <c r="X1392" s="3">
        <v>3280</v>
      </c>
    </row>
    <row r="1393" spans="1:24" s="2" customFormat="1" x14ac:dyDescent="0.2">
      <c r="A1393">
        <v>1393</v>
      </c>
      <c r="B1393"/>
      <c r="C1393" t="s">
        <v>1111</v>
      </c>
      <c r="D1393" t="s">
        <v>2436</v>
      </c>
      <c r="E1393" t="s">
        <v>30</v>
      </c>
      <c r="F1393" t="s">
        <v>24</v>
      </c>
      <c r="G1393" t="s">
        <v>25</v>
      </c>
      <c r="H1393" t="str">
        <f t="shared" si="42"/>
        <v>2/6 - GERENCIAMENTO RIVIERA  2/6 | Recorrência: | Observações: EMITIR NF PF - 37.435,41
Fábio Najm 
CPF - 030.448.618-37
Endereço - Rua Conselheiro Zacarias, 122 - Jardim Paulista - São Paulo-SP - CEP 01429-020 
E-mail - Fcnajm@gmail.com</v>
      </c>
      <c r="I1393" t="s">
        <v>491</v>
      </c>
      <c r="J1393" s="4">
        <v>6239.24</v>
      </c>
      <c r="K1393" s="4">
        <v>668817.47</v>
      </c>
      <c r="L1393" t="s">
        <v>27</v>
      </c>
      <c r="M1393" s="4">
        <v>6239.24</v>
      </c>
      <c r="N1393" s="3">
        <v>0</v>
      </c>
      <c r="O1393" t="s">
        <v>2326</v>
      </c>
      <c r="P1393" t="s">
        <v>2301</v>
      </c>
      <c r="Q1393" t="s">
        <v>2437</v>
      </c>
      <c r="R1393" t="str">
        <f t="shared" si="43"/>
        <v>Sim</v>
      </c>
      <c r="S1393" t="s">
        <v>2437</v>
      </c>
      <c r="T1393" t="s">
        <v>2381</v>
      </c>
      <c r="U1393" t="s">
        <v>274</v>
      </c>
      <c r="V1393" s="3">
        <v>6239.24</v>
      </c>
      <c r="W1393" t="s">
        <v>166</v>
      </c>
      <c r="X1393" s="3">
        <v>6239.24</v>
      </c>
    </row>
    <row r="1394" spans="1:24" s="2" customFormat="1" x14ac:dyDescent="0.2">
      <c r="A1394" s="2">
        <v>1394</v>
      </c>
      <c r="B1394" t="s">
        <v>1536</v>
      </c>
      <c r="C1394" t="s">
        <v>666</v>
      </c>
      <c r="D1394" t="s">
        <v>667</v>
      </c>
      <c r="E1394" t="s">
        <v>1404</v>
      </c>
      <c r="F1394" t="s">
        <v>63</v>
      </c>
      <c r="G1394" t="s">
        <v>25</v>
      </c>
      <c r="H1394" t="str">
        <f t="shared" si="42"/>
        <v xml:space="preserve">TELEFONIA E INTERNET | Recorrência:12/12 | Observações: </v>
      </c>
      <c r="I1394" t="s">
        <v>26</v>
      </c>
      <c r="J1394" s="5">
        <v>-130.09</v>
      </c>
      <c r="K1394" s="4">
        <v>668687.38</v>
      </c>
      <c r="L1394" t="s">
        <v>27</v>
      </c>
      <c r="M1394" s="5">
        <v>-130.09</v>
      </c>
      <c r="N1394" s="3">
        <v>0</v>
      </c>
      <c r="O1394" t="s">
        <v>2326</v>
      </c>
      <c r="P1394" t="s">
        <v>2286</v>
      </c>
      <c r="Q1394" t="s">
        <v>2326</v>
      </c>
      <c r="R1394" t="str">
        <f t="shared" si="43"/>
        <v>Sim</v>
      </c>
      <c r="S1394" t="s">
        <v>2326</v>
      </c>
      <c r="T1394" t="s">
        <v>30</v>
      </c>
      <c r="U1394" t="s">
        <v>670</v>
      </c>
      <c r="V1394" s="3">
        <v>-130.09</v>
      </c>
      <c r="W1394" t="s">
        <v>324</v>
      </c>
      <c r="X1394" s="3">
        <v>-130.09</v>
      </c>
    </row>
    <row r="1395" spans="1:24" s="2" customFormat="1" x14ac:dyDescent="0.2">
      <c r="A1395">
        <v>1395</v>
      </c>
      <c r="B1395" t="s">
        <v>647</v>
      </c>
      <c r="C1395" t="s">
        <v>648</v>
      </c>
      <c r="D1395" t="s">
        <v>2445</v>
      </c>
      <c r="E1395" t="s">
        <v>30</v>
      </c>
      <c r="F1395" t="s">
        <v>63</v>
      </c>
      <c r="G1395" t="s">
        <v>25</v>
      </c>
      <c r="H1395" t="str">
        <f t="shared" si="42"/>
        <v xml:space="preserve">12/35 - DARF ISS 12/36 | Recorrência: | Observações: </v>
      </c>
      <c r="I1395" t="s">
        <v>26</v>
      </c>
      <c r="J1395" s="5">
        <v>-1372.12</v>
      </c>
      <c r="K1395" s="4">
        <v>667315.26</v>
      </c>
      <c r="L1395" t="s">
        <v>27</v>
      </c>
      <c r="M1395" s="5">
        <v>-1372.12</v>
      </c>
      <c r="N1395" s="3">
        <v>0</v>
      </c>
      <c r="O1395" t="s">
        <v>2444</v>
      </c>
      <c r="P1395" t="s">
        <v>1474</v>
      </c>
      <c r="Q1395" t="s">
        <v>2444</v>
      </c>
      <c r="R1395" t="str">
        <f t="shared" si="43"/>
        <v>Sim</v>
      </c>
      <c r="S1395" t="s">
        <v>2444</v>
      </c>
      <c r="T1395" t="s">
        <v>30</v>
      </c>
      <c r="U1395" t="s">
        <v>1098</v>
      </c>
      <c r="V1395" s="3">
        <v>-1372.12</v>
      </c>
      <c r="W1395" t="s">
        <v>324</v>
      </c>
      <c r="X1395" s="3">
        <v>-1372.12</v>
      </c>
    </row>
    <row r="1396" spans="1:24" s="2" customFormat="1" x14ac:dyDescent="0.2">
      <c r="A1396" s="2">
        <v>1396</v>
      </c>
      <c r="B1396" t="s">
        <v>647</v>
      </c>
      <c r="C1396" t="s">
        <v>648</v>
      </c>
      <c r="D1396" t="s">
        <v>1544</v>
      </c>
      <c r="E1396" t="s">
        <v>1404</v>
      </c>
      <c r="F1396" t="s">
        <v>63</v>
      </c>
      <c r="G1396" t="s">
        <v>25</v>
      </c>
      <c r="H1396" t="str">
        <f t="shared" si="42"/>
        <v xml:space="preserve">HONORARIOS CONTABEIS | Recorrência:12/12 | Observações: </v>
      </c>
      <c r="I1396" t="s">
        <v>26</v>
      </c>
      <c r="J1396" s="5">
        <v>-925</v>
      </c>
      <c r="K1396" s="4">
        <v>666390.26</v>
      </c>
      <c r="L1396" t="s">
        <v>27</v>
      </c>
      <c r="M1396" s="5">
        <v>-925</v>
      </c>
      <c r="N1396" s="3">
        <v>0</v>
      </c>
      <c r="O1396" t="s">
        <v>2444</v>
      </c>
      <c r="P1396" t="s">
        <v>2446</v>
      </c>
      <c r="Q1396" t="s">
        <v>2437</v>
      </c>
      <c r="R1396" t="str">
        <f t="shared" si="43"/>
        <v>Sim</v>
      </c>
      <c r="S1396" t="s">
        <v>2437</v>
      </c>
      <c r="T1396" t="s">
        <v>30</v>
      </c>
      <c r="U1396" t="s">
        <v>608</v>
      </c>
      <c r="V1396" s="3">
        <v>-925</v>
      </c>
      <c r="W1396" t="s">
        <v>297</v>
      </c>
      <c r="X1396" s="3">
        <v>-925</v>
      </c>
    </row>
    <row r="1397" spans="1:24" s="2" customFormat="1" x14ac:dyDescent="0.2">
      <c r="A1397">
        <v>1397</v>
      </c>
      <c r="B1397" t="s">
        <v>2375</v>
      </c>
      <c r="C1397" t="s">
        <v>2376</v>
      </c>
      <c r="D1397" t="s">
        <v>2447</v>
      </c>
      <c r="E1397" t="s">
        <v>30</v>
      </c>
      <c r="F1397" t="s">
        <v>24</v>
      </c>
      <c r="G1397" t="s">
        <v>25</v>
      </c>
      <c r="H1397" t="str">
        <f t="shared" si="42"/>
        <v>2/6 - GERENCIAMENTO RIVIERA 2/6 | Recorrência: | Observações: EMITIR NF PF - 51.716,40
Maria Isabel C Najm Strapetti 
CPF 073.627.088-40
Endereço: Rua General Fonseca Teles, 64 - Jd. Paulistano - CEP 01429-020 - São Paulo - SP
E-mail: belstrapetti@gmail.com</v>
      </c>
      <c r="I1397" t="s">
        <v>491</v>
      </c>
      <c r="J1397" s="4">
        <v>8619.0499999999993</v>
      </c>
      <c r="K1397" s="4">
        <v>675009.31</v>
      </c>
      <c r="L1397" t="s">
        <v>27</v>
      </c>
      <c r="M1397" s="4">
        <v>8619.0499999999993</v>
      </c>
      <c r="N1397" s="3">
        <v>0</v>
      </c>
      <c r="O1397" t="s">
        <v>2444</v>
      </c>
      <c r="P1397" t="s">
        <v>2301</v>
      </c>
      <c r="Q1397" t="s">
        <v>2437</v>
      </c>
      <c r="R1397" t="str">
        <f t="shared" si="43"/>
        <v>Sim</v>
      </c>
      <c r="S1397" t="s">
        <v>2437</v>
      </c>
      <c r="T1397" t="s">
        <v>2378</v>
      </c>
      <c r="U1397" t="s">
        <v>274</v>
      </c>
      <c r="V1397" s="3">
        <v>8619.0499999999993</v>
      </c>
      <c r="W1397" t="s">
        <v>166</v>
      </c>
      <c r="X1397" s="3">
        <v>8619.0499999999993</v>
      </c>
    </row>
    <row r="1398" spans="1:24" s="2" customFormat="1" x14ac:dyDescent="0.2">
      <c r="A1398" s="2">
        <v>1398</v>
      </c>
      <c r="B1398" t="s">
        <v>2426</v>
      </c>
      <c r="C1398" t="s">
        <v>2427</v>
      </c>
      <c r="D1398" t="s">
        <v>2448</v>
      </c>
      <c r="E1398" t="s">
        <v>30</v>
      </c>
      <c r="F1398" t="s">
        <v>24</v>
      </c>
      <c r="G1398" t="s">
        <v>25</v>
      </c>
      <c r="H1398" t="str">
        <f t="shared" si="42"/>
        <v>3/6 - GERENCIAMENTO RIVIERA  3/6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398" t="s">
        <v>491</v>
      </c>
      <c r="J1398" s="4">
        <v>11308</v>
      </c>
      <c r="K1398" s="4">
        <v>686317.31</v>
      </c>
      <c r="L1398" t="s">
        <v>27</v>
      </c>
      <c r="M1398" s="4">
        <v>11308</v>
      </c>
      <c r="N1398" s="3">
        <v>0</v>
      </c>
      <c r="O1398" t="s">
        <v>2444</v>
      </c>
      <c r="P1398" t="s">
        <v>2301</v>
      </c>
      <c r="Q1398" t="s">
        <v>2449</v>
      </c>
      <c r="R1398" t="str">
        <f t="shared" si="43"/>
        <v>Sim</v>
      </c>
      <c r="S1398" t="s">
        <v>2449</v>
      </c>
      <c r="T1398" t="s">
        <v>2428</v>
      </c>
      <c r="U1398" t="s">
        <v>274</v>
      </c>
      <c r="V1398" s="3">
        <v>11308</v>
      </c>
      <c r="W1398" t="s">
        <v>166</v>
      </c>
      <c r="X1398" s="3">
        <v>11308</v>
      </c>
    </row>
    <row r="1399" spans="1:24" s="2" customFormat="1" x14ac:dyDescent="0.2">
      <c r="A1399">
        <v>1399</v>
      </c>
      <c r="B1399" t="s">
        <v>2274</v>
      </c>
      <c r="C1399" t="s">
        <v>2275</v>
      </c>
      <c r="D1399" t="s">
        <v>2450</v>
      </c>
      <c r="E1399" t="s">
        <v>30</v>
      </c>
      <c r="F1399" t="s">
        <v>24</v>
      </c>
      <c r="G1399" t="s">
        <v>25</v>
      </c>
      <c r="H1399" t="str">
        <f t="shared" si="42"/>
        <v xml:space="preserve">3/3 - RT &gt; P 1500 / P 15394 / P1094 3/3 | Recorrência: | Observações: Cliente: Baltimore Participações LTDA  - (Stephanie)
Pedido: P-1500
Valor da venda: R$ 38.400,00
RT R$ 1.828,00
Cliente: Amauri Marchi
Pedido: 15394
Valor da venda: R$ 154.000,00
RT R$ 6.300,40
Cliente: Baltimore Participações LTDA -  (Stephanie)
Pedido: P-1094
Valor da venda: R$ 80.400
RT R$ 3.828,60
</v>
      </c>
      <c r="I1399" t="s">
        <v>491</v>
      </c>
      <c r="J1399" s="4">
        <v>3956.6</v>
      </c>
      <c r="K1399" s="4">
        <v>690273.91</v>
      </c>
      <c r="L1399" t="s">
        <v>27</v>
      </c>
      <c r="M1399" s="4">
        <v>3956.6</v>
      </c>
      <c r="N1399" s="3">
        <v>0</v>
      </c>
      <c r="O1399" t="s">
        <v>2444</v>
      </c>
      <c r="P1399" t="s">
        <v>2189</v>
      </c>
      <c r="Q1399" t="s">
        <v>2451</v>
      </c>
      <c r="R1399" t="str">
        <f t="shared" si="43"/>
        <v>Sim</v>
      </c>
      <c r="S1399" t="s">
        <v>2451</v>
      </c>
      <c r="T1399" t="s">
        <v>2277</v>
      </c>
      <c r="U1399" t="s">
        <v>49</v>
      </c>
      <c r="V1399" s="3">
        <v>3956.6</v>
      </c>
      <c r="W1399" t="s">
        <v>494</v>
      </c>
      <c r="X1399" s="3">
        <v>3956.6</v>
      </c>
    </row>
    <row r="1400" spans="1:24" s="2" customFormat="1" x14ac:dyDescent="0.2">
      <c r="A1400" s="2">
        <v>1400</v>
      </c>
      <c r="B1400" t="s">
        <v>2453</v>
      </c>
      <c r="C1400" t="s">
        <v>2454</v>
      </c>
      <c r="D1400" t="s">
        <v>2455</v>
      </c>
      <c r="E1400" t="s">
        <v>30</v>
      </c>
      <c r="F1400" t="s">
        <v>24</v>
      </c>
      <c r="G1400" t="s">
        <v>25</v>
      </c>
      <c r="H1400" t="str">
        <f t="shared" si="42"/>
        <v xml:space="preserve">RT  FARIZE ELEANDRO | Recorrência: | Observações: </v>
      </c>
      <c r="I1400" t="s">
        <v>491</v>
      </c>
      <c r="J1400" s="4">
        <v>1407</v>
      </c>
      <c r="K1400" s="4">
        <v>691680.91</v>
      </c>
      <c r="L1400" t="s">
        <v>27</v>
      </c>
      <c r="M1400" s="4">
        <v>1407</v>
      </c>
      <c r="N1400" s="3">
        <v>0</v>
      </c>
      <c r="O1400" t="s">
        <v>2452</v>
      </c>
      <c r="P1400" t="s">
        <v>2418</v>
      </c>
      <c r="Q1400" t="s">
        <v>2456</v>
      </c>
      <c r="R1400" t="str">
        <f t="shared" si="43"/>
        <v>Sim</v>
      </c>
      <c r="S1400" t="s">
        <v>2456</v>
      </c>
      <c r="T1400" t="s">
        <v>30</v>
      </c>
      <c r="U1400" t="s">
        <v>49</v>
      </c>
      <c r="V1400" s="3">
        <v>1407</v>
      </c>
      <c r="W1400" t="s">
        <v>494</v>
      </c>
      <c r="X1400" s="3">
        <v>1407</v>
      </c>
    </row>
    <row r="1401" spans="1:24" s="2" customFormat="1" x14ac:dyDescent="0.2">
      <c r="A1401">
        <v>1401</v>
      </c>
      <c r="B1401" t="s">
        <v>106</v>
      </c>
      <c r="C1401" t="s">
        <v>107</v>
      </c>
      <c r="D1401" t="s">
        <v>2457</v>
      </c>
      <c r="E1401" t="s">
        <v>30</v>
      </c>
      <c r="F1401" t="s">
        <v>24</v>
      </c>
      <c r="G1401" t="s">
        <v>25</v>
      </c>
      <c r="H1401" t="str">
        <f t="shared" si="42"/>
        <v xml:space="preserve">1/4 - GERENCIAMENTO: Rua Conde D’Eu,861 - Alto da Boa Vista 1/4 | Recorrência: | Observações: </v>
      </c>
      <c r="I1401" t="s">
        <v>491</v>
      </c>
      <c r="J1401" s="4">
        <v>4000</v>
      </c>
      <c r="K1401" s="4">
        <v>695680.91</v>
      </c>
      <c r="L1401" t="s">
        <v>27</v>
      </c>
      <c r="M1401" s="4">
        <v>4000</v>
      </c>
      <c r="N1401" s="3">
        <v>0</v>
      </c>
      <c r="O1401" t="s">
        <v>2452</v>
      </c>
      <c r="P1401" t="s">
        <v>2187</v>
      </c>
      <c r="Q1401" t="s">
        <v>2458</v>
      </c>
      <c r="R1401" t="str">
        <f t="shared" si="43"/>
        <v>Sim</v>
      </c>
      <c r="S1401" t="s">
        <v>2458</v>
      </c>
      <c r="T1401" t="s">
        <v>30</v>
      </c>
      <c r="U1401" t="s">
        <v>274</v>
      </c>
      <c r="V1401" s="3">
        <v>4000</v>
      </c>
      <c r="W1401" t="s">
        <v>1161</v>
      </c>
      <c r="X1401" s="3">
        <v>4000</v>
      </c>
    </row>
    <row r="1402" spans="1:24" s="2" customFormat="1" x14ac:dyDescent="0.2">
      <c r="A1402" s="2">
        <v>1402</v>
      </c>
      <c r="B1402" t="s">
        <v>1673</v>
      </c>
      <c r="C1402" t="s">
        <v>1674</v>
      </c>
      <c r="D1402" t="s">
        <v>2459</v>
      </c>
      <c r="E1402" t="s">
        <v>30</v>
      </c>
      <c r="F1402" t="s">
        <v>24</v>
      </c>
      <c r="G1402" t="s">
        <v>25</v>
      </c>
      <c r="H1402" t="str">
        <f t="shared" si="42"/>
        <v xml:space="preserve">RT PEDIDO 25241223 - O PARQUE_DIANA E DIOGO | Recorrência: | Observações: </v>
      </c>
      <c r="I1402" t="s">
        <v>491</v>
      </c>
      <c r="J1402" s="4">
        <v>1000</v>
      </c>
      <c r="K1402" s="4">
        <v>696680.91</v>
      </c>
      <c r="L1402" t="s">
        <v>27</v>
      </c>
      <c r="M1402" s="4">
        <v>1000</v>
      </c>
      <c r="N1402" s="3">
        <v>0</v>
      </c>
      <c r="O1402" t="s">
        <v>2452</v>
      </c>
      <c r="P1402" t="s">
        <v>2460</v>
      </c>
      <c r="Q1402" t="s">
        <v>2452</v>
      </c>
      <c r="R1402" t="str">
        <f t="shared" si="43"/>
        <v>nao</v>
      </c>
      <c r="S1402" t="s">
        <v>2461</v>
      </c>
      <c r="T1402" t="s">
        <v>30</v>
      </c>
      <c r="U1402" t="s">
        <v>49</v>
      </c>
      <c r="V1402" s="3">
        <v>1000</v>
      </c>
      <c r="W1402" t="s">
        <v>494</v>
      </c>
      <c r="X1402" s="3">
        <v>1000</v>
      </c>
    </row>
    <row r="1403" spans="1:24" s="2" customFormat="1" x14ac:dyDescent="0.2">
      <c r="A1403">
        <v>1403</v>
      </c>
      <c r="B1403" t="s">
        <v>2463</v>
      </c>
      <c r="C1403" t="s">
        <v>2464</v>
      </c>
      <c r="D1403" t="s">
        <v>2465</v>
      </c>
      <c r="E1403" t="s">
        <v>30</v>
      </c>
      <c r="F1403" t="s">
        <v>24</v>
      </c>
      <c r="G1403" t="s">
        <v>25</v>
      </c>
      <c r="H1403" t="str">
        <f t="shared" si="42"/>
        <v xml:space="preserve">1/3 - PROJETO INTERIORES  1/3 | Recorrência: | Observações: </v>
      </c>
      <c r="I1403" t="s">
        <v>491</v>
      </c>
      <c r="J1403" s="4">
        <v>5000</v>
      </c>
      <c r="K1403" s="4">
        <v>701680.91</v>
      </c>
      <c r="L1403" t="s">
        <v>27</v>
      </c>
      <c r="M1403" s="4">
        <v>5000</v>
      </c>
      <c r="N1403" s="3">
        <v>0</v>
      </c>
      <c r="O1403" t="s">
        <v>2462</v>
      </c>
      <c r="P1403" t="s">
        <v>2462</v>
      </c>
      <c r="Q1403" t="s">
        <v>2456</v>
      </c>
      <c r="R1403" t="str">
        <f t="shared" si="43"/>
        <v>Sim</v>
      </c>
      <c r="S1403" t="s">
        <v>2456</v>
      </c>
      <c r="T1403" t="s">
        <v>30</v>
      </c>
      <c r="U1403" t="s">
        <v>31</v>
      </c>
      <c r="V1403" s="3">
        <v>5000</v>
      </c>
      <c r="W1403" t="s">
        <v>2466</v>
      </c>
      <c r="X1403" s="3">
        <v>5000</v>
      </c>
    </row>
    <row r="1404" spans="1:24" s="2" customFormat="1" x14ac:dyDescent="0.2">
      <c r="A1404" s="2">
        <v>1404</v>
      </c>
      <c r="B1404" t="s">
        <v>1373</v>
      </c>
      <c r="C1404" t="s">
        <v>1374</v>
      </c>
      <c r="D1404" t="s">
        <v>2467</v>
      </c>
      <c r="E1404" t="s">
        <v>30</v>
      </c>
      <c r="F1404" t="s">
        <v>24</v>
      </c>
      <c r="G1404" t="s">
        <v>25</v>
      </c>
      <c r="H1404" t="str">
        <f t="shared" si="42"/>
        <v xml:space="preserve">2/5 - GERENCIAMENTO  O PARQUE  2/5 | Recorrência: | Observações: </v>
      </c>
      <c r="I1404" t="s">
        <v>491</v>
      </c>
      <c r="J1404" s="4">
        <v>3500</v>
      </c>
      <c r="K1404" s="4">
        <v>705180.91</v>
      </c>
      <c r="L1404" t="s">
        <v>27</v>
      </c>
      <c r="M1404" s="4">
        <v>3500</v>
      </c>
      <c r="N1404" s="3">
        <v>0</v>
      </c>
      <c r="O1404" t="s">
        <v>2451</v>
      </c>
      <c r="P1404" t="s">
        <v>1938</v>
      </c>
      <c r="Q1404" t="s">
        <v>2451</v>
      </c>
      <c r="R1404" t="str">
        <f t="shared" si="43"/>
        <v>Sim</v>
      </c>
      <c r="S1404" t="s">
        <v>2451</v>
      </c>
      <c r="T1404" t="s">
        <v>30</v>
      </c>
      <c r="U1404" t="s">
        <v>274</v>
      </c>
      <c r="V1404" s="3">
        <v>3500</v>
      </c>
      <c r="W1404" t="s">
        <v>166</v>
      </c>
      <c r="X1404" s="3">
        <v>3500</v>
      </c>
    </row>
    <row r="1405" spans="1:24" s="2" customFormat="1" x14ac:dyDescent="0.2">
      <c r="A1405">
        <v>1405</v>
      </c>
      <c r="B1405" t="s">
        <v>1048</v>
      </c>
      <c r="C1405" t="s">
        <v>1049</v>
      </c>
      <c r="D1405" t="s">
        <v>2468</v>
      </c>
      <c r="E1405" t="s">
        <v>30</v>
      </c>
      <c r="F1405" t="s">
        <v>24</v>
      </c>
      <c r="G1405" t="s">
        <v>25</v>
      </c>
      <c r="H1405" t="str">
        <f t="shared" si="42"/>
        <v xml:space="preserve">RT - MARIEL E FAUSTO BOLDRINI | Recorrência: | Observações: </v>
      </c>
      <c r="I1405" t="s">
        <v>491</v>
      </c>
      <c r="J1405" s="4">
        <v>6609.18</v>
      </c>
      <c r="K1405" s="4">
        <v>711790.09</v>
      </c>
      <c r="L1405" t="s">
        <v>27</v>
      </c>
      <c r="M1405" s="4">
        <v>6609.18</v>
      </c>
      <c r="N1405" s="3">
        <v>0</v>
      </c>
      <c r="O1405" t="s">
        <v>2451</v>
      </c>
      <c r="P1405" t="s">
        <v>2444</v>
      </c>
      <c r="Q1405" t="s">
        <v>2444</v>
      </c>
      <c r="R1405" t="str">
        <f t="shared" si="43"/>
        <v>Sim</v>
      </c>
      <c r="S1405" t="s">
        <v>2444</v>
      </c>
      <c r="T1405" t="s">
        <v>30</v>
      </c>
      <c r="U1405" t="s">
        <v>49</v>
      </c>
      <c r="V1405" s="3">
        <v>6609.18</v>
      </c>
      <c r="W1405" t="s">
        <v>494</v>
      </c>
      <c r="X1405" s="3">
        <v>6609.18</v>
      </c>
    </row>
    <row r="1406" spans="1:24" s="2" customFormat="1" x14ac:dyDescent="0.2">
      <c r="A1406" s="2">
        <v>1406</v>
      </c>
      <c r="B1406" t="s">
        <v>1450</v>
      </c>
      <c r="C1406" t="s">
        <v>1451</v>
      </c>
      <c r="D1406" t="s">
        <v>2469</v>
      </c>
      <c r="E1406" t="s">
        <v>30</v>
      </c>
      <c r="F1406" t="s">
        <v>24</v>
      </c>
      <c r="G1406" t="s">
        <v>25</v>
      </c>
      <c r="H1406" t="str">
        <f t="shared" si="42"/>
        <v xml:space="preserve">RT CAMILA DOSSE E PAULO RAMOS - 2° DEPÓSITO | Recorrência: | Observações: </v>
      </c>
      <c r="I1406" t="s">
        <v>491</v>
      </c>
      <c r="J1406" s="4">
        <v>3000</v>
      </c>
      <c r="K1406" s="4">
        <v>711790.09</v>
      </c>
      <c r="L1406" t="s">
        <v>756</v>
      </c>
      <c r="M1406" s="4">
        <v>3000</v>
      </c>
      <c r="N1406" s="3">
        <v>0</v>
      </c>
      <c r="O1406" t="s">
        <v>2451</v>
      </c>
      <c r="P1406" t="s">
        <v>2201</v>
      </c>
      <c r="Q1406" t="s">
        <v>2451</v>
      </c>
      <c r="R1406" t="str">
        <f t="shared" si="43"/>
        <v>Sim</v>
      </c>
      <c r="S1406" t="s">
        <v>2451</v>
      </c>
      <c r="T1406" t="s">
        <v>30</v>
      </c>
      <c r="U1406" t="s">
        <v>49</v>
      </c>
      <c r="V1406" s="3">
        <v>3000</v>
      </c>
      <c r="W1406" t="s">
        <v>494</v>
      </c>
      <c r="X1406" s="3">
        <v>3000</v>
      </c>
    </row>
    <row r="1407" spans="1:24" s="2" customFormat="1" x14ac:dyDescent="0.2">
      <c r="A1407">
        <v>1407</v>
      </c>
      <c r="B1407" t="s">
        <v>1810</v>
      </c>
      <c r="C1407" t="s">
        <v>1811</v>
      </c>
      <c r="D1407" t="s">
        <v>2471</v>
      </c>
      <c r="E1407" t="s">
        <v>30</v>
      </c>
      <c r="F1407" t="s">
        <v>24</v>
      </c>
      <c r="G1407" t="s">
        <v>25</v>
      </c>
      <c r="H1407" t="str">
        <f t="shared" si="42"/>
        <v xml:space="preserve">3/3 - GERENCIAMENTO - EDIFICIO D'ORU 3/3 | Recorrência: | Observações: </v>
      </c>
      <c r="I1407" t="s">
        <v>491</v>
      </c>
      <c r="J1407" s="4">
        <v>1815.5</v>
      </c>
      <c r="K1407" s="4">
        <v>713605.59</v>
      </c>
      <c r="L1407" t="s">
        <v>27</v>
      </c>
      <c r="M1407" s="4">
        <v>1815.5</v>
      </c>
      <c r="N1407" s="3">
        <v>0</v>
      </c>
      <c r="O1407" t="s">
        <v>2470</v>
      </c>
      <c r="P1407" t="s">
        <v>2038</v>
      </c>
      <c r="Q1407" t="s">
        <v>2472</v>
      </c>
      <c r="R1407" t="str">
        <f t="shared" si="43"/>
        <v>Sim</v>
      </c>
      <c r="S1407" t="s">
        <v>2472</v>
      </c>
      <c r="T1407" t="s">
        <v>30</v>
      </c>
      <c r="U1407" t="s">
        <v>40</v>
      </c>
      <c r="V1407" s="3">
        <v>1815.5</v>
      </c>
      <c r="W1407" t="s">
        <v>166</v>
      </c>
      <c r="X1407" s="3">
        <v>1815.5</v>
      </c>
    </row>
    <row r="1408" spans="1:24" s="2" customFormat="1" x14ac:dyDescent="0.2">
      <c r="A1408" s="2">
        <v>1408</v>
      </c>
      <c r="B1408" t="s">
        <v>2109</v>
      </c>
      <c r="C1408" t="s">
        <v>2110</v>
      </c>
      <c r="D1408" t="s">
        <v>2473</v>
      </c>
      <c r="E1408" t="s">
        <v>30</v>
      </c>
      <c r="F1408" t="s">
        <v>24</v>
      </c>
      <c r="G1408" t="s">
        <v>25</v>
      </c>
      <c r="H1408" t="str">
        <f t="shared" si="42"/>
        <v xml:space="preserve">3/3 - GERENCIAMENTO PROJETO CORPORATIVO  3/3 | Recorrência: | Observações: </v>
      </c>
      <c r="I1408" t="s">
        <v>491</v>
      </c>
      <c r="J1408" s="4">
        <v>2500</v>
      </c>
      <c r="K1408" s="4">
        <v>716105.59</v>
      </c>
      <c r="L1408" t="s">
        <v>27</v>
      </c>
      <c r="M1408" s="4">
        <v>2500</v>
      </c>
      <c r="N1408" s="3">
        <v>0</v>
      </c>
      <c r="O1408" t="s">
        <v>2470</v>
      </c>
      <c r="P1408" t="s">
        <v>2099</v>
      </c>
      <c r="Q1408" t="s">
        <v>2474</v>
      </c>
      <c r="R1408" t="str">
        <f t="shared" si="43"/>
        <v>Sim</v>
      </c>
      <c r="S1408" t="s">
        <v>2474</v>
      </c>
      <c r="T1408" t="s">
        <v>30</v>
      </c>
      <c r="U1408" t="s">
        <v>274</v>
      </c>
      <c r="V1408" s="3">
        <v>2500</v>
      </c>
      <c r="W1408" t="s">
        <v>166</v>
      </c>
      <c r="X1408" s="3">
        <v>2500</v>
      </c>
    </row>
    <row r="1409" spans="1:24" s="2" customFormat="1" x14ac:dyDescent="0.2">
      <c r="A1409">
        <v>1409</v>
      </c>
      <c r="B1409" t="s">
        <v>647</v>
      </c>
      <c r="C1409" t="s">
        <v>648</v>
      </c>
      <c r="D1409" t="s">
        <v>1556</v>
      </c>
      <c r="E1409" t="s">
        <v>1404</v>
      </c>
      <c r="F1409" t="s">
        <v>63</v>
      </c>
      <c r="G1409" t="s">
        <v>25</v>
      </c>
      <c r="H1409" t="str">
        <f t="shared" si="42"/>
        <v xml:space="preserve">DARF PREVIDÊNCIARIO | Recorrência:12/12 | Observações: </v>
      </c>
      <c r="I1409" t="s">
        <v>26</v>
      </c>
      <c r="J1409" s="5">
        <v>-1459.36</v>
      </c>
      <c r="K1409" s="4">
        <v>714646.23</v>
      </c>
      <c r="L1409" t="s">
        <v>27</v>
      </c>
      <c r="M1409" s="5">
        <v>-1459.36</v>
      </c>
      <c r="N1409" s="3">
        <v>0</v>
      </c>
      <c r="O1409" t="s">
        <v>2472</v>
      </c>
      <c r="P1409" t="s">
        <v>2449</v>
      </c>
      <c r="Q1409" t="s">
        <v>2475</v>
      </c>
      <c r="R1409" t="str">
        <f t="shared" si="43"/>
        <v>Sim</v>
      </c>
      <c r="S1409" t="s">
        <v>2475</v>
      </c>
      <c r="T1409" t="s">
        <v>30</v>
      </c>
      <c r="U1409" t="s">
        <v>601</v>
      </c>
      <c r="V1409" s="3">
        <v>-1459.36</v>
      </c>
      <c r="W1409" t="s">
        <v>376</v>
      </c>
      <c r="X1409" s="3">
        <v>-1459.36</v>
      </c>
    </row>
    <row r="1410" spans="1:24" s="2" customFormat="1" x14ac:dyDescent="0.2">
      <c r="A1410" s="2">
        <v>1410</v>
      </c>
      <c r="B1410"/>
      <c r="C1410" t="s">
        <v>574</v>
      </c>
      <c r="D1410" t="s">
        <v>2476</v>
      </c>
      <c r="E1410" t="s">
        <v>30</v>
      </c>
      <c r="F1410" t="s">
        <v>63</v>
      </c>
      <c r="G1410" t="s">
        <v>25</v>
      </c>
      <c r="H1410" t="str">
        <f t="shared" si="42"/>
        <v xml:space="preserve">1/12 - CONDOMINIO+ALUGUEL  1/12 | Recorrência: | Observações: </v>
      </c>
      <c r="I1410" t="s">
        <v>491</v>
      </c>
      <c r="J1410" s="5">
        <v>-5599.45</v>
      </c>
      <c r="K1410" s="4">
        <v>709046.78</v>
      </c>
      <c r="L1410" t="s">
        <v>27</v>
      </c>
      <c r="M1410" s="5">
        <v>-5599.45</v>
      </c>
      <c r="N1410" s="3">
        <v>0</v>
      </c>
      <c r="O1410" t="s">
        <v>2472</v>
      </c>
      <c r="P1410" t="s">
        <v>2472</v>
      </c>
      <c r="Q1410" t="s">
        <v>2477</v>
      </c>
      <c r="R1410" t="str">
        <f t="shared" si="43"/>
        <v>Sim</v>
      </c>
      <c r="S1410" t="s">
        <v>2477</v>
      </c>
      <c r="T1410" t="s">
        <v>30</v>
      </c>
      <c r="U1410" t="s">
        <v>571</v>
      </c>
      <c r="V1410" s="3">
        <v>-5599.45</v>
      </c>
      <c r="W1410" t="s">
        <v>570</v>
      </c>
      <c r="X1410" s="3">
        <v>-5599.45</v>
      </c>
    </row>
    <row r="1411" spans="1:24" s="2" customFormat="1" x14ac:dyDescent="0.2">
      <c r="A1411">
        <v>1411</v>
      </c>
      <c r="B1411"/>
      <c r="C1411" t="s">
        <v>153</v>
      </c>
      <c r="D1411" t="s">
        <v>2478</v>
      </c>
      <c r="E1411" t="s">
        <v>30</v>
      </c>
      <c r="F1411" t="s">
        <v>63</v>
      </c>
      <c r="G1411" t="s">
        <v>25</v>
      </c>
      <c r="H1411" t="str">
        <f t="shared" ref="H1411:H1474" si="44">D1411&amp;" | "&amp;$E$1&amp;E1411&amp;" | Observações: "&amp;T1411</f>
        <v xml:space="preserve">2° PARCELA 13° SALÁRIO - ELIANE | Recorrência: | Observações: </v>
      </c>
      <c r="I1411" t="s">
        <v>491</v>
      </c>
      <c r="J1411" s="5">
        <v>-766.15</v>
      </c>
      <c r="K1411" s="4">
        <v>708280.63</v>
      </c>
      <c r="L1411" t="s">
        <v>27</v>
      </c>
      <c r="M1411" s="5">
        <v>-766.15</v>
      </c>
      <c r="N1411" s="3">
        <v>0</v>
      </c>
      <c r="O1411" t="s">
        <v>2472</v>
      </c>
      <c r="P1411" t="s">
        <v>2479</v>
      </c>
      <c r="Q1411" t="s">
        <v>2458</v>
      </c>
      <c r="R1411" t="str">
        <f t="shared" ref="R1411:R1474" si="45">IF(Q1411=S1411,"Sim","nao")</f>
        <v>Sim</v>
      </c>
      <c r="S1411" t="s">
        <v>2458</v>
      </c>
      <c r="T1411" t="s">
        <v>30</v>
      </c>
      <c r="U1411" t="s">
        <v>599</v>
      </c>
      <c r="V1411" s="3">
        <v>-766.15</v>
      </c>
      <c r="W1411" t="s">
        <v>2420</v>
      </c>
      <c r="X1411" s="3">
        <v>-766.15</v>
      </c>
    </row>
    <row r="1412" spans="1:24" s="2" customFormat="1" x14ac:dyDescent="0.2">
      <c r="A1412" s="2">
        <v>1412</v>
      </c>
      <c r="B1412"/>
      <c r="C1412" t="s">
        <v>153</v>
      </c>
      <c r="D1412" t="s">
        <v>2480</v>
      </c>
      <c r="E1412" t="s">
        <v>30</v>
      </c>
      <c r="F1412" t="s">
        <v>63</v>
      </c>
      <c r="G1412" t="s">
        <v>25</v>
      </c>
      <c r="H1412" t="str">
        <f t="shared" si="44"/>
        <v>1/13 - SALÁRIO - JULYA FIGUEIREDO - COORDENADORA 1/13 | Recorrência: | Observações: REFERENTE AO MÊS DE DEZEMBRO / 2024</v>
      </c>
      <c r="I1412" t="s">
        <v>491</v>
      </c>
      <c r="J1412" s="5">
        <v>-4847.42</v>
      </c>
      <c r="K1412" s="4">
        <v>703433.21</v>
      </c>
      <c r="L1412" t="s">
        <v>27</v>
      </c>
      <c r="M1412" s="5">
        <v>-4847.42</v>
      </c>
      <c r="N1412" s="3">
        <v>0</v>
      </c>
      <c r="O1412" t="s">
        <v>2472</v>
      </c>
      <c r="P1412" t="s">
        <v>2418</v>
      </c>
      <c r="Q1412" t="s">
        <v>2481</v>
      </c>
      <c r="R1412" t="str">
        <f t="shared" si="45"/>
        <v>Sim</v>
      </c>
      <c r="S1412" t="s">
        <v>2481</v>
      </c>
      <c r="T1412" t="s">
        <v>2482</v>
      </c>
      <c r="U1412" t="s">
        <v>323</v>
      </c>
      <c r="V1412" s="3">
        <v>-4847.42</v>
      </c>
      <c r="W1412" t="s">
        <v>1164</v>
      </c>
      <c r="X1412" s="3">
        <v>-4847.42</v>
      </c>
    </row>
    <row r="1413" spans="1:24" s="2" customFormat="1" x14ac:dyDescent="0.2">
      <c r="A1413">
        <v>1413</v>
      </c>
      <c r="B1413"/>
      <c r="C1413" t="s">
        <v>828</v>
      </c>
      <c r="D1413" t="s">
        <v>830</v>
      </c>
      <c r="E1413" t="s">
        <v>2483</v>
      </c>
      <c r="F1413" t="s">
        <v>63</v>
      </c>
      <c r="G1413" t="s">
        <v>25</v>
      </c>
      <c r="H1413" t="str">
        <f t="shared" si="44"/>
        <v xml:space="preserve">PREFEITURA DO MUNICIPIO DE BERTIOGA | Recorrência:22/41 | Observações: REF.02 PAGAMENTOS </v>
      </c>
      <c r="I1413" t="s">
        <v>26</v>
      </c>
      <c r="J1413" s="5">
        <v>-235.48</v>
      </c>
      <c r="K1413" s="4">
        <v>703197.73</v>
      </c>
      <c r="L1413" t="s">
        <v>27</v>
      </c>
      <c r="M1413" s="5">
        <v>-235.48</v>
      </c>
      <c r="N1413" s="3">
        <v>0</v>
      </c>
      <c r="O1413" t="s">
        <v>2472</v>
      </c>
      <c r="P1413" t="s">
        <v>2470</v>
      </c>
      <c r="Q1413" t="s">
        <v>2484</v>
      </c>
      <c r="R1413" t="str">
        <f t="shared" si="45"/>
        <v>Sim</v>
      </c>
      <c r="S1413" t="s">
        <v>2484</v>
      </c>
      <c r="T1413" t="s">
        <v>831</v>
      </c>
      <c r="U1413" t="s">
        <v>832</v>
      </c>
      <c r="V1413" s="3">
        <v>-235.48</v>
      </c>
      <c r="W1413" t="s">
        <v>376</v>
      </c>
      <c r="X1413" s="3">
        <v>-235.48</v>
      </c>
    </row>
    <row r="1414" spans="1:24" s="2" customFormat="1" x14ac:dyDescent="0.2">
      <c r="A1414" s="2">
        <v>1414</v>
      </c>
      <c r="B1414" t="s">
        <v>647</v>
      </c>
      <c r="C1414" t="s">
        <v>648</v>
      </c>
      <c r="D1414" t="s">
        <v>2485</v>
      </c>
      <c r="E1414" t="s">
        <v>30</v>
      </c>
      <c r="F1414" t="s">
        <v>63</v>
      </c>
      <c r="G1414" t="s">
        <v>25</v>
      </c>
      <c r="H1414" t="str">
        <f t="shared" si="44"/>
        <v xml:space="preserve">6/59 - DARF PIS 6/60 | Recorrência: | Observações: </v>
      </c>
      <c r="I1414" t="s">
        <v>26</v>
      </c>
      <c r="J1414" s="5">
        <v>-123.64</v>
      </c>
      <c r="K1414" s="4">
        <v>703074.09</v>
      </c>
      <c r="L1414" t="s">
        <v>27</v>
      </c>
      <c r="M1414" s="5">
        <v>-123.64</v>
      </c>
      <c r="N1414" s="3">
        <v>0</v>
      </c>
      <c r="O1414" t="s">
        <v>2472</v>
      </c>
      <c r="P1414" t="s">
        <v>1502</v>
      </c>
      <c r="Q1414" t="s">
        <v>2456</v>
      </c>
      <c r="R1414" t="str">
        <f t="shared" si="45"/>
        <v>Sim</v>
      </c>
      <c r="S1414" t="s">
        <v>2456</v>
      </c>
      <c r="T1414" t="s">
        <v>30</v>
      </c>
      <c r="U1414" t="s">
        <v>601</v>
      </c>
      <c r="V1414" s="3">
        <v>-123.64</v>
      </c>
      <c r="W1414" t="s">
        <v>324</v>
      </c>
      <c r="X1414" s="3">
        <v>-123.64</v>
      </c>
    </row>
    <row r="1415" spans="1:24" s="2" customFormat="1" x14ac:dyDescent="0.2">
      <c r="A1415">
        <v>1415</v>
      </c>
      <c r="B1415" t="s">
        <v>647</v>
      </c>
      <c r="C1415" t="s">
        <v>648</v>
      </c>
      <c r="D1415" t="s">
        <v>1794</v>
      </c>
      <c r="E1415" t="s">
        <v>1404</v>
      </c>
      <c r="F1415" t="s">
        <v>63</v>
      </c>
      <c r="G1415" t="s">
        <v>25</v>
      </c>
      <c r="H1415" t="str">
        <f t="shared" si="44"/>
        <v xml:space="preserve">DARF COFINS - | Recorrência:12/12 | Observações: </v>
      </c>
      <c r="I1415" t="s">
        <v>26</v>
      </c>
      <c r="J1415" s="5">
        <v>-570.61</v>
      </c>
      <c r="K1415" s="4">
        <v>702503.48</v>
      </c>
      <c r="L1415" t="s">
        <v>27</v>
      </c>
      <c r="M1415" s="5">
        <v>-570.61</v>
      </c>
      <c r="N1415" s="3">
        <v>0</v>
      </c>
      <c r="O1415" t="s">
        <v>2472</v>
      </c>
      <c r="P1415" t="s">
        <v>2413</v>
      </c>
      <c r="Q1415" t="s">
        <v>2486</v>
      </c>
      <c r="R1415" t="str">
        <f t="shared" si="45"/>
        <v>Sim</v>
      </c>
      <c r="S1415" t="s">
        <v>2486</v>
      </c>
      <c r="T1415" t="s">
        <v>30</v>
      </c>
      <c r="U1415" t="s">
        <v>1508</v>
      </c>
      <c r="V1415" s="3">
        <v>-570.61</v>
      </c>
      <c r="W1415" t="s">
        <v>297</v>
      </c>
      <c r="X1415" s="3">
        <v>-570.61</v>
      </c>
    </row>
    <row r="1416" spans="1:24" s="2" customFormat="1" x14ac:dyDescent="0.2">
      <c r="A1416" s="2">
        <v>1416</v>
      </c>
      <c r="B1416" t="s">
        <v>647</v>
      </c>
      <c r="C1416" t="s">
        <v>648</v>
      </c>
      <c r="D1416" t="s">
        <v>2487</v>
      </c>
      <c r="E1416" t="s">
        <v>30</v>
      </c>
      <c r="F1416" t="s">
        <v>63</v>
      </c>
      <c r="G1416" t="s">
        <v>25</v>
      </c>
      <c r="H1416" t="str">
        <f t="shared" si="44"/>
        <v xml:space="preserve">DARF PREVIDENCIARIO 13°/2023 | Recorrência: | Observações: </v>
      </c>
      <c r="I1416" t="s">
        <v>26</v>
      </c>
      <c r="J1416" s="5">
        <v>-640.96</v>
      </c>
      <c r="K1416" s="4">
        <v>701862.52</v>
      </c>
      <c r="L1416" t="s">
        <v>27</v>
      </c>
      <c r="M1416" s="5">
        <v>-640.96</v>
      </c>
      <c r="N1416" s="3">
        <v>0</v>
      </c>
      <c r="O1416" t="s">
        <v>2472</v>
      </c>
      <c r="P1416" t="s">
        <v>2458</v>
      </c>
      <c r="Q1416" t="s">
        <v>2458</v>
      </c>
      <c r="R1416" t="str">
        <f t="shared" si="45"/>
        <v>Sim</v>
      </c>
      <c r="S1416" t="s">
        <v>2458</v>
      </c>
      <c r="T1416" t="s">
        <v>30</v>
      </c>
      <c r="U1416" t="s">
        <v>1508</v>
      </c>
      <c r="V1416" s="3">
        <v>-640.96</v>
      </c>
      <c r="W1416" t="s">
        <v>376</v>
      </c>
      <c r="X1416" s="3">
        <v>-640.96</v>
      </c>
    </row>
    <row r="1417" spans="1:24" s="2" customFormat="1" x14ac:dyDescent="0.2">
      <c r="A1417">
        <v>1417</v>
      </c>
      <c r="B1417"/>
      <c r="C1417"/>
      <c r="D1417" t="s">
        <v>2488</v>
      </c>
      <c r="E1417" t="s">
        <v>30</v>
      </c>
      <c r="F1417" t="s">
        <v>63</v>
      </c>
      <c r="G1417" t="s">
        <v>25</v>
      </c>
      <c r="H1417" t="str">
        <f t="shared" si="44"/>
        <v xml:space="preserve">DARF CSRF-Oficina de Ceramicas e Artes | Recorrência: | Observações: </v>
      </c>
      <c r="I1417" t="s">
        <v>26</v>
      </c>
      <c r="J1417" s="5">
        <v>-18.55</v>
      </c>
      <c r="K1417" s="4">
        <v>701843.97</v>
      </c>
      <c r="L1417" t="s">
        <v>27</v>
      </c>
      <c r="M1417" s="5">
        <v>-18.55</v>
      </c>
      <c r="N1417" s="3">
        <v>0</v>
      </c>
      <c r="O1417" t="s">
        <v>2472</v>
      </c>
      <c r="P1417" t="s">
        <v>2458</v>
      </c>
      <c r="Q1417" t="s">
        <v>2458</v>
      </c>
      <c r="R1417" t="str">
        <f t="shared" si="45"/>
        <v>Sim</v>
      </c>
      <c r="S1417" t="s">
        <v>2458</v>
      </c>
      <c r="T1417" t="s">
        <v>30</v>
      </c>
      <c r="U1417" t="s">
        <v>2295</v>
      </c>
      <c r="V1417" s="3">
        <v>-18.55</v>
      </c>
      <c r="W1417" t="s">
        <v>1997</v>
      </c>
      <c r="X1417" s="3">
        <v>-18.55</v>
      </c>
    </row>
    <row r="1418" spans="1:24" s="2" customFormat="1" x14ac:dyDescent="0.2">
      <c r="A1418" s="2">
        <v>1418</v>
      </c>
      <c r="B1418"/>
      <c r="C1418" t="s">
        <v>153</v>
      </c>
      <c r="D1418" t="s">
        <v>2489</v>
      </c>
      <c r="E1418" t="s">
        <v>30</v>
      </c>
      <c r="F1418" t="s">
        <v>63</v>
      </c>
      <c r="G1418" t="s">
        <v>25</v>
      </c>
      <c r="H1418" t="str">
        <f t="shared" si="44"/>
        <v xml:space="preserve">SERVIÇO PRESTADO &gt; MILENA VIANA DA SILVA MORAES | Recorrência: | Observações: </v>
      </c>
      <c r="I1418" t="s">
        <v>26</v>
      </c>
      <c r="J1418" s="5">
        <v>-3040</v>
      </c>
      <c r="K1418" s="4">
        <v>698803.97</v>
      </c>
      <c r="L1418" t="s">
        <v>27</v>
      </c>
      <c r="M1418" s="5">
        <v>-3040</v>
      </c>
      <c r="N1418" s="3">
        <v>0</v>
      </c>
      <c r="O1418" t="s">
        <v>2472</v>
      </c>
      <c r="P1418" t="s">
        <v>2458</v>
      </c>
      <c r="Q1418" t="s">
        <v>2472</v>
      </c>
      <c r="R1418" t="str">
        <f t="shared" si="45"/>
        <v>Sim</v>
      </c>
      <c r="S1418" t="s">
        <v>2472</v>
      </c>
      <c r="T1418" t="s">
        <v>30</v>
      </c>
      <c r="U1418" t="s">
        <v>344</v>
      </c>
      <c r="V1418" s="3">
        <v>-3040</v>
      </c>
      <c r="W1418" t="s">
        <v>2155</v>
      </c>
      <c r="X1418" s="3">
        <v>-3040</v>
      </c>
    </row>
    <row r="1419" spans="1:24" s="2" customFormat="1" x14ac:dyDescent="0.2">
      <c r="A1419">
        <v>1419</v>
      </c>
      <c r="B1419"/>
      <c r="C1419" t="s">
        <v>153</v>
      </c>
      <c r="D1419" t="s">
        <v>2490</v>
      </c>
      <c r="E1419" t="s">
        <v>30</v>
      </c>
      <c r="F1419" t="s">
        <v>63</v>
      </c>
      <c r="G1419" t="s">
        <v>25</v>
      </c>
      <c r="H1419" t="str">
        <f t="shared" si="44"/>
        <v>1/12 - SALÁRIO MAYARA OLIVEIRA  1/12 | Recorrência: | Observações: REFERENTE S DEZEMBRO</v>
      </c>
      <c r="I1419" t="s">
        <v>491</v>
      </c>
      <c r="J1419" s="5">
        <v>-3532.11</v>
      </c>
      <c r="K1419" s="4">
        <v>695271.86</v>
      </c>
      <c r="L1419" t="s">
        <v>27</v>
      </c>
      <c r="M1419" s="5">
        <v>-3532.11</v>
      </c>
      <c r="N1419" s="3">
        <v>0</v>
      </c>
      <c r="O1419" t="s">
        <v>2472</v>
      </c>
      <c r="P1419" t="s">
        <v>2261</v>
      </c>
      <c r="Q1419" t="s">
        <v>2481</v>
      </c>
      <c r="R1419" t="str">
        <f t="shared" si="45"/>
        <v>Sim</v>
      </c>
      <c r="S1419" t="s">
        <v>2481</v>
      </c>
      <c r="T1419" t="s">
        <v>2491</v>
      </c>
      <c r="U1419" t="s">
        <v>323</v>
      </c>
      <c r="V1419" s="3">
        <v>-3532.11</v>
      </c>
      <c r="W1419" t="s">
        <v>1164</v>
      </c>
      <c r="X1419" s="3">
        <v>-3532.11</v>
      </c>
    </row>
    <row r="1420" spans="1:24" s="2" customFormat="1" x14ac:dyDescent="0.2">
      <c r="A1420" s="2">
        <v>1420</v>
      </c>
      <c r="B1420"/>
      <c r="C1420" t="s">
        <v>153</v>
      </c>
      <c r="D1420" t="s">
        <v>2492</v>
      </c>
      <c r="E1420" t="s">
        <v>1404</v>
      </c>
      <c r="F1420" t="s">
        <v>63</v>
      </c>
      <c r="G1420" t="s">
        <v>25</v>
      </c>
      <c r="H1420" t="str">
        <f t="shared" si="44"/>
        <v xml:space="preserve">DIÁRIAS  JULIANA SOARES - REFERENTE DEZEMBRO | Recorrência:12/12 | Observações: </v>
      </c>
      <c r="I1420" t="s">
        <v>491</v>
      </c>
      <c r="J1420" s="5">
        <v>-360</v>
      </c>
      <c r="K1420" s="4">
        <v>694911.86</v>
      </c>
      <c r="L1420" t="s">
        <v>27</v>
      </c>
      <c r="M1420" s="5">
        <v>-360</v>
      </c>
      <c r="N1420" s="3">
        <v>0</v>
      </c>
      <c r="O1420" t="s">
        <v>2458</v>
      </c>
      <c r="P1420" t="s">
        <v>2418</v>
      </c>
      <c r="Q1420" t="s">
        <v>2493</v>
      </c>
      <c r="R1420" t="str">
        <f t="shared" si="45"/>
        <v>Sim</v>
      </c>
      <c r="S1420" t="s">
        <v>2493</v>
      </c>
      <c r="T1420" t="s">
        <v>30</v>
      </c>
      <c r="U1420" t="s">
        <v>691</v>
      </c>
      <c r="V1420" s="3">
        <v>-360</v>
      </c>
      <c r="W1420" t="s">
        <v>1058</v>
      </c>
      <c r="X1420" s="3">
        <v>-360</v>
      </c>
    </row>
    <row r="1421" spans="1:24" s="2" customFormat="1" x14ac:dyDescent="0.2">
      <c r="A1421">
        <v>1421</v>
      </c>
      <c r="B1421" t="s">
        <v>1607</v>
      </c>
      <c r="C1421" t="s">
        <v>1608</v>
      </c>
      <c r="D1421" t="s">
        <v>2494</v>
      </c>
      <c r="E1421" t="s">
        <v>30</v>
      </c>
      <c r="F1421" t="s">
        <v>24</v>
      </c>
      <c r="G1421" t="s">
        <v>25</v>
      </c>
      <c r="H1421" t="str">
        <f t="shared" si="44"/>
        <v xml:space="preserve">RT ORÇ 7881 - ALDEMIRA | Recorrência: | Observações: </v>
      </c>
      <c r="I1421" t="s">
        <v>491</v>
      </c>
      <c r="J1421" s="4">
        <v>400</v>
      </c>
      <c r="K1421" s="4">
        <v>695311.86</v>
      </c>
      <c r="L1421" t="s">
        <v>27</v>
      </c>
      <c r="M1421" s="4">
        <v>400</v>
      </c>
      <c r="N1421" s="3">
        <v>0</v>
      </c>
      <c r="O1421" t="s">
        <v>2458</v>
      </c>
      <c r="P1421" t="s">
        <v>2458</v>
      </c>
      <c r="Q1421" t="s">
        <v>2472</v>
      </c>
      <c r="R1421" t="str">
        <f t="shared" si="45"/>
        <v>Sim</v>
      </c>
      <c r="S1421" t="s">
        <v>2472</v>
      </c>
      <c r="T1421" t="s">
        <v>30</v>
      </c>
      <c r="U1421" t="s">
        <v>49</v>
      </c>
      <c r="V1421" s="3">
        <v>400</v>
      </c>
      <c r="W1421" t="s">
        <v>494</v>
      </c>
      <c r="X1421" s="3">
        <v>400</v>
      </c>
    </row>
    <row r="1422" spans="1:24" s="2" customFormat="1" x14ac:dyDescent="0.2">
      <c r="A1422" s="2">
        <v>1422</v>
      </c>
      <c r="B1422" t="s">
        <v>1856</v>
      </c>
      <c r="C1422" t="s">
        <v>1857</v>
      </c>
      <c r="D1422" t="s">
        <v>2495</v>
      </c>
      <c r="E1422" t="s">
        <v>30</v>
      </c>
      <c r="F1422" t="s">
        <v>24</v>
      </c>
      <c r="G1422" t="s">
        <v>25</v>
      </c>
      <c r="H1422" t="str">
        <f t="shared" si="44"/>
        <v xml:space="preserve">RT -  Pedido 156455 - CRISTIANE UFLACKER | Recorrência: | Observações: 26/08/2023 - O pedido 156455 foi efetuado em 3 parcelas :
26/09&gt;26/10&gt;27/11 + 30 dias para pagamento 
  </v>
      </c>
      <c r="I1422" t="s">
        <v>491</v>
      </c>
      <c r="J1422" s="4">
        <v>159</v>
      </c>
      <c r="K1422" s="4">
        <v>695470.86</v>
      </c>
      <c r="L1422" t="s">
        <v>27</v>
      </c>
      <c r="M1422" s="4">
        <v>159</v>
      </c>
      <c r="N1422" s="3">
        <v>0</v>
      </c>
      <c r="O1422" t="s">
        <v>2458</v>
      </c>
      <c r="P1422" t="s">
        <v>2496</v>
      </c>
      <c r="Q1422" t="s">
        <v>2497</v>
      </c>
      <c r="R1422" t="str">
        <f t="shared" si="45"/>
        <v>Sim</v>
      </c>
      <c r="S1422" t="s">
        <v>2497</v>
      </c>
      <c r="T1422" t="s">
        <v>2498</v>
      </c>
      <c r="U1422" t="s">
        <v>49</v>
      </c>
      <c r="V1422" s="3">
        <v>159</v>
      </c>
      <c r="W1422" t="s">
        <v>494</v>
      </c>
      <c r="X1422" s="3">
        <v>159</v>
      </c>
    </row>
    <row r="1423" spans="1:24" s="2" customFormat="1" x14ac:dyDescent="0.2">
      <c r="A1423">
        <v>1423</v>
      </c>
      <c r="B1423" t="s">
        <v>1204</v>
      </c>
      <c r="C1423" t="s">
        <v>1205</v>
      </c>
      <c r="D1423" t="s">
        <v>2499</v>
      </c>
      <c r="E1423" t="s">
        <v>30</v>
      </c>
      <c r="F1423" t="s">
        <v>24</v>
      </c>
      <c r="G1423" t="s">
        <v>25</v>
      </c>
      <c r="H1423" t="str">
        <f t="shared" si="44"/>
        <v xml:space="preserve">RT REFERENTE :MÊS DE NOVEMBRO | Recorrência: | Observações: </v>
      </c>
      <c r="I1423" t="s">
        <v>491</v>
      </c>
      <c r="J1423" s="4">
        <v>5914.93</v>
      </c>
      <c r="K1423" s="4">
        <v>701385.79</v>
      </c>
      <c r="L1423" t="s">
        <v>27</v>
      </c>
      <c r="M1423" s="4">
        <v>5914.93</v>
      </c>
      <c r="N1423" s="3">
        <v>0</v>
      </c>
      <c r="O1423" t="s">
        <v>2458</v>
      </c>
      <c r="P1423" t="s">
        <v>2326</v>
      </c>
      <c r="Q1423" t="s">
        <v>2458</v>
      </c>
      <c r="R1423" t="str">
        <f t="shared" si="45"/>
        <v>Sim</v>
      </c>
      <c r="S1423" t="s">
        <v>2458</v>
      </c>
      <c r="T1423" t="s">
        <v>30</v>
      </c>
      <c r="U1423" t="s">
        <v>49</v>
      </c>
      <c r="V1423" s="3">
        <v>5914.93</v>
      </c>
      <c r="W1423" t="s">
        <v>494</v>
      </c>
      <c r="X1423" s="3">
        <v>5914.93</v>
      </c>
    </row>
    <row r="1424" spans="1:24" s="2" customFormat="1" x14ac:dyDescent="0.2">
      <c r="A1424" s="2">
        <v>1424</v>
      </c>
      <c r="B1424"/>
      <c r="C1424" t="s">
        <v>710</v>
      </c>
      <c r="D1424" t="s">
        <v>2500</v>
      </c>
      <c r="E1424" t="s">
        <v>1404</v>
      </c>
      <c r="F1424" t="s">
        <v>63</v>
      </c>
      <c r="G1424" t="s">
        <v>25</v>
      </c>
      <c r="H1424" t="str">
        <f t="shared" si="44"/>
        <v xml:space="preserve">ENÉRGIA ELETRICA - referente a dezembro/23 | Recorrência:12/12 | Observações: </v>
      </c>
      <c r="I1424" t="s">
        <v>26</v>
      </c>
      <c r="J1424" s="5">
        <v>-596.69000000000005</v>
      </c>
      <c r="K1424" s="4">
        <v>700789.1</v>
      </c>
      <c r="L1424" t="s">
        <v>27</v>
      </c>
      <c r="M1424" s="5">
        <v>-596.69000000000005</v>
      </c>
      <c r="N1424" s="3">
        <v>0</v>
      </c>
      <c r="O1424" t="s">
        <v>2493</v>
      </c>
      <c r="P1424" t="s">
        <v>2484</v>
      </c>
      <c r="Q1424" t="s">
        <v>2477</v>
      </c>
      <c r="R1424" t="str">
        <f t="shared" si="45"/>
        <v>Sim</v>
      </c>
      <c r="S1424" t="s">
        <v>2477</v>
      </c>
      <c r="T1424" t="s">
        <v>30</v>
      </c>
      <c r="U1424" t="s">
        <v>125</v>
      </c>
      <c r="V1424" s="3">
        <v>-596.69000000000005</v>
      </c>
      <c r="W1424" t="s">
        <v>125</v>
      </c>
      <c r="X1424" s="3">
        <v>-596.69000000000005</v>
      </c>
    </row>
    <row r="1425" spans="1:24" s="2" customFormat="1" x14ac:dyDescent="0.2">
      <c r="A1425">
        <v>1425</v>
      </c>
      <c r="B1425" t="s">
        <v>647</v>
      </c>
      <c r="C1425" t="s">
        <v>648</v>
      </c>
      <c r="D1425" t="s">
        <v>2501</v>
      </c>
      <c r="E1425" t="s">
        <v>30</v>
      </c>
      <c r="F1425" t="s">
        <v>63</v>
      </c>
      <c r="G1425" t="s">
        <v>25</v>
      </c>
      <c r="H1425" t="str">
        <f t="shared" si="44"/>
        <v xml:space="preserve">13° CONTABILIDADE | Recorrência: | Observações: </v>
      </c>
      <c r="I1425" t="s">
        <v>491</v>
      </c>
      <c r="J1425" s="5">
        <v>-925</v>
      </c>
      <c r="K1425" s="4">
        <v>699864.1</v>
      </c>
      <c r="L1425" t="s">
        <v>27</v>
      </c>
      <c r="M1425" s="5">
        <v>-925</v>
      </c>
      <c r="N1425" s="3">
        <v>0</v>
      </c>
      <c r="O1425" t="s">
        <v>2493</v>
      </c>
      <c r="P1425" t="s">
        <v>2472</v>
      </c>
      <c r="Q1425" t="s">
        <v>2458</v>
      </c>
      <c r="R1425" t="str">
        <f t="shared" si="45"/>
        <v>Sim</v>
      </c>
      <c r="S1425" t="s">
        <v>2458</v>
      </c>
      <c r="T1425" t="s">
        <v>30</v>
      </c>
      <c r="U1425" t="s">
        <v>641</v>
      </c>
      <c r="V1425" s="3">
        <v>-925</v>
      </c>
      <c r="W1425" t="s">
        <v>1722</v>
      </c>
      <c r="X1425" s="3">
        <v>-925</v>
      </c>
    </row>
    <row r="1426" spans="1:24" s="2" customFormat="1" x14ac:dyDescent="0.2">
      <c r="A1426" s="2">
        <v>1426</v>
      </c>
      <c r="B1426" t="s">
        <v>2502</v>
      </c>
      <c r="C1426" t="s">
        <v>2503</v>
      </c>
      <c r="D1426" t="s">
        <v>2504</v>
      </c>
      <c r="E1426" t="s">
        <v>30</v>
      </c>
      <c r="F1426" t="s">
        <v>63</v>
      </c>
      <c r="G1426" t="s">
        <v>25</v>
      </c>
      <c r="H1426" t="str">
        <f t="shared" si="44"/>
        <v xml:space="preserve">EXAME PERIÓDICO: ELIANE | Recorrência: | Observações: </v>
      </c>
      <c r="I1426" t="s">
        <v>1113</v>
      </c>
      <c r="J1426" s="5">
        <v>-80</v>
      </c>
      <c r="K1426" s="4">
        <v>699784.1</v>
      </c>
      <c r="L1426" t="s">
        <v>27</v>
      </c>
      <c r="M1426" s="5">
        <v>-80</v>
      </c>
      <c r="N1426" s="3">
        <v>0</v>
      </c>
      <c r="O1426" t="s">
        <v>2493</v>
      </c>
      <c r="P1426" t="s">
        <v>2493</v>
      </c>
      <c r="Q1426" t="s">
        <v>2493</v>
      </c>
      <c r="R1426" t="str">
        <f t="shared" si="45"/>
        <v>Sim</v>
      </c>
      <c r="S1426" t="s">
        <v>2493</v>
      </c>
      <c r="T1426" t="s">
        <v>30</v>
      </c>
      <c r="U1426" t="s">
        <v>628</v>
      </c>
      <c r="V1426" s="3">
        <v>-80</v>
      </c>
      <c r="W1426" t="s">
        <v>2505</v>
      </c>
      <c r="X1426" s="3">
        <v>-80</v>
      </c>
    </row>
    <row r="1427" spans="1:24" s="2" customFormat="1" x14ac:dyDescent="0.2">
      <c r="A1427">
        <v>1427</v>
      </c>
      <c r="B1427"/>
      <c r="C1427" t="s">
        <v>2053</v>
      </c>
      <c r="D1427" t="s">
        <v>2506</v>
      </c>
      <c r="E1427" t="s">
        <v>30</v>
      </c>
      <c r="F1427" t="s">
        <v>24</v>
      </c>
      <c r="G1427" t="s">
        <v>25</v>
      </c>
      <c r="H1427" t="str">
        <f t="shared" si="44"/>
        <v xml:space="preserve">2/2 - PROJETO GUARUJÁ _ACAPULCO 2/2 + REEMBOLSO OBRA FACIL | Recorrência: | Observações: </v>
      </c>
      <c r="I1427" t="s">
        <v>491</v>
      </c>
      <c r="J1427" s="4">
        <v>9040</v>
      </c>
      <c r="K1427" s="4">
        <v>708824.1</v>
      </c>
      <c r="L1427" t="s">
        <v>27</v>
      </c>
      <c r="M1427" s="4">
        <v>9040</v>
      </c>
      <c r="N1427" s="3">
        <v>0</v>
      </c>
      <c r="O1427" t="s">
        <v>2456</v>
      </c>
      <c r="P1427" t="s">
        <v>2020</v>
      </c>
      <c r="Q1427" t="s">
        <v>2442</v>
      </c>
      <c r="R1427" t="str">
        <f t="shared" si="45"/>
        <v>Sim</v>
      </c>
      <c r="S1427" t="s">
        <v>2442</v>
      </c>
      <c r="T1427" t="s">
        <v>30</v>
      </c>
      <c r="U1427" t="s">
        <v>40</v>
      </c>
      <c r="V1427" s="3">
        <v>9040</v>
      </c>
      <c r="W1427" t="s">
        <v>32</v>
      </c>
      <c r="X1427" s="3">
        <v>9040</v>
      </c>
    </row>
    <row r="1428" spans="1:24" s="2" customFormat="1" x14ac:dyDescent="0.2">
      <c r="A1428" s="2">
        <v>1428</v>
      </c>
      <c r="B1428" t="s">
        <v>2507</v>
      </c>
      <c r="C1428" t="s">
        <v>2508</v>
      </c>
      <c r="D1428" t="s">
        <v>2509</v>
      </c>
      <c r="E1428" t="s">
        <v>30</v>
      </c>
      <c r="F1428" t="s">
        <v>24</v>
      </c>
      <c r="G1428" t="s">
        <v>25</v>
      </c>
      <c r="H1428" t="str">
        <f t="shared" si="44"/>
        <v xml:space="preserve">RT PEDIDO - 5715 - RONEI GOMES | Recorrência: | Observações: </v>
      </c>
      <c r="I1428" t="s">
        <v>491</v>
      </c>
      <c r="J1428" s="4">
        <v>981.06</v>
      </c>
      <c r="K1428" s="4">
        <v>709805.16</v>
      </c>
      <c r="L1428" t="s">
        <v>27</v>
      </c>
      <c r="M1428" s="4">
        <v>981.06</v>
      </c>
      <c r="N1428" s="3">
        <v>0</v>
      </c>
      <c r="O1428" t="s">
        <v>2456</v>
      </c>
      <c r="P1428" t="s">
        <v>2493</v>
      </c>
      <c r="Q1428" t="s">
        <v>2456</v>
      </c>
      <c r="R1428" t="str">
        <f t="shared" si="45"/>
        <v>Sim</v>
      </c>
      <c r="S1428" t="s">
        <v>2456</v>
      </c>
      <c r="T1428" t="s">
        <v>30</v>
      </c>
      <c r="U1428" t="s">
        <v>49</v>
      </c>
      <c r="V1428" s="3">
        <v>981.06</v>
      </c>
      <c r="W1428" t="s">
        <v>494</v>
      </c>
      <c r="X1428" s="3">
        <v>981.06</v>
      </c>
    </row>
    <row r="1429" spans="1:24" s="2" customFormat="1" x14ac:dyDescent="0.2">
      <c r="A1429">
        <v>1429</v>
      </c>
      <c r="B1429" t="s">
        <v>2510</v>
      </c>
      <c r="C1429" t="s">
        <v>2511</v>
      </c>
      <c r="D1429" t="s">
        <v>2512</v>
      </c>
      <c r="E1429" t="s">
        <v>30</v>
      </c>
      <c r="F1429" t="s">
        <v>24</v>
      </c>
      <c r="G1429" t="s">
        <v>25</v>
      </c>
      <c r="H1429" t="str">
        <f t="shared" si="44"/>
        <v xml:space="preserve">RT PEDIDO 5716 - RONEI GOMES | Recorrência: | Observações: </v>
      </c>
      <c r="I1429" t="s">
        <v>491</v>
      </c>
      <c r="J1429" s="4">
        <v>624</v>
      </c>
      <c r="K1429" s="4">
        <v>710429.16</v>
      </c>
      <c r="L1429" t="s">
        <v>27</v>
      </c>
      <c r="M1429" s="4">
        <v>624</v>
      </c>
      <c r="N1429" s="3">
        <v>0</v>
      </c>
      <c r="O1429" t="s">
        <v>2456</v>
      </c>
      <c r="P1429" t="s">
        <v>2493</v>
      </c>
      <c r="Q1429" t="s">
        <v>2456</v>
      </c>
      <c r="R1429" t="str">
        <f t="shared" si="45"/>
        <v>Sim</v>
      </c>
      <c r="S1429" t="s">
        <v>2456</v>
      </c>
      <c r="T1429" t="s">
        <v>30</v>
      </c>
      <c r="U1429" t="s">
        <v>49</v>
      </c>
      <c r="V1429" s="3">
        <v>624</v>
      </c>
      <c r="W1429" t="s">
        <v>494</v>
      </c>
      <c r="X1429" s="3">
        <v>624</v>
      </c>
    </row>
    <row r="1430" spans="1:24" s="2" customFormat="1" x14ac:dyDescent="0.2">
      <c r="A1430" s="2">
        <v>1430</v>
      </c>
      <c r="B1430" t="s">
        <v>1701</v>
      </c>
      <c r="C1430" t="s">
        <v>1702</v>
      </c>
      <c r="D1430" t="s">
        <v>2513</v>
      </c>
      <c r="E1430" t="s">
        <v>30</v>
      </c>
      <c r="F1430" t="s">
        <v>24</v>
      </c>
      <c r="G1430" t="s">
        <v>25</v>
      </c>
      <c r="H1430" t="str">
        <f t="shared" si="44"/>
        <v xml:space="preserve">RT PEDIDO EBCJ 1170A_ESTUDIO BOLA &gt; O PARQUE_Diogo e Diana | Recorrência: | Observações: </v>
      </c>
      <c r="I1430" t="s">
        <v>491</v>
      </c>
      <c r="J1430" s="4">
        <v>22100.65</v>
      </c>
      <c r="K1430" s="4">
        <v>732529.81</v>
      </c>
      <c r="L1430" t="s">
        <v>27</v>
      </c>
      <c r="M1430" s="4">
        <v>22100.65</v>
      </c>
      <c r="N1430" s="3">
        <v>0</v>
      </c>
      <c r="O1430" t="s">
        <v>2456</v>
      </c>
      <c r="P1430" t="s">
        <v>2456</v>
      </c>
      <c r="Q1430" t="s">
        <v>2456</v>
      </c>
      <c r="R1430" t="str">
        <f t="shared" si="45"/>
        <v>Sim</v>
      </c>
      <c r="S1430" t="s">
        <v>2456</v>
      </c>
      <c r="T1430" t="s">
        <v>30</v>
      </c>
      <c r="U1430" t="s">
        <v>49</v>
      </c>
      <c r="V1430" s="3">
        <v>22100.65</v>
      </c>
      <c r="W1430" t="s">
        <v>494</v>
      </c>
      <c r="X1430" s="3">
        <v>22100.65</v>
      </c>
    </row>
    <row r="1431" spans="1:24" s="2" customFormat="1" x14ac:dyDescent="0.2">
      <c r="A1431">
        <v>1431</v>
      </c>
      <c r="B1431" t="s">
        <v>1373</v>
      </c>
      <c r="C1431" t="s">
        <v>1374</v>
      </c>
      <c r="D1431" t="s">
        <v>2515</v>
      </c>
      <c r="E1431" t="s">
        <v>30</v>
      </c>
      <c r="F1431" t="s">
        <v>24</v>
      </c>
      <c r="G1431" t="s">
        <v>25</v>
      </c>
      <c r="H1431" t="str">
        <f t="shared" si="44"/>
        <v xml:space="preserve">3/3 - PROJETO AIR BROOKLIN - 02 STUDIOS 3/3 | Recorrência: | Observações: </v>
      </c>
      <c r="I1431" t="s">
        <v>2180</v>
      </c>
      <c r="J1431" s="4">
        <v>3000</v>
      </c>
      <c r="K1431" s="4">
        <v>735529.81</v>
      </c>
      <c r="L1431" t="s">
        <v>27</v>
      </c>
      <c r="M1431" s="4">
        <v>3000</v>
      </c>
      <c r="N1431" s="3">
        <v>0</v>
      </c>
      <c r="O1431" t="s">
        <v>2514</v>
      </c>
      <c r="P1431" t="s">
        <v>2268</v>
      </c>
      <c r="Q1431" t="s">
        <v>2514</v>
      </c>
      <c r="R1431" t="str">
        <f t="shared" si="45"/>
        <v>Sim</v>
      </c>
      <c r="S1431" t="s">
        <v>2514</v>
      </c>
      <c r="T1431" t="s">
        <v>30</v>
      </c>
      <c r="U1431" t="s">
        <v>31</v>
      </c>
      <c r="V1431" s="3">
        <v>3000</v>
      </c>
      <c r="W1431" t="s">
        <v>32</v>
      </c>
      <c r="X1431" s="3">
        <v>3000</v>
      </c>
    </row>
    <row r="1432" spans="1:24" s="2" customFormat="1" x14ac:dyDescent="0.2">
      <c r="A1432" s="2">
        <v>1432</v>
      </c>
      <c r="B1432" t="s">
        <v>1195</v>
      </c>
      <c r="C1432" t="s">
        <v>1196</v>
      </c>
      <c r="D1432" t="s">
        <v>2516</v>
      </c>
      <c r="E1432" t="s">
        <v>30</v>
      </c>
      <c r="F1432" t="s">
        <v>24</v>
      </c>
      <c r="G1432" t="s">
        <v>25</v>
      </c>
      <c r="H1432" t="str">
        <f t="shared" si="44"/>
        <v xml:space="preserve">RT PEDIDO 0290 - FARIZE | Recorrência: | Observações: </v>
      </c>
      <c r="I1432" t="s">
        <v>491</v>
      </c>
      <c r="J1432" s="4">
        <v>2623.71</v>
      </c>
      <c r="K1432" s="4">
        <v>738153.52</v>
      </c>
      <c r="L1432" t="s">
        <v>27</v>
      </c>
      <c r="M1432" s="4">
        <v>2623.71</v>
      </c>
      <c r="N1432" s="3">
        <v>0</v>
      </c>
      <c r="O1432" t="s">
        <v>2514</v>
      </c>
      <c r="P1432" t="s">
        <v>2435</v>
      </c>
      <c r="Q1432" t="s">
        <v>2514</v>
      </c>
      <c r="R1432" t="str">
        <f t="shared" si="45"/>
        <v>Sim</v>
      </c>
      <c r="S1432" t="s">
        <v>2514</v>
      </c>
      <c r="T1432" t="s">
        <v>30</v>
      </c>
      <c r="U1432" t="s">
        <v>49</v>
      </c>
      <c r="V1432" s="3">
        <v>2623.71</v>
      </c>
      <c r="W1432" t="s">
        <v>494</v>
      </c>
      <c r="X1432" s="3">
        <v>2623.71</v>
      </c>
    </row>
    <row r="1433" spans="1:24" s="2" customFormat="1" x14ac:dyDescent="0.2">
      <c r="A1433">
        <v>1433</v>
      </c>
      <c r="B1433" t="s">
        <v>2119</v>
      </c>
      <c r="C1433" t="s">
        <v>2120</v>
      </c>
      <c r="D1433" t="s">
        <v>2517</v>
      </c>
      <c r="E1433" t="s">
        <v>30</v>
      </c>
      <c r="F1433" t="s">
        <v>24</v>
      </c>
      <c r="G1433" t="s">
        <v>25</v>
      </c>
      <c r="H1433" t="str">
        <f t="shared" si="44"/>
        <v xml:space="preserve">4/4 - RT DIFERNÇA _ AMAURI E LUCIENE ACAPULGO GUARUJÁ 4/4 | Recorrência: | Observações: </v>
      </c>
      <c r="I1433" t="s">
        <v>30</v>
      </c>
      <c r="J1433" s="4">
        <v>490</v>
      </c>
      <c r="K1433" s="4">
        <v>738643.52</v>
      </c>
      <c r="L1433" t="s">
        <v>27</v>
      </c>
      <c r="M1433" s="4">
        <v>490</v>
      </c>
      <c r="N1433" s="3">
        <v>0</v>
      </c>
      <c r="O1433" t="s">
        <v>2497</v>
      </c>
      <c r="P1433" t="s">
        <v>2122</v>
      </c>
      <c r="Q1433" t="s">
        <v>2497</v>
      </c>
      <c r="R1433" t="str">
        <f t="shared" si="45"/>
        <v>Sim</v>
      </c>
      <c r="S1433" t="s">
        <v>2497</v>
      </c>
      <c r="T1433" t="s">
        <v>30</v>
      </c>
      <c r="U1433" t="s">
        <v>49</v>
      </c>
      <c r="V1433" s="3">
        <v>490</v>
      </c>
      <c r="W1433" t="s">
        <v>494</v>
      </c>
      <c r="X1433" s="3">
        <v>490</v>
      </c>
    </row>
    <row r="1434" spans="1:24" s="2" customFormat="1" x14ac:dyDescent="0.2">
      <c r="A1434" s="2">
        <v>1434</v>
      </c>
      <c r="B1434" t="s">
        <v>2518</v>
      </c>
      <c r="C1434" t="s">
        <v>2519</v>
      </c>
      <c r="D1434" t="s">
        <v>2520</v>
      </c>
      <c r="E1434" t="s">
        <v>30</v>
      </c>
      <c r="F1434" t="s">
        <v>24</v>
      </c>
      <c r="G1434" t="s">
        <v>25</v>
      </c>
      <c r="H1434" t="str">
        <f t="shared" si="44"/>
        <v xml:space="preserve">RT 19598 - CAMILA DOSSE | Recorrência: | Observações: </v>
      </c>
      <c r="I1434" t="s">
        <v>491</v>
      </c>
      <c r="J1434" s="4">
        <v>291.99</v>
      </c>
      <c r="K1434" s="4">
        <v>738935.51</v>
      </c>
      <c r="L1434" t="s">
        <v>27</v>
      </c>
      <c r="M1434" s="4">
        <v>291.99</v>
      </c>
      <c r="N1434" s="3">
        <v>0</v>
      </c>
      <c r="O1434" t="s">
        <v>2497</v>
      </c>
      <c r="P1434" t="s">
        <v>2418</v>
      </c>
      <c r="Q1434" t="s">
        <v>2497</v>
      </c>
      <c r="R1434" t="str">
        <f t="shared" si="45"/>
        <v>Sim</v>
      </c>
      <c r="S1434" t="s">
        <v>2497</v>
      </c>
      <c r="T1434" t="s">
        <v>30</v>
      </c>
      <c r="U1434" t="s">
        <v>49</v>
      </c>
      <c r="V1434" s="3">
        <v>291.99</v>
      </c>
      <c r="W1434" t="s">
        <v>494</v>
      </c>
      <c r="X1434" s="3">
        <v>291.99</v>
      </c>
    </row>
    <row r="1435" spans="1:24" s="2" customFormat="1" x14ac:dyDescent="0.2">
      <c r="A1435">
        <v>1435</v>
      </c>
      <c r="B1435" t="s">
        <v>2215</v>
      </c>
      <c r="C1435" t="s">
        <v>2216</v>
      </c>
      <c r="D1435" t="s">
        <v>2264</v>
      </c>
      <c r="E1435" t="s">
        <v>30</v>
      </c>
      <c r="F1435" t="s">
        <v>24</v>
      </c>
      <c r="G1435" t="s">
        <v>25</v>
      </c>
      <c r="H1435" t="str">
        <f t="shared" si="44"/>
        <v xml:space="preserve">RT - CAMILA DOSSE | Recorrência: | Observações: </v>
      </c>
      <c r="I1435" t="s">
        <v>491</v>
      </c>
      <c r="J1435" s="4">
        <v>1074.58</v>
      </c>
      <c r="K1435" s="4">
        <v>740010.09</v>
      </c>
      <c r="L1435" t="s">
        <v>27</v>
      </c>
      <c r="M1435" s="4">
        <v>1074.58</v>
      </c>
      <c r="N1435" s="3">
        <v>0</v>
      </c>
      <c r="O1435" t="s">
        <v>2521</v>
      </c>
      <c r="P1435" t="s">
        <v>2474</v>
      </c>
      <c r="Q1435" t="s">
        <v>2521</v>
      </c>
      <c r="R1435" t="str">
        <f t="shared" si="45"/>
        <v>Sim</v>
      </c>
      <c r="S1435" t="s">
        <v>2521</v>
      </c>
      <c r="T1435" t="s">
        <v>30</v>
      </c>
      <c r="U1435" t="s">
        <v>49</v>
      </c>
      <c r="V1435" s="3">
        <v>1074.58</v>
      </c>
      <c r="W1435" t="s">
        <v>494</v>
      </c>
      <c r="X1435" s="3">
        <v>1074.58</v>
      </c>
    </row>
    <row r="1436" spans="1:24" s="2" customFormat="1" x14ac:dyDescent="0.2">
      <c r="A1436" s="2">
        <v>1436</v>
      </c>
      <c r="B1436" t="s">
        <v>2522</v>
      </c>
      <c r="C1436" t="s">
        <v>2523</v>
      </c>
      <c r="D1436" t="s">
        <v>2524</v>
      </c>
      <c r="E1436" t="s">
        <v>30</v>
      </c>
      <c r="F1436" t="s">
        <v>24</v>
      </c>
      <c r="G1436" t="s">
        <v>25</v>
      </c>
      <c r="H1436" t="str">
        <f t="shared" si="44"/>
        <v xml:space="preserve">RT PEDIDO DE VENDA 1416 Ref. Orç: 13462 O PARQUE | Recorrência: | Observações: </v>
      </c>
      <c r="I1436" t="s">
        <v>491</v>
      </c>
      <c r="J1436" s="4">
        <v>6813.21</v>
      </c>
      <c r="K1436" s="4">
        <v>746823.3</v>
      </c>
      <c r="L1436" t="s">
        <v>27</v>
      </c>
      <c r="M1436" s="4">
        <v>6813.21</v>
      </c>
      <c r="N1436" s="3">
        <v>0</v>
      </c>
      <c r="O1436" t="s">
        <v>2442</v>
      </c>
      <c r="P1436" t="s">
        <v>2361</v>
      </c>
      <c r="Q1436" t="s">
        <v>2525</v>
      </c>
      <c r="R1436" t="str">
        <f t="shared" si="45"/>
        <v>Sim</v>
      </c>
      <c r="S1436" t="s">
        <v>2525</v>
      </c>
      <c r="T1436" t="s">
        <v>30</v>
      </c>
      <c r="U1436" t="s">
        <v>49</v>
      </c>
      <c r="V1436" s="3">
        <v>6813.21</v>
      </c>
      <c r="W1436" t="s">
        <v>494</v>
      </c>
      <c r="X1436" s="3">
        <v>6813.21</v>
      </c>
    </row>
    <row r="1437" spans="1:24" s="2" customFormat="1" x14ac:dyDescent="0.2">
      <c r="A1437">
        <v>1437</v>
      </c>
      <c r="B1437"/>
      <c r="C1437" t="s">
        <v>153</v>
      </c>
      <c r="D1437" t="s">
        <v>2526</v>
      </c>
      <c r="E1437" t="s">
        <v>30</v>
      </c>
      <c r="F1437" t="s">
        <v>63</v>
      </c>
      <c r="G1437" t="s">
        <v>25</v>
      </c>
      <c r="H1437" t="str">
        <f t="shared" si="44"/>
        <v xml:space="preserve">1/12 - PRÓ LABORE MAYARA CLA 1/13 | Recorrência: | Observações: </v>
      </c>
      <c r="I1437" t="s">
        <v>991</v>
      </c>
      <c r="J1437" s="5">
        <v>-15000</v>
      </c>
      <c r="K1437" s="4">
        <v>731823.3</v>
      </c>
      <c r="L1437" t="s">
        <v>27</v>
      </c>
      <c r="M1437" s="5">
        <v>-15000</v>
      </c>
      <c r="N1437" s="3">
        <v>0</v>
      </c>
      <c r="O1437" t="s">
        <v>2481</v>
      </c>
      <c r="P1437" t="s">
        <v>2261</v>
      </c>
      <c r="Q1437" t="s">
        <v>2481</v>
      </c>
      <c r="R1437" t="str">
        <f t="shared" si="45"/>
        <v>Sim</v>
      </c>
      <c r="S1437" t="s">
        <v>2481</v>
      </c>
      <c r="T1437" t="s">
        <v>30</v>
      </c>
      <c r="U1437" t="s">
        <v>323</v>
      </c>
      <c r="V1437" s="3">
        <v>-15000</v>
      </c>
      <c r="W1437" t="s">
        <v>1164</v>
      </c>
      <c r="X1437" s="3">
        <v>-15000</v>
      </c>
    </row>
    <row r="1438" spans="1:24" s="2" customFormat="1" x14ac:dyDescent="0.2">
      <c r="A1438" s="2">
        <v>1438</v>
      </c>
      <c r="B1438"/>
      <c r="C1438" t="s">
        <v>153</v>
      </c>
      <c r="D1438" t="s">
        <v>2527</v>
      </c>
      <c r="E1438" t="s">
        <v>30</v>
      </c>
      <c r="F1438" t="s">
        <v>63</v>
      </c>
      <c r="G1438" t="s">
        <v>25</v>
      </c>
      <c r="H1438" t="str">
        <f t="shared" si="44"/>
        <v xml:space="preserve">1/12 - PRÓ LABORE NATASHA  1/13 | Recorrência: | Observações: </v>
      </c>
      <c r="I1438" t="s">
        <v>991</v>
      </c>
      <c r="J1438" s="5">
        <v>-15000</v>
      </c>
      <c r="K1438" s="4">
        <v>716823.3</v>
      </c>
      <c r="L1438" t="s">
        <v>27</v>
      </c>
      <c r="M1438" s="5">
        <v>-15000</v>
      </c>
      <c r="N1438" s="3">
        <v>0</v>
      </c>
      <c r="O1438" t="s">
        <v>2481</v>
      </c>
      <c r="P1438" t="s">
        <v>2261</v>
      </c>
      <c r="Q1438" t="s">
        <v>2481</v>
      </c>
      <c r="R1438" t="str">
        <f t="shared" si="45"/>
        <v>Sim</v>
      </c>
      <c r="S1438" t="s">
        <v>2481</v>
      </c>
      <c r="T1438" t="s">
        <v>30</v>
      </c>
      <c r="U1438" t="s">
        <v>323</v>
      </c>
      <c r="V1438" s="3">
        <v>-15000</v>
      </c>
      <c r="W1438" t="s">
        <v>1164</v>
      </c>
      <c r="X1438" s="3">
        <v>-15000</v>
      </c>
    </row>
    <row r="1439" spans="1:24" s="2" customFormat="1" x14ac:dyDescent="0.2">
      <c r="A1439">
        <v>1439</v>
      </c>
      <c r="B1439" t="s">
        <v>1987</v>
      </c>
      <c r="C1439" t="s">
        <v>1988</v>
      </c>
      <c r="D1439" t="s">
        <v>2528</v>
      </c>
      <c r="E1439" t="s">
        <v>30</v>
      </c>
      <c r="F1439" t="s">
        <v>63</v>
      </c>
      <c r="G1439" t="s">
        <v>25</v>
      </c>
      <c r="H1439" t="str">
        <f t="shared" si="44"/>
        <v>3/4 - COMISSÃO GABI E DANIEL 3/4 | Recorrência: | Observações: COMISSÃO REFERENTE AO PROJETO GABRIELA E DANIEL
VALOR PROJETO: R$21.600,00 DIVIDIDO EM 4X
VALOR TOTAL DA COMISSÃO DE 3%=R$ R$648,00/4=R$ R$ 162,00
01/11-R$ 162,00
01/12-R$ 162,00
01/01-R$ 162,00
01/02-R$ 162,00</v>
      </c>
      <c r="I1439" t="s">
        <v>30</v>
      </c>
      <c r="J1439" s="5">
        <v>-162</v>
      </c>
      <c r="K1439" s="4">
        <v>716661.3</v>
      </c>
      <c r="L1439" t="s">
        <v>27</v>
      </c>
      <c r="M1439" s="5">
        <v>-162</v>
      </c>
      <c r="N1439" s="3">
        <v>0</v>
      </c>
      <c r="O1439" t="s">
        <v>2481</v>
      </c>
      <c r="P1439" t="s">
        <v>2268</v>
      </c>
      <c r="Q1439" t="s">
        <v>2481</v>
      </c>
      <c r="R1439" t="str">
        <f t="shared" si="45"/>
        <v>Sim</v>
      </c>
      <c r="S1439" t="s">
        <v>2481</v>
      </c>
      <c r="T1439" t="s">
        <v>2347</v>
      </c>
      <c r="U1439" t="s">
        <v>1991</v>
      </c>
      <c r="V1439" s="3">
        <v>-162</v>
      </c>
      <c r="W1439" t="s">
        <v>1722</v>
      </c>
      <c r="X1439" s="3">
        <v>-162</v>
      </c>
    </row>
    <row r="1440" spans="1:24" s="2" customFormat="1" x14ac:dyDescent="0.2">
      <c r="A1440" s="2">
        <v>1440</v>
      </c>
      <c r="B1440" t="s">
        <v>1987</v>
      </c>
      <c r="C1440" t="s">
        <v>1988</v>
      </c>
      <c r="D1440" t="s">
        <v>2529</v>
      </c>
      <c r="E1440" t="s">
        <v>30</v>
      </c>
      <c r="F1440" t="s">
        <v>63</v>
      </c>
      <c r="G1440" t="s">
        <v>25</v>
      </c>
      <c r="H1440" t="str">
        <f t="shared" si="44"/>
        <v>3/3 - COMISSÃO PROJETO AIR BROOKLIN DIANA E DIOGO 3/3 | Recorrência: | Observações: COMISSÃO REFERENTE AO PROJETO AIR BROOKLIN
VALOR PROJETO R$ 9.000,00X 5%=R$ 450,00/3
01/11-R$ 150,00
01/12-R$ 150,00
01/01-R$ 150.00</v>
      </c>
      <c r="I1440" t="s">
        <v>30</v>
      </c>
      <c r="J1440" s="5">
        <v>-150</v>
      </c>
      <c r="K1440" s="4">
        <v>716511.3</v>
      </c>
      <c r="L1440" t="s">
        <v>27</v>
      </c>
      <c r="M1440" s="5">
        <v>-150</v>
      </c>
      <c r="N1440" s="3">
        <v>0</v>
      </c>
      <c r="O1440" t="s">
        <v>2481</v>
      </c>
      <c r="P1440" t="s">
        <v>2268</v>
      </c>
      <c r="Q1440" t="s">
        <v>2481</v>
      </c>
      <c r="R1440" t="str">
        <f t="shared" si="45"/>
        <v>Sim</v>
      </c>
      <c r="S1440" t="s">
        <v>2481</v>
      </c>
      <c r="T1440" t="s">
        <v>2349</v>
      </c>
      <c r="U1440" t="s">
        <v>1991</v>
      </c>
      <c r="V1440" s="3">
        <v>-150</v>
      </c>
      <c r="W1440" t="s">
        <v>1722</v>
      </c>
      <c r="X1440" s="3">
        <v>-150</v>
      </c>
    </row>
    <row r="1441" spans="1:24" s="2" customFormat="1" x14ac:dyDescent="0.2">
      <c r="A1441">
        <v>1441</v>
      </c>
      <c r="B1441" t="s">
        <v>1987</v>
      </c>
      <c r="C1441" t="s">
        <v>1988</v>
      </c>
      <c r="D1441" t="s">
        <v>2530</v>
      </c>
      <c r="E1441" t="s">
        <v>30</v>
      </c>
      <c r="F1441" t="s">
        <v>63</v>
      </c>
      <c r="G1441" t="s">
        <v>25</v>
      </c>
      <c r="H1441" t="str">
        <f t="shared" si="44"/>
        <v>1/3 - COMISSÃO PROJETO CAROL E VICTOR 1/3 | Recorrência: | Observações: COMISSÃO REFERENTE AO PROJETO CAROL E VICTOR
VALOR PROJETO R$15.000,00 X 3%=R$ 450,00
01/01/24_R$ 150.00
01/02/24_R$ 150.00
01/03/24_R$ 150.00</v>
      </c>
      <c r="I1441" t="s">
        <v>491</v>
      </c>
      <c r="J1441" s="5">
        <v>-150</v>
      </c>
      <c r="K1441" s="4">
        <v>716361.3</v>
      </c>
      <c r="L1441" t="s">
        <v>27</v>
      </c>
      <c r="M1441" s="5">
        <v>-150</v>
      </c>
      <c r="N1441" s="3">
        <v>0</v>
      </c>
      <c r="O1441" t="s">
        <v>2481</v>
      </c>
      <c r="P1441" t="s">
        <v>2472</v>
      </c>
      <c r="Q1441" t="s">
        <v>2481</v>
      </c>
      <c r="R1441" t="str">
        <f t="shared" si="45"/>
        <v>Sim</v>
      </c>
      <c r="S1441" t="s">
        <v>2481</v>
      </c>
      <c r="T1441" t="s">
        <v>2531</v>
      </c>
      <c r="U1441" t="s">
        <v>1991</v>
      </c>
      <c r="V1441" s="3">
        <v>-150</v>
      </c>
      <c r="W1441" t="s">
        <v>1722</v>
      </c>
      <c r="X1441" s="3">
        <v>-150</v>
      </c>
    </row>
    <row r="1442" spans="1:24" s="2" customFormat="1" x14ac:dyDescent="0.2">
      <c r="A1442" s="2">
        <v>1442</v>
      </c>
      <c r="B1442" t="s">
        <v>2265</v>
      </c>
      <c r="C1442" t="s">
        <v>2266</v>
      </c>
      <c r="D1442" t="s">
        <v>2532</v>
      </c>
      <c r="E1442" t="s">
        <v>30</v>
      </c>
      <c r="F1442" t="s">
        <v>24</v>
      </c>
      <c r="G1442" t="s">
        <v>25</v>
      </c>
      <c r="H1442" t="str">
        <f t="shared" si="44"/>
        <v xml:space="preserve">4/4 - PROJETO  4/4 | Recorrência: | Observações: </v>
      </c>
      <c r="I1442" t="s">
        <v>491</v>
      </c>
      <c r="J1442" s="4">
        <v>5400</v>
      </c>
      <c r="K1442" s="4">
        <v>721761.3</v>
      </c>
      <c r="L1442" t="s">
        <v>27</v>
      </c>
      <c r="M1442" s="4">
        <v>5400</v>
      </c>
      <c r="N1442" s="3">
        <v>0</v>
      </c>
      <c r="O1442" t="s">
        <v>2439</v>
      </c>
      <c r="P1442" t="s">
        <v>2268</v>
      </c>
      <c r="Q1442" t="s">
        <v>2533</v>
      </c>
      <c r="R1442" t="str">
        <f t="shared" si="45"/>
        <v>Sim</v>
      </c>
      <c r="S1442" t="s">
        <v>2533</v>
      </c>
      <c r="T1442" t="s">
        <v>30</v>
      </c>
      <c r="U1442" t="s">
        <v>31</v>
      </c>
      <c r="V1442" s="3">
        <v>5400</v>
      </c>
      <c r="W1442" t="s">
        <v>32</v>
      </c>
      <c r="X1442" s="3">
        <v>5400</v>
      </c>
    </row>
    <row r="1443" spans="1:24" s="2" customFormat="1" x14ac:dyDescent="0.2">
      <c r="A1443">
        <v>1443</v>
      </c>
      <c r="B1443" t="s">
        <v>1088</v>
      </c>
      <c r="C1443" t="s">
        <v>1089</v>
      </c>
      <c r="D1443" t="s">
        <v>2534</v>
      </c>
      <c r="E1443" t="s">
        <v>30</v>
      </c>
      <c r="F1443" t="s">
        <v>24</v>
      </c>
      <c r="G1443" t="s">
        <v>25</v>
      </c>
      <c r="H1443" t="str">
        <f t="shared" si="44"/>
        <v xml:space="preserve">RT - PAULO E CAMILA DOSSE | Recorrência: | Observações: </v>
      </c>
      <c r="I1443" t="s">
        <v>491</v>
      </c>
      <c r="J1443" s="4">
        <v>3280</v>
      </c>
      <c r="K1443" s="4">
        <v>725041.3</v>
      </c>
      <c r="L1443" t="s">
        <v>27</v>
      </c>
      <c r="M1443" s="4">
        <v>3280</v>
      </c>
      <c r="N1443" s="3">
        <v>0</v>
      </c>
      <c r="O1443" t="s">
        <v>2477</v>
      </c>
      <c r="P1443" t="s">
        <v>2525</v>
      </c>
      <c r="Q1443" t="s">
        <v>2525</v>
      </c>
      <c r="R1443" t="str">
        <f t="shared" si="45"/>
        <v>Sim</v>
      </c>
      <c r="S1443" t="s">
        <v>2525</v>
      </c>
      <c r="T1443" t="s">
        <v>30</v>
      </c>
      <c r="U1443" t="s">
        <v>49</v>
      </c>
      <c r="V1443" s="3">
        <v>3280</v>
      </c>
      <c r="W1443" t="s">
        <v>494</v>
      </c>
      <c r="X1443" s="3">
        <v>3280</v>
      </c>
    </row>
    <row r="1444" spans="1:24" s="2" customFormat="1" x14ac:dyDescent="0.2">
      <c r="A1444" s="2">
        <v>1444</v>
      </c>
      <c r="B1444" t="s">
        <v>647</v>
      </c>
      <c r="C1444" t="s">
        <v>648</v>
      </c>
      <c r="D1444" t="s">
        <v>2535</v>
      </c>
      <c r="E1444" t="s">
        <v>30</v>
      </c>
      <c r="F1444" t="s">
        <v>63</v>
      </c>
      <c r="G1444" t="s">
        <v>25</v>
      </c>
      <c r="H1444" t="str">
        <f t="shared" si="44"/>
        <v xml:space="preserve">1/12 - HONORÁRIOS CONTÁBEIS  1/12 | Recorrência: | Observações: </v>
      </c>
      <c r="I1444" t="s">
        <v>755</v>
      </c>
      <c r="J1444" s="5">
        <v>-925</v>
      </c>
      <c r="K1444" s="4">
        <v>724116.3</v>
      </c>
      <c r="L1444" t="s">
        <v>27</v>
      </c>
      <c r="M1444" s="5">
        <v>-925</v>
      </c>
      <c r="N1444" s="3">
        <v>0</v>
      </c>
      <c r="O1444" t="s">
        <v>2438</v>
      </c>
      <c r="P1444" t="s">
        <v>2536</v>
      </c>
      <c r="Q1444" t="s">
        <v>2461</v>
      </c>
      <c r="R1444" t="str">
        <f t="shared" si="45"/>
        <v>Sim</v>
      </c>
      <c r="S1444" t="s">
        <v>2461</v>
      </c>
      <c r="T1444" t="s">
        <v>30</v>
      </c>
      <c r="U1444" t="s">
        <v>608</v>
      </c>
      <c r="V1444" s="3">
        <v>-925</v>
      </c>
      <c r="W1444" t="s">
        <v>1722</v>
      </c>
      <c r="X1444" s="3">
        <v>-925</v>
      </c>
    </row>
    <row r="1445" spans="1:24" s="2" customFormat="1" x14ac:dyDescent="0.2">
      <c r="A1445">
        <v>1445</v>
      </c>
      <c r="B1445"/>
      <c r="C1445" t="s">
        <v>153</v>
      </c>
      <c r="D1445" t="s">
        <v>2537</v>
      </c>
      <c r="E1445" t="s">
        <v>30</v>
      </c>
      <c r="F1445" t="s">
        <v>63</v>
      </c>
      <c r="G1445" t="s">
        <v>25</v>
      </c>
      <c r="H1445" t="str">
        <f t="shared" si="44"/>
        <v xml:space="preserve">1/12 - SALÁRIO ELIANE  1/12 | Recorrência: | Observações: </v>
      </c>
      <c r="I1445" t="s">
        <v>491</v>
      </c>
      <c r="J1445" s="5">
        <v>-587.79999999999995</v>
      </c>
      <c r="K1445" s="4">
        <v>723528.5</v>
      </c>
      <c r="L1445" t="s">
        <v>27</v>
      </c>
      <c r="M1445" s="5">
        <v>-587.79999999999995</v>
      </c>
      <c r="N1445" s="3">
        <v>0</v>
      </c>
      <c r="O1445" t="s">
        <v>2438</v>
      </c>
      <c r="P1445" t="s">
        <v>2261</v>
      </c>
      <c r="Q1445" t="s">
        <v>2481</v>
      </c>
      <c r="R1445" t="str">
        <f t="shared" si="45"/>
        <v>Sim</v>
      </c>
      <c r="S1445" t="s">
        <v>2481</v>
      </c>
      <c r="T1445" t="s">
        <v>30</v>
      </c>
      <c r="U1445" t="s">
        <v>323</v>
      </c>
      <c r="V1445" s="3">
        <v>-587.79999999999995</v>
      </c>
      <c r="W1445" t="s">
        <v>1164</v>
      </c>
      <c r="X1445" s="3">
        <v>-587.79999999999995</v>
      </c>
    </row>
    <row r="1446" spans="1:24" s="2" customFormat="1" x14ac:dyDescent="0.2">
      <c r="A1446" s="2">
        <v>1446</v>
      </c>
      <c r="B1446" t="s">
        <v>647</v>
      </c>
      <c r="C1446" t="s">
        <v>648</v>
      </c>
      <c r="D1446" t="s">
        <v>2538</v>
      </c>
      <c r="E1446" t="s">
        <v>30</v>
      </c>
      <c r="F1446" t="s">
        <v>63</v>
      </c>
      <c r="G1446" t="s">
        <v>25</v>
      </c>
      <c r="H1446" t="str">
        <f t="shared" si="44"/>
        <v xml:space="preserve">14/35 - DARF ISS 14/36 | Recorrência: | Observações: </v>
      </c>
      <c r="I1446" t="s">
        <v>26</v>
      </c>
      <c r="J1446" s="5">
        <v>-4548.71</v>
      </c>
      <c r="K1446" s="4">
        <v>718979.79</v>
      </c>
      <c r="L1446" t="s">
        <v>27</v>
      </c>
      <c r="M1446" s="5">
        <v>-4548.71</v>
      </c>
      <c r="N1446" s="3">
        <v>0</v>
      </c>
      <c r="O1446" t="s">
        <v>2438</v>
      </c>
      <c r="P1446" t="s">
        <v>1474</v>
      </c>
      <c r="Q1446" t="s">
        <v>2461</v>
      </c>
      <c r="R1446" t="str">
        <f t="shared" si="45"/>
        <v>Sim</v>
      </c>
      <c r="S1446" t="s">
        <v>2461</v>
      </c>
      <c r="T1446" t="s">
        <v>30</v>
      </c>
      <c r="U1446" t="s">
        <v>1098</v>
      </c>
      <c r="V1446" s="3">
        <v>-4548.71</v>
      </c>
      <c r="W1446" t="s">
        <v>324</v>
      </c>
      <c r="X1446" s="3">
        <v>-4548.71</v>
      </c>
    </row>
    <row r="1447" spans="1:24" s="2" customFormat="1" x14ac:dyDescent="0.2">
      <c r="A1447">
        <v>1447</v>
      </c>
      <c r="B1447"/>
      <c r="C1447" t="s">
        <v>1111</v>
      </c>
      <c r="D1447" t="s">
        <v>2448</v>
      </c>
      <c r="E1447" t="s">
        <v>30</v>
      </c>
      <c r="F1447" t="s">
        <v>24</v>
      </c>
      <c r="G1447" t="s">
        <v>25</v>
      </c>
      <c r="H1447" t="str">
        <f t="shared" si="44"/>
        <v>3/6 - GERENCIAMENTO RIVIERA  3/6 | Recorrência: | Observações: EMITIR NF PF - 37.435,41
Fábio Najm 
CPF - 030.448.618-37
Endereço - Rua Conselheiro Zacarias, 122 - Jardim Paulista - São Paulo-SP - CEP 01429-020 
E-mail - Fcnajm@gmail.com</v>
      </c>
      <c r="I1447" t="s">
        <v>491</v>
      </c>
      <c r="J1447" s="4">
        <v>6239.24</v>
      </c>
      <c r="K1447" s="4">
        <v>725219.03</v>
      </c>
      <c r="L1447" t="s">
        <v>27</v>
      </c>
      <c r="M1447" s="4">
        <v>6239.24</v>
      </c>
      <c r="N1447" s="3">
        <v>0</v>
      </c>
      <c r="O1447" t="s">
        <v>2438</v>
      </c>
      <c r="P1447" t="s">
        <v>2301</v>
      </c>
      <c r="Q1447" t="s">
        <v>2461</v>
      </c>
      <c r="R1447" t="str">
        <f t="shared" si="45"/>
        <v>Sim</v>
      </c>
      <c r="S1447" t="s">
        <v>2461</v>
      </c>
      <c r="T1447" t="s">
        <v>2381</v>
      </c>
      <c r="U1447" t="s">
        <v>274</v>
      </c>
      <c r="V1447" s="3">
        <v>6239.24</v>
      </c>
      <c r="W1447" t="s">
        <v>166</v>
      </c>
      <c r="X1447" s="3">
        <v>6239.24</v>
      </c>
    </row>
    <row r="1448" spans="1:24" s="2" customFormat="1" x14ac:dyDescent="0.2">
      <c r="A1448" s="2">
        <v>1448</v>
      </c>
      <c r="B1448"/>
      <c r="C1448" t="s">
        <v>153</v>
      </c>
      <c r="D1448" t="s">
        <v>2539</v>
      </c>
      <c r="E1448" t="s">
        <v>30</v>
      </c>
      <c r="F1448" t="s">
        <v>63</v>
      </c>
      <c r="G1448" t="s">
        <v>25</v>
      </c>
      <c r="H1448" t="str">
        <f t="shared" si="44"/>
        <v xml:space="preserve">SODEXO_ELIANE 11/12 | Recorrência: | Observações: </v>
      </c>
      <c r="I1448" t="s">
        <v>26</v>
      </c>
      <c r="J1448" s="5">
        <v>-776.6</v>
      </c>
      <c r="K1448" s="4">
        <v>724442.43</v>
      </c>
      <c r="L1448" t="s">
        <v>27</v>
      </c>
      <c r="M1448" s="5">
        <v>-776.6</v>
      </c>
      <c r="N1448" s="3">
        <v>0</v>
      </c>
      <c r="O1448" t="s">
        <v>2438</v>
      </c>
      <c r="P1448" t="s">
        <v>2122</v>
      </c>
      <c r="Q1448" t="s">
        <v>2540</v>
      </c>
      <c r="R1448" t="str">
        <f t="shared" si="45"/>
        <v>nao</v>
      </c>
      <c r="S1448" t="s">
        <v>2438</v>
      </c>
      <c r="T1448" t="s">
        <v>30</v>
      </c>
      <c r="U1448" t="s">
        <v>93</v>
      </c>
      <c r="V1448" s="3">
        <v>-776.6</v>
      </c>
      <c r="W1448" t="s">
        <v>331</v>
      </c>
      <c r="X1448" s="3">
        <v>-776.6</v>
      </c>
    </row>
    <row r="1449" spans="1:24" s="2" customFormat="1" x14ac:dyDescent="0.2">
      <c r="A1449">
        <v>1449</v>
      </c>
      <c r="B1449" t="s">
        <v>2017</v>
      </c>
      <c r="C1449" t="s">
        <v>2018</v>
      </c>
      <c r="D1449" t="s">
        <v>2541</v>
      </c>
      <c r="E1449" t="s">
        <v>30</v>
      </c>
      <c r="F1449" t="s">
        <v>24</v>
      </c>
      <c r="G1449" t="s">
        <v>25</v>
      </c>
      <c r="H1449" t="str">
        <f t="shared" si="44"/>
        <v xml:space="preserve">RT - MARIEL E RONEI | Recorrência: | Observações: </v>
      </c>
      <c r="I1449" t="s">
        <v>491</v>
      </c>
      <c r="J1449" s="4">
        <v>434.75</v>
      </c>
      <c r="K1449" s="4">
        <v>724877.18</v>
      </c>
      <c r="L1449" t="s">
        <v>27</v>
      </c>
      <c r="M1449" s="4">
        <v>434.75</v>
      </c>
      <c r="N1449" s="3">
        <v>0</v>
      </c>
      <c r="O1449" t="s">
        <v>2438</v>
      </c>
      <c r="P1449" t="s">
        <v>2542</v>
      </c>
      <c r="Q1449" t="s">
        <v>2438</v>
      </c>
      <c r="R1449" t="str">
        <f t="shared" si="45"/>
        <v>Sim</v>
      </c>
      <c r="S1449" t="s">
        <v>2438</v>
      </c>
      <c r="T1449" t="s">
        <v>30</v>
      </c>
      <c r="U1449" t="s">
        <v>49</v>
      </c>
      <c r="V1449" s="3">
        <v>434.75</v>
      </c>
      <c r="W1449" t="s">
        <v>494</v>
      </c>
      <c r="X1449" s="3">
        <v>434.75</v>
      </c>
    </row>
    <row r="1450" spans="1:24" s="2" customFormat="1" x14ac:dyDescent="0.2">
      <c r="A1450" s="2">
        <v>1450</v>
      </c>
      <c r="B1450" t="s">
        <v>647</v>
      </c>
      <c r="C1450" t="s">
        <v>648</v>
      </c>
      <c r="D1450" t="s">
        <v>2543</v>
      </c>
      <c r="E1450" t="s">
        <v>30</v>
      </c>
      <c r="F1450" t="s">
        <v>63</v>
      </c>
      <c r="G1450" t="s">
        <v>25</v>
      </c>
      <c r="H1450" t="str">
        <f t="shared" si="44"/>
        <v xml:space="preserve">1/12 - FGTS  1/12 | Recorrência: | Observações: </v>
      </c>
      <c r="I1450" t="s">
        <v>1113</v>
      </c>
      <c r="J1450" s="5">
        <v>-263.51</v>
      </c>
      <c r="K1450" s="4">
        <v>724613.67</v>
      </c>
      <c r="L1450" t="s">
        <v>27</v>
      </c>
      <c r="M1450" s="5">
        <v>-263.51</v>
      </c>
      <c r="N1450" s="3">
        <v>0</v>
      </c>
      <c r="O1450" t="s">
        <v>2449</v>
      </c>
      <c r="P1450" t="s">
        <v>2285</v>
      </c>
      <c r="Q1450" t="s">
        <v>2449</v>
      </c>
      <c r="R1450" t="str">
        <f t="shared" si="45"/>
        <v>Sim</v>
      </c>
      <c r="S1450" t="s">
        <v>2449</v>
      </c>
      <c r="T1450" t="s">
        <v>30</v>
      </c>
      <c r="U1450" t="s">
        <v>1531</v>
      </c>
      <c r="V1450" s="3">
        <v>-263.51</v>
      </c>
      <c r="W1450" t="s">
        <v>650</v>
      </c>
      <c r="X1450" s="3">
        <v>-263.51</v>
      </c>
    </row>
    <row r="1451" spans="1:24" s="2" customFormat="1" x14ac:dyDescent="0.2">
      <c r="A1451">
        <v>1451</v>
      </c>
      <c r="B1451" t="s">
        <v>2375</v>
      </c>
      <c r="C1451" t="s">
        <v>2376</v>
      </c>
      <c r="D1451" t="s">
        <v>2544</v>
      </c>
      <c r="E1451" t="s">
        <v>30</v>
      </c>
      <c r="F1451" t="s">
        <v>24</v>
      </c>
      <c r="G1451" t="s">
        <v>25</v>
      </c>
      <c r="H1451" t="str">
        <f t="shared" si="44"/>
        <v>3/6 - GERENCIAMENTO RIVIERA 3/6 | Recorrência: | Observações: EMITIR NF PF - 51.716,40
Maria Isabel C Najm Strapetti 
CPF 073.627.088-40
Endereço: Rua General Fonseca Teles, 64 - Jd. Paulistano - CEP 01429-020 - São Paulo - SP
E-mail: belstrapetti@gmail.com</v>
      </c>
      <c r="I1451" t="s">
        <v>491</v>
      </c>
      <c r="J1451" s="4">
        <v>8619.0499999999993</v>
      </c>
      <c r="K1451" s="4">
        <v>733232.72</v>
      </c>
      <c r="L1451" t="s">
        <v>27</v>
      </c>
      <c r="M1451" s="4">
        <v>8619.0499999999993</v>
      </c>
      <c r="N1451" s="3">
        <v>0</v>
      </c>
      <c r="O1451" t="s">
        <v>2461</v>
      </c>
      <c r="P1451" t="s">
        <v>2301</v>
      </c>
      <c r="Q1451" t="s">
        <v>2461</v>
      </c>
      <c r="R1451" t="str">
        <f t="shared" si="45"/>
        <v>Sim</v>
      </c>
      <c r="S1451" t="s">
        <v>2461</v>
      </c>
      <c r="T1451" t="s">
        <v>2378</v>
      </c>
      <c r="U1451" t="s">
        <v>274</v>
      </c>
      <c r="V1451" s="3">
        <v>8619.0499999999993</v>
      </c>
      <c r="W1451" t="s">
        <v>166</v>
      </c>
      <c r="X1451" s="3">
        <v>8619.0499999999993</v>
      </c>
    </row>
    <row r="1452" spans="1:24" s="2" customFormat="1" x14ac:dyDescent="0.2">
      <c r="A1452" s="2">
        <v>1452</v>
      </c>
      <c r="B1452" t="s">
        <v>1450</v>
      </c>
      <c r="C1452" t="s">
        <v>1451</v>
      </c>
      <c r="D1452" t="s">
        <v>2545</v>
      </c>
      <c r="E1452" t="s">
        <v>30</v>
      </c>
      <c r="F1452" t="s">
        <v>24</v>
      </c>
      <c r="G1452" t="s">
        <v>25</v>
      </c>
      <c r="H1452" t="str">
        <f t="shared" si="44"/>
        <v xml:space="preserve">RT_AMAURI _ LUCIENE GIL MARCHI | Recorrência: | Observações: </v>
      </c>
      <c r="I1452" t="s">
        <v>491</v>
      </c>
      <c r="J1452" s="4">
        <v>12400</v>
      </c>
      <c r="K1452" s="4">
        <v>733232.72</v>
      </c>
      <c r="L1452" t="s">
        <v>756</v>
      </c>
      <c r="M1452" s="4">
        <v>12400</v>
      </c>
      <c r="N1452" s="3">
        <v>0</v>
      </c>
      <c r="O1452" t="s">
        <v>2461</v>
      </c>
      <c r="P1452" t="s">
        <v>2171</v>
      </c>
      <c r="Q1452" t="s">
        <v>2461</v>
      </c>
      <c r="R1452" t="str">
        <f t="shared" si="45"/>
        <v>Sim</v>
      </c>
      <c r="S1452" t="s">
        <v>2461</v>
      </c>
      <c r="T1452" t="s">
        <v>30</v>
      </c>
      <c r="U1452" t="s">
        <v>49</v>
      </c>
      <c r="V1452" s="3">
        <v>12400</v>
      </c>
      <c r="W1452" t="s">
        <v>494</v>
      </c>
      <c r="X1452" s="3">
        <v>12400</v>
      </c>
    </row>
    <row r="1453" spans="1:24" s="2" customFormat="1" x14ac:dyDescent="0.2">
      <c r="A1453">
        <v>1453</v>
      </c>
      <c r="B1453" t="s">
        <v>1450</v>
      </c>
      <c r="C1453" t="s">
        <v>1451</v>
      </c>
      <c r="D1453" t="s">
        <v>2546</v>
      </c>
      <c r="E1453" t="s">
        <v>30</v>
      </c>
      <c r="F1453" t="s">
        <v>24</v>
      </c>
      <c r="G1453" t="s">
        <v>25</v>
      </c>
      <c r="H1453" t="str">
        <f t="shared" si="44"/>
        <v xml:space="preserve">RT CAMILA DOSSE E PAULO RAMOS  - 3° DEPÓSITO | Recorrência: | Observações: </v>
      </c>
      <c r="I1453" t="s">
        <v>491</v>
      </c>
      <c r="J1453" s="4">
        <v>2000</v>
      </c>
      <c r="K1453" s="4">
        <v>733232.72</v>
      </c>
      <c r="L1453" t="s">
        <v>756</v>
      </c>
      <c r="M1453" s="4">
        <v>2000</v>
      </c>
      <c r="N1453" s="3">
        <v>0</v>
      </c>
      <c r="O1453" t="s">
        <v>2461</v>
      </c>
      <c r="P1453" t="s">
        <v>2201</v>
      </c>
      <c r="Q1453" t="s">
        <v>2461</v>
      </c>
      <c r="R1453" t="str">
        <f t="shared" si="45"/>
        <v>Sim</v>
      </c>
      <c r="S1453" t="s">
        <v>2461</v>
      </c>
      <c r="T1453" t="s">
        <v>30</v>
      </c>
      <c r="U1453" t="s">
        <v>49</v>
      </c>
      <c r="V1453" s="3">
        <v>2000</v>
      </c>
      <c r="W1453" t="s">
        <v>494</v>
      </c>
      <c r="X1453" s="3">
        <v>2000</v>
      </c>
    </row>
    <row r="1454" spans="1:24" s="2" customFormat="1" x14ac:dyDescent="0.2">
      <c r="A1454" s="2">
        <v>1454</v>
      </c>
      <c r="B1454" t="s">
        <v>1130</v>
      </c>
      <c r="C1454" t="s">
        <v>77</v>
      </c>
      <c r="D1454" t="s">
        <v>2547</v>
      </c>
      <c r="E1454" t="s">
        <v>30</v>
      </c>
      <c r="F1454" t="s">
        <v>24</v>
      </c>
      <c r="G1454" t="s">
        <v>25</v>
      </c>
      <c r="H1454" t="str">
        <f t="shared" si="44"/>
        <v xml:space="preserve">RT PEDIDO 14123960 - DIANA E DIOGO_PROJETO O PARQUE | Recorrência: | Observações: </v>
      </c>
      <c r="I1454" t="s">
        <v>491</v>
      </c>
      <c r="J1454" s="4">
        <v>1839.23</v>
      </c>
      <c r="K1454" s="4">
        <v>733232.72</v>
      </c>
      <c r="L1454" t="s">
        <v>756</v>
      </c>
      <c r="M1454" s="4">
        <v>1839.23</v>
      </c>
      <c r="N1454" s="3">
        <v>0</v>
      </c>
      <c r="O1454" t="s">
        <v>2461</v>
      </c>
      <c r="P1454" t="s">
        <v>2462</v>
      </c>
      <c r="Q1454" t="s">
        <v>2461</v>
      </c>
      <c r="R1454" t="str">
        <f t="shared" si="45"/>
        <v>Sim</v>
      </c>
      <c r="S1454" t="s">
        <v>2461</v>
      </c>
      <c r="T1454" t="s">
        <v>30</v>
      </c>
      <c r="U1454" t="s">
        <v>49</v>
      </c>
      <c r="V1454" s="3">
        <v>1839.23</v>
      </c>
      <c r="W1454" t="s">
        <v>494</v>
      </c>
      <c r="X1454" s="3">
        <v>1839.23</v>
      </c>
    </row>
    <row r="1455" spans="1:24" s="2" customFormat="1" x14ac:dyDescent="0.2">
      <c r="A1455">
        <v>1455</v>
      </c>
      <c r="B1455" t="s">
        <v>1074</v>
      </c>
      <c r="C1455" t="s">
        <v>1075</v>
      </c>
      <c r="D1455" t="s">
        <v>2549</v>
      </c>
      <c r="E1455" t="s">
        <v>30</v>
      </c>
      <c r="F1455" t="s">
        <v>24</v>
      </c>
      <c r="G1455" t="s">
        <v>25</v>
      </c>
      <c r="H1455" t="str">
        <f t="shared" si="44"/>
        <v xml:space="preserve">RT PEDIDO 20.5401 - Condominio Edificio Kensington Park | Recorrência: | Observações: </v>
      </c>
      <c r="I1455" t="s">
        <v>26</v>
      </c>
      <c r="J1455" s="4">
        <v>759.2</v>
      </c>
      <c r="K1455" s="4">
        <v>733991.92</v>
      </c>
      <c r="L1455" t="s">
        <v>27</v>
      </c>
      <c r="M1455" s="4">
        <v>759.2</v>
      </c>
      <c r="N1455" s="3">
        <v>0</v>
      </c>
      <c r="O1455" t="s">
        <v>2548</v>
      </c>
      <c r="P1455" t="s">
        <v>2472</v>
      </c>
      <c r="Q1455" t="s">
        <v>2550</v>
      </c>
      <c r="R1455" t="str">
        <f t="shared" si="45"/>
        <v>Sim</v>
      </c>
      <c r="S1455" t="s">
        <v>2550</v>
      </c>
      <c r="T1455" t="s">
        <v>30</v>
      </c>
      <c r="U1455" t="s">
        <v>49</v>
      </c>
      <c r="V1455" s="3">
        <v>759.2</v>
      </c>
      <c r="W1455" t="s">
        <v>494</v>
      </c>
      <c r="X1455" s="3">
        <v>759.2</v>
      </c>
    </row>
    <row r="1456" spans="1:24" s="2" customFormat="1" x14ac:dyDescent="0.2">
      <c r="A1456" s="2">
        <v>1456</v>
      </c>
      <c r="B1456" t="s">
        <v>2237</v>
      </c>
      <c r="C1456" t="s">
        <v>2238</v>
      </c>
      <c r="D1456" t="s">
        <v>2551</v>
      </c>
      <c r="E1456" t="s">
        <v>30</v>
      </c>
      <c r="F1456" t="s">
        <v>24</v>
      </c>
      <c r="G1456" t="s">
        <v>25</v>
      </c>
      <c r="H1456" t="str">
        <f t="shared" si="44"/>
        <v xml:space="preserve">2/2 - PROJETO RESIDENCIAL  2/2 | Recorrência: | Observações: GERADO CPF- 609.234.803-90 &gt;  PARA REALIZAR CADASTRO &gt; ATUALIZAR APÓS OBTER DADOS </v>
      </c>
      <c r="I1456" t="s">
        <v>491</v>
      </c>
      <c r="J1456" s="4">
        <v>14250</v>
      </c>
      <c r="K1456" s="4">
        <v>748241.92000000004</v>
      </c>
      <c r="L1456" t="s">
        <v>27</v>
      </c>
      <c r="M1456" s="4">
        <v>14250</v>
      </c>
      <c r="N1456" s="3">
        <v>0</v>
      </c>
      <c r="O1456" t="s">
        <v>2548</v>
      </c>
      <c r="P1456" t="s">
        <v>2212</v>
      </c>
      <c r="Q1456" t="s">
        <v>2548</v>
      </c>
      <c r="R1456" t="str">
        <f t="shared" si="45"/>
        <v>Sim</v>
      </c>
      <c r="S1456" t="s">
        <v>2548</v>
      </c>
      <c r="T1456" t="s">
        <v>2241</v>
      </c>
      <c r="U1456" t="s">
        <v>182</v>
      </c>
      <c r="V1456" s="3">
        <v>14250</v>
      </c>
      <c r="W1456" t="s">
        <v>32</v>
      </c>
      <c r="X1456" s="3">
        <v>14250</v>
      </c>
    </row>
    <row r="1457" spans="1:24" s="2" customFormat="1" x14ac:dyDescent="0.2">
      <c r="A1457">
        <v>1457</v>
      </c>
      <c r="B1457" t="s">
        <v>1373</v>
      </c>
      <c r="C1457" t="s">
        <v>1374</v>
      </c>
      <c r="D1457" t="s">
        <v>2552</v>
      </c>
      <c r="E1457" t="s">
        <v>30</v>
      </c>
      <c r="F1457" t="s">
        <v>24</v>
      </c>
      <c r="G1457" t="s">
        <v>25</v>
      </c>
      <c r="H1457" t="str">
        <f t="shared" si="44"/>
        <v xml:space="preserve">3/5 - GERENCIAMENTO  O PARQUE  3/5 | Recorrência: | Observações: </v>
      </c>
      <c r="I1457" t="s">
        <v>491</v>
      </c>
      <c r="J1457" s="4">
        <v>3500</v>
      </c>
      <c r="K1457" s="4">
        <v>748241.92000000004</v>
      </c>
      <c r="L1457" t="s">
        <v>756</v>
      </c>
      <c r="M1457" s="4">
        <v>3500</v>
      </c>
      <c r="N1457" s="3">
        <v>0</v>
      </c>
      <c r="O1457" t="s">
        <v>2548</v>
      </c>
      <c r="P1457" t="s">
        <v>1938</v>
      </c>
      <c r="Q1457" t="s">
        <v>2548</v>
      </c>
      <c r="R1457" t="str">
        <f t="shared" si="45"/>
        <v>Sim</v>
      </c>
      <c r="S1457" t="s">
        <v>2548</v>
      </c>
      <c r="T1457" t="s">
        <v>30</v>
      </c>
      <c r="U1457" t="s">
        <v>274</v>
      </c>
      <c r="V1457" s="3">
        <v>3500</v>
      </c>
      <c r="W1457" t="s">
        <v>166</v>
      </c>
      <c r="X1457" s="3">
        <v>3500</v>
      </c>
    </row>
    <row r="1458" spans="1:24" s="2" customFormat="1" x14ac:dyDescent="0.2">
      <c r="A1458" s="2">
        <v>1458</v>
      </c>
      <c r="B1458" t="s">
        <v>2554</v>
      </c>
      <c r="C1458" t="s">
        <v>2555</v>
      </c>
      <c r="D1458" t="s">
        <v>2556</v>
      </c>
      <c r="E1458" t="s">
        <v>30</v>
      </c>
      <c r="F1458" t="s">
        <v>24</v>
      </c>
      <c r="G1458" t="s">
        <v>25</v>
      </c>
      <c r="H1458" t="str">
        <f t="shared" si="44"/>
        <v>RT PEDIDO 00135908 - CAMILA DOSSE | Recorrência: | Observações: RT &gt; PAGO NO MÊS SUBSEQUENTE DA ENTREGA DO PRODUTO (PREVISÃO 07/12)</v>
      </c>
      <c r="I1458" t="s">
        <v>491</v>
      </c>
      <c r="J1458" s="4">
        <v>1278.3</v>
      </c>
      <c r="K1458" s="4">
        <v>749520.22</v>
      </c>
      <c r="L1458" t="s">
        <v>27</v>
      </c>
      <c r="M1458" s="4">
        <v>1278.3</v>
      </c>
      <c r="N1458" s="3">
        <v>0</v>
      </c>
      <c r="O1458" t="s">
        <v>2553</v>
      </c>
      <c r="P1458" t="s">
        <v>2171</v>
      </c>
      <c r="Q1458" t="s">
        <v>2461</v>
      </c>
      <c r="R1458" t="str">
        <f t="shared" si="45"/>
        <v>Sim</v>
      </c>
      <c r="S1458" t="s">
        <v>2461</v>
      </c>
      <c r="T1458" t="s">
        <v>2557</v>
      </c>
      <c r="U1458" t="s">
        <v>49</v>
      </c>
      <c r="V1458" s="3">
        <v>1278.3</v>
      </c>
      <c r="W1458" t="s">
        <v>494</v>
      </c>
      <c r="X1458" s="3">
        <v>1278.3</v>
      </c>
    </row>
    <row r="1459" spans="1:24" s="2" customFormat="1" x14ac:dyDescent="0.2">
      <c r="A1459">
        <v>1459</v>
      </c>
      <c r="B1459" t="s">
        <v>647</v>
      </c>
      <c r="C1459" t="s">
        <v>648</v>
      </c>
      <c r="D1459" t="s">
        <v>1556</v>
      </c>
      <c r="E1459" t="s">
        <v>320</v>
      </c>
      <c r="F1459" t="s">
        <v>63</v>
      </c>
      <c r="G1459" t="s">
        <v>25</v>
      </c>
      <c r="H1459" t="str">
        <f t="shared" si="44"/>
        <v xml:space="preserve">DARF PREVIDÊNCIARIO | Recorrência:1/12 | Observações: </v>
      </c>
      <c r="I1459" t="s">
        <v>26</v>
      </c>
      <c r="J1459" s="5">
        <v>-1601.45</v>
      </c>
      <c r="K1459" s="4">
        <v>747918.77</v>
      </c>
      <c r="L1459" t="s">
        <v>27</v>
      </c>
      <c r="M1459" s="5">
        <v>-1601.45</v>
      </c>
      <c r="N1459" s="3">
        <v>0</v>
      </c>
      <c r="O1459" t="s">
        <v>2553</v>
      </c>
      <c r="P1459" t="s">
        <v>2458</v>
      </c>
      <c r="Q1459" t="s">
        <v>2558</v>
      </c>
      <c r="R1459" t="str">
        <f t="shared" si="45"/>
        <v>Sim</v>
      </c>
      <c r="S1459" t="s">
        <v>2558</v>
      </c>
      <c r="T1459" t="s">
        <v>30</v>
      </c>
      <c r="U1459" t="s">
        <v>601</v>
      </c>
      <c r="V1459" s="3">
        <v>-1601.45</v>
      </c>
      <c r="W1459" t="s">
        <v>376</v>
      </c>
      <c r="X1459" s="3">
        <v>-1601.45</v>
      </c>
    </row>
    <row r="1460" spans="1:24" s="2" customFormat="1" x14ac:dyDescent="0.2">
      <c r="A1460" s="2">
        <v>1460</v>
      </c>
      <c r="B1460" t="s">
        <v>1133</v>
      </c>
      <c r="C1460" t="s">
        <v>1134</v>
      </c>
      <c r="D1460" t="s">
        <v>2560</v>
      </c>
      <c r="E1460" t="s">
        <v>30</v>
      </c>
      <c r="F1460" t="s">
        <v>24</v>
      </c>
      <c r="G1460" t="s">
        <v>25</v>
      </c>
      <c r="H1460" t="str">
        <f t="shared" si="44"/>
        <v xml:space="preserve">RT PEDIDO DE VENDA Nº 283064 - COND EDIF KENSINGTON PARK | Recorrência: | Observações: </v>
      </c>
      <c r="I1460" t="s">
        <v>491</v>
      </c>
      <c r="J1460" s="4">
        <v>768.28</v>
      </c>
      <c r="K1460" s="4">
        <v>748687.05</v>
      </c>
      <c r="L1460" t="s">
        <v>27</v>
      </c>
      <c r="M1460" s="4">
        <v>768.28</v>
      </c>
      <c r="N1460" s="3">
        <v>0</v>
      </c>
      <c r="O1460" t="s">
        <v>2559</v>
      </c>
      <c r="P1460" t="s">
        <v>2472</v>
      </c>
      <c r="Q1460" t="s">
        <v>2461</v>
      </c>
      <c r="R1460" t="str">
        <f t="shared" si="45"/>
        <v>Sim</v>
      </c>
      <c r="S1460" t="s">
        <v>2461</v>
      </c>
      <c r="T1460" t="s">
        <v>30</v>
      </c>
      <c r="U1460" t="s">
        <v>49</v>
      </c>
      <c r="V1460" s="3">
        <v>768.28</v>
      </c>
      <c r="W1460" t="s">
        <v>494</v>
      </c>
      <c r="X1460" s="3">
        <v>768.28</v>
      </c>
    </row>
    <row r="1461" spans="1:24" s="2" customFormat="1" x14ac:dyDescent="0.2">
      <c r="A1461">
        <v>1461</v>
      </c>
      <c r="B1461" t="s">
        <v>647</v>
      </c>
      <c r="C1461" t="s">
        <v>648</v>
      </c>
      <c r="D1461" t="s">
        <v>2561</v>
      </c>
      <c r="E1461" t="s">
        <v>30</v>
      </c>
      <c r="F1461" t="s">
        <v>63</v>
      </c>
      <c r="G1461" t="s">
        <v>25</v>
      </c>
      <c r="H1461" t="str">
        <f t="shared" si="44"/>
        <v xml:space="preserve">DARF IRRF IGRA | Recorrência: | Observações: </v>
      </c>
      <c r="I1461" t="s">
        <v>26</v>
      </c>
      <c r="J1461" s="5">
        <v>-14.94</v>
      </c>
      <c r="K1461" s="4">
        <v>748672.11</v>
      </c>
      <c r="L1461" t="s">
        <v>27</v>
      </c>
      <c r="M1461" s="5">
        <v>-14.94</v>
      </c>
      <c r="N1461" s="3">
        <v>0</v>
      </c>
      <c r="O1461" t="s">
        <v>2550</v>
      </c>
      <c r="P1461" t="s">
        <v>2536</v>
      </c>
      <c r="Q1461" t="s">
        <v>2550</v>
      </c>
      <c r="R1461" t="str">
        <f t="shared" si="45"/>
        <v>Sim</v>
      </c>
      <c r="S1461" t="s">
        <v>2550</v>
      </c>
      <c r="T1461" t="s">
        <v>30</v>
      </c>
      <c r="U1461" t="s">
        <v>1508</v>
      </c>
      <c r="V1461" s="3">
        <v>-14.94</v>
      </c>
      <c r="W1461" t="s">
        <v>376</v>
      </c>
      <c r="X1461" s="3">
        <v>-14.94</v>
      </c>
    </row>
    <row r="1462" spans="1:24" s="2" customFormat="1" x14ac:dyDescent="0.2">
      <c r="A1462" s="2">
        <v>1462</v>
      </c>
      <c r="B1462" t="s">
        <v>106</v>
      </c>
      <c r="C1462" t="s">
        <v>107</v>
      </c>
      <c r="D1462" t="s">
        <v>2562</v>
      </c>
      <c r="E1462" t="s">
        <v>30</v>
      </c>
      <c r="F1462" t="s">
        <v>24</v>
      </c>
      <c r="G1462" t="s">
        <v>25</v>
      </c>
      <c r="H1462" t="str">
        <f t="shared" si="44"/>
        <v xml:space="preserve">2/4 - GERENCIAMENTO: Rua Conde D’Eu,861 - Alto da Boa Vista 2/4 | Recorrência: | Observações: </v>
      </c>
      <c r="I1462" t="s">
        <v>491</v>
      </c>
      <c r="J1462" s="4">
        <v>4000</v>
      </c>
      <c r="K1462" s="4">
        <v>748672.11</v>
      </c>
      <c r="L1462" t="s">
        <v>756</v>
      </c>
      <c r="M1462" s="4">
        <v>4000</v>
      </c>
      <c r="N1462" s="3">
        <v>0</v>
      </c>
      <c r="O1462" t="s">
        <v>2550</v>
      </c>
      <c r="P1462" t="s">
        <v>2187</v>
      </c>
      <c r="Q1462" t="s">
        <v>2550</v>
      </c>
      <c r="R1462" t="str">
        <f t="shared" si="45"/>
        <v>Sim</v>
      </c>
      <c r="S1462" t="s">
        <v>2550</v>
      </c>
      <c r="T1462" t="s">
        <v>30</v>
      </c>
      <c r="U1462" t="s">
        <v>274</v>
      </c>
      <c r="V1462" s="3">
        <v>4000</v>
      </c>
      <c r="W1462" t="s">
        <v>1161</v>
      </c>
      <c r="X1462" s="3">
        <v>4000</v>
      </c>
    </row>
    <row r="1463" spans="1:24" s="2" customFormat="1" x14ac:dyDescent="0.2">
      <c r="A1463">
        <v>1463</v>
      </c>
      <c r="B1463" t="s">
        <v>2463</v>
      </c>
      <c r="C1463" t="s">
        <v>2464</v>
      </c>
      <c r="D1463" t="s">
        <v>2564</v>
      </c>
      <c r="E1463" t="s">
        <v>30</v>
      </c>
      <c r="F1463" t="s">
        <v>24</v>
      </c>
      <c r="G1463" t="s">
        <v>25</v>
      </c>
      <c r="H1463" t="str">
        <f t="shared" si="44"/>
        <v xml:space="preserve">2/3 - PROJETO INTERIORES  2/3 | Recorrência: | Observações: </v>
      </c>
      <c r="I1463" t="s">
        <v>491</v>
      </c>
      <c r="J1463" s="4">
        <v>5000</v>
      </c>
      <c r="K1463" s="4">
        <v>753672.11</v>
      </c>
      <c r="L1463" t="s">
        <v>27</v>
      </c>
      <c r="M1463" s="4">
        <v>5000</v>
      </c>
      <c r="N1463" s="3">
        <v>0</v>
      </c>
      <c r="O1463" t="s">
        <v>2563</v>
      </c>
      <c r="P1463" t="s">
        <v>2462</v>
      </c>
      <c r="Q1463" t="s">
        <v>2565</v>
      </c>
      <c r="R1463" t="str">
        <f t="shared" si="45"/>
        <v>Sim</v>
      </c>
      <c r="S1463" t="s">
        <v>2565</v>
      </c>
      <c r="T1463" t="s">
        <v>30</v>
      </c>
      <c r="U1463" t="s">
        <v>31</v>
      </c>
      <c r="V1463" s="3">
        <v>5000</v>
      </c>
      <c r="W1463" t="s">
        <v>2466</v>
      </c>
      <c r="X1463" s="3">
        <v>5000</v>
      </c>
    </row>
    <row r="1464" spans="1:24" s="2" customFormat="1" x14ac:dyDescent="0.2">
      <c r="A1464" s="2">
        <v>1464</v>
      </c>
      <c r="B1464" t="s">
        <v>1789</v>
      </c>
      <c r="C1464" t="s">
        <v>1790</v>
      </c>
      <c r="D1464" t="s">
        <v>2566</v>
      </c>
      <c r="E1464" t="s">
        <v>30</v>
      </c>
      <c r="F1464" t="s">
        <v>24</v>
      </c>
      <c r="G1464" t="s">
        <v>25</v>
      </c>
      <c r="H1464" t="str">
        <f t="shared" si="44"/>
        <v xml:space="preserve">RT PEDIDO 40131 - RONEI_CLAUDIA | Recorrência: | Observações: </v>
      </c>
      <c r="I1464" t="s">
        <v>491</v>
      </c>
      <c r="J1464" s="4">
        <v>115.8</v>
      </c>
      <c r="K1464" s="4">
        <v>753787.91</v>
      </c>
      <c r="L1464" t="s">
        <v>27</v>
      </c>
      <c r="M1464" s="4">
        <v>115.8</v>
      </c>
      <c r="N1464" s="3">
        <v>0</v>
      </c>
      <c r="O1464" t="s">
        <v>2563</v>
      </c>
      <c r="P1464" t="s">
        <v>2451</v>
      </c>
      <c r="Q1464" t="s">
        <v>2563</v>
      </c>
      <c r="R1464" t="str">
        <f t="shared" si="45"/>
        <v>nao</v>
      </c>
      <c r="S1464" t="s">
        <v>2456</v>
      </c>
      <c r="T1464" t="s">
        <v>30</v>
      </c>
      <c r="U1464" t="s">
        <v>49</v>
      </c>
      <c r="V1464" s="3">
        <v>115.8</v>
      </c>
      <c r="W1464" t="s">
        <v>494</v>
      </c>
      <c r="X1464" s="3">
        <v>115.8</v>
      </c>
    </row>
    <row r="1465" spans="1:24" s="2" customFormat="1" x14ac:dyDescent="0.2">
      <c r="A1465">
        <v>1465</v>
      </c>
      <c r="B1465"/>
      <c r="C1465" t="s">
        <v>153</v>
      </c>
      <c r="D1465" t="s">
        <v>2568</v>
      </c>
      <c r="E1465" t="s">
        <v>30</v>
      </c>
      <c r="F1465" t="s">
        <v>63</v>
      </c>
      <c r="G1465" t="s">
        <v>25</v>
      </c>
      <c r="H1465" t="str">
        <f t="shared" si="44"/>
        <v xml:space="preserve">1/4 - DARF COFINS - TRIMESTRAL 1/4 | Recorrência: | Observações: </v>
      </c>
      <c r="I1465" t="s">
        <v>26</v>
      </c>
      <c r="J1465" s="5">
        <v>-1516.77</v>
      </c>
      <c r="K1465" s="4">
        <v>752271.14</v>
      </c>
      <c r="L1465" t="s">
        <v>27</v>
      </c>
      <c r="M1465" s="5">
        <v>-1516.77</v>
      </c>
      <c r="N1465" s="3">
        <v>0</v>
      </c>
      <c r="O1465" t="s">
        <v>2567</v>
      </c>
      <c r="P1465" t="s">
        <v>2536</v>
      </c>
      <c r="Q1465" t="s">
        <v>2569</v>
      </c>
      <c r="R1465" t="str">
        <f t="shared" si="45"/>
        <v>Sim</v>
      </c>
      <c r="S1465" t="s">
        <v>2569</v>
      </c>
      <c r="T1465" t="s">
        <v>30</v>
      </c>
      <c r="U1465" t="s">
        <v>1508</v>
      </c>
      <c r="V1465" s="3">
        <v>-1516.77</v>
      </c>
      <c r="W1465" t="s">
        <v>2570</v>
      </c>
      <c r="X1465" s="3">
        <v>-1516.77</v>
      </c>
    </row>
    <row r="1466" spans="1:24" s="2" customFormat="1" x14ac:dyDescent="0.2">
      <c r="A1466" s="2">
        <v>1466</v>
      </c>
      <c r="B1466" t="s">
        <v>647</v>
      </c>
      <c r="C1466" t="s">
        <v>648</v>
      </c>
      <c r="D1466" t="s">
        <v>2571</v>
      </c>
      <c r="E1466" t="s">
        <v>30</v>
      </c>
      <c r="F1466" t="s">
        <v>63</v>
      </c>
      <c r="G1466" t="s">
        <v>25</v>
      </c>
      <c r="H1466" t="str">
        <f t="shared" si="44"/>
        <v xml:space="preserve">7/59 - DARF PIS 7/60 | Recorrência: | Observações: </v>
      </c>
      <c r="I1466" t="s">
        <v>26</v>
      </c>
      <c r="J1466" s="5">
        <v>-328.63</v>
      </c>
      <c r="K1466" s="4">
        <v>751942.51</v>
      </c>
      <c r="L1466" t="s">
        <v>27</v>
      </c>
      <c r="M1466" s="5">
        <v>-328.63</v>
      </c>
      <c r="N1466" s="3">
        <v>0</v>
      </c>
      <c r="O1466" t="s">
        <v>2567</v>
      </c>
      <c r="P1466" t="s">
        <v>1502</v>
      </c>
      <c r="Q1466" t="s">
        <v>2569</v>
      </c>
      <c r="R1466" t="str">
        <f t="shared" si="45"/>
        <v>Sim</v>
      </c>
      <c r="S1466" t="s">
        <v>2569</v>
      </c>
      <c r="T1466" t="s">
        <v>30</v>
      </c>
      <c r="U1466" t="s">
        <v>601</v>
      </c>
      <c r="V1466" s="3">
        <v>-328.63</v>
      </c>
      <c r="W1466" t="s">
        <v>324</v>
      </c>
      <c r="X1466" s="3">
        <v>-328.63</v>
      </c>
    </row>
    <row r="1467" spans="1:24" s="2" customFormat="1" x14ac:dyDescent="0.2">
      <c r="A1467">
        <v>1467</v>
      </c>
      <c r="B1467" t="s">
        <v>1373</v>
      </c>
      <c r="C1467" t="s">
        <v>1374</v>
      </c>
      <c r="D1467" t="s">
        <v>2572</v>
      </c>
      <c r="E1467" t="s">
        <v>30</v>
      </c>
      <c r="F1467" t="s">
        <v>24</v>
      </c>
      <c r="G1467" t="s">
        <v>25</v>
      </c>
      <c r="H1467" t="str">
        <f t="shared" si="44"/>
        <v xml:space="preserve">1/4 - GERENCIAMENTO AIR BROOKLIN - 02 STUDIOS 1/4 | Recorrência: | Observações: </v>
      </c>
      <c r="I1467" t="s">
        <v>491</v>
      </c>
      <c r="J1467" s="4">
        <v>3000</v>
      </c>
      <c r="K1467" s="4">
        <v>751942.51</v>
      </c>
      <c r="L1467" t="s">
        <v>756</v>
      </c>
      <c r="M1467" s="4">
        <v>3000</v>
      </c>
      <c r="N1467" s="3">
        <v>0</v>
      </c>
      <c r="O1467" t="s">
        <v>2569</v>
      </c>
      <c r="P1467" t="s">
        <v>2268</v>
      </c>
      <c r="Q1467" t="s">
        <v>2569</v>
      </c>
      <c r="R1467" t="str">
        <f t="shared" si="45"/>
        <v>Sim</v>
      </c>
      <c r="S1467" t="s">
        <v>2569</v>
      </c>
      <c r="T1467" t="s">
        <v>30</v>
      </c>
      <c r="U1467" t="s">
        <v>274</v>
      </c>
      <c r="V1467" s="3">
        <v>3000</v>
      </c>
      <c r="W1467" t="s">
        <v>166</v>
      </c>
      <c r="X1467" s="3">
        <v>3000</v>
      </c>
    </row>
    <row r="1468" spans="1:24" s="2" customFormat="1" x14ac:dyDescent="0.2">
      <c r="A1468" s="2">
        <v>1468</v>
      </c>
      <c r="B1468" t="s">
        <v>1789</v>
      </c>
      <c r="C1468" t="s">
        <v>1790</v>
      </c>
      <c r="D1468" t="s">
        <v>2574</v>
      </c>
      <c r="E1468" t="s">
        <v>30</v>
      </c>
      <c r="F1468" t="s">
        <v>24</v>
      </c>
      <c r="G1468" t="s">
        <v>25</v>
      </c>
      <c r="H1468" t="str">
        <f t="shared" si="44"/>
        <v xml:space="preserve">RT PEDIDO 40190 - CAROL E VOCTOR PENAZZO | Recorrência: | Observações: </v>
      </c>
      <c r="I1468" t="s">
        <v>491</v>
      </c>
      <c r="J1468" s="4">
        <v>4235</v>
      </c>
      <c r="K1468" s="4">
        <v>756177.51</v>
      </c>
      <c r="L1468" t="s">
        <v>27</v>
      </c>
      <c r="M1468" s="4">
        <v>4235</v>
      </c>
      <c r="N1468" s="3">
        <v>0</v>
      </c>
      <c r="O1468" t="s">
        <v>2573</v>
      </c>
      <c r="P1468" t="s">
        <v>2525</v>
      </c>
      <c r="Q1468" t="s">
        <v>2525</v>
      </c>
      <c r="R1468" t="str">
        <f t="shared" si="45"/>
        <v>Sim</v>
      </c>
      <c r="S1468" t="s">
        <v>2525</v>
      </c>
      <c r="T1468" t="s">
        <v>30</v>
      </c>
      <c r="U1468" t="s">
        <v>49</v>
      </c>
      <c r="V1468" s="3">
        <v>4235</v>
      </c>
      <c r="W1468" t="s">
        <v>494</v>
      </c>
      <c r="X1468" s="3">
        <v>4235</v>
      </c>
    </row>
    <row r="1469" spans="1:24" s="2" customFormat="1" x14ac:dyDescent="0.2">
      <c r="A1469">
        <v>1469</v>
      </c>
      <c r="B1469" t="s">
        <v>1204</v>
      </c>
      <c r="C1469" t="s">
        <v>1205</v>
      </c>
      <c r="D1469" t="s">
        <v>2575</v>
      </c>
      <c r="E1469" t="s">
        <v>30</v>
      </c>
      <c r="F1469" t="s">
        <v>24</v>
      </c>
      <c r="G1469" t="s">
        <v>25</v>
      </c>
      <c r="H1469" t="str">
        <f t="shared" si="44"/>
        <v xml:space="preserve">RT REFERENTE MÊS DE DEZEMBRO | Recorrência: | Observações: </v>
      </c>
      <c r="I1469" t="s">
        <v>491</v>
      </c>
      <c r="J1469" s="4">
        <v>1401.95</v>
      </c>
      <c r="K1469" s="4">
        <v>757579.46</v>
      </c>
      <c r="L1469" t="s">
        <v>27</v>
      </c>
      <c r="M1469" s="4">
        <v>1401.95</v>
      </c>
      <c r="N1469" s="3">
        <v>0</v>
      </c>
      <c r="O1469" t="s">
        <v>2573</v>
      </c>
      <c r="P1469" t="s">
        <v>2442</v>
      </c>
      <c r="Q1469" t="s">
        <v>2573</v>
      </c>
      <c r="R1469" t="str">
        <f t="shared" si="45"/>
        <v>Sim</v>
      </c>
      <c r="S1469" t="s">
        <v>2573</v>
      </c>
      <c r="T1469" t="s">
        <v>30</v>
      </c>
      <c r="U1469" t="s">
        <v>49</v>
      </c>
      <c r="V1469" s="3">
        <v>1401.95</v>
      </c>
      <c r="W1469" t="s">
        <v>494</v>
      </c>
      <c r="X1469" s="3">
        <v>1401.95</v>
      </c>
    </row>
    <row r="1470" spans="1:24" s="2" customFormat="1" x14ac:dyDescent="0.2">
      <c r="A1470" s="2">
        <v>1470</v>
      </c>
      <c r="B1470"/>
      <c r="C1470" t="s">
        <v>710</v>
      </c>
      <c r="D1470" t="s">
        <v>2576</v>
      </c>
      <c r="E1470" t="s">
        <v>30</v>
      </c>
      <c r="F1470" t="s">
        <v>63</v>
      </c>
      <c r="G1470" t="s">
        <v>25</v>
      </c>
      <c r="H1470" t="str">
        <f t="shared" si="44"/>
        <v xml:space="preserve">1/12 - ENEL - ENERGIA ELÉTRICA referente a janeiro 1/12 | Recorrência: | Observações: </v>
      </c>
      <c r="I1470" t="s">
        <v>26</v>
      </c>
      <c r="J1470" s="5">
        <v>-382.27</v>
      </c>
      <c r="K1470" s="4">
        <v>757197.19</v>
      </c>
      <c r="L1470" t="s">
        <v>27</v>
      </c>
      <c r="M1470" s="5">
        <v>-382.27</v>
      </c>
      <c r="N1470" s="3">
        <v>0</v>
      </c>
      <c r="O1470" t="s">
        <v>2525</v>
      </c>
      <c r="P1470" t="s">
        <v>2577</v>
      </c>
      <c r="Q1470" t="s">
        <v>2525</v>
      </c>
      <c r="R1470" t="str">
        <f t="shared" si="45"/>
        <v>Sim</v>
      </c>
      <c r="S1470" t="s">
        <v>2525</v>
      </c>
      <c r="T1470" t="s">
        <v>30</v>
      </c>
      <c r="U1470" t="s">
        <v>125</v>
      </c>
      <c r="V1470" s="3">
        <v>-382.27</v>
      </c>
      <c r="W1470" t="s">
        <v>125</v>
      </c>
      <c r="X1470" s="3">
        <v>-382.27</v>
      </c>
    </row>
    <row r="1471" spans="1:24" s="2" customFormat="1" x14ac:dyDescent="0.2">
      <c r="A1471">
        <v>1471</v>
      </c>
      <c r="B1471"/>
      <c r="C1471" t="s">
        <v>153</v>
      </c>
      <c r="D1471" t="s">
        <v>2579</v>
      </c>
      <c r="E1471" t="s">
        <v>30</v>
      </c>
      <c r="F1471" t="s">
        <v>63</v>
      </c>
      <c r="G1471" t="s">
        <v>25</v>
      </c>
      <c r="H1471" t="str">
        <f t="shared" si="44"/>
        <v>VALE TRANSPORTE - REFERENTE MÊS DE FEVEREIRO | Recorrência: | Observações: 18 DIAS UTEIS - DESCONTADO DIAS - 13-14-15 DE CARNAVAL</v>
      </c>
      <c r="I1471" t="s">
        <v>1113</v>
      </c>
      <c r="J1471" s="5">
        <v>-360</v>
      </c>
      <c r="K1471" s="4">
        <v>756837.19</v>
      </c>
      <c r="L1471" t="s">
        <v>27</v>
      </c>
      <c r="M1471" s="5">
        <v>-360</v>
      </c>
      <c r="N1471" s="3">
        <v>0</v>
      </c>
      <c r="O1471" t="s">
        <v>2578</v>
      </c>
      <c r="P1471" t="s">
        <v>2578</v>
      </c>
      <c r="Q1471" t="s">
        <v>2580</v>
      </c>
      <c r="R1471" t="str">
        <f t="shared" si="45"/>
        <v>Sim</v>
      </c>
      <c r="S1471" t="s">
        <v>2580</v>
      </c>
      <c r="T1471" t="s">
        <v>2581</v>
      </c>
      <c r="U1471" t="s">
        <v>662</v>
      </c>
      <c r="V1471" s="3">
        <v>-360</v>
      </c>
      <c r="W1471" t="s">
        <v>698</v>
      </c>
      <c r="X1471" s="3">
        <v>-360</v>
      </c>
    </row>
    <row r="1472" spans="1:24" s="2" customFormat="1" x14ac:dyDescent="0.2">
      <c r="A1472" s="2">
        <v>1472</v>
      </c>
      <c r="B1472"/>
      <c r="C1472" t="s">
        <v>153</v>
      </c>
      <c r="D1472" t="s">
        <v>2582</v>
      </c>
      <c r="E1472" t="s">
        <v>30</v>
      </c>
      <c r="F1472" t="s">
        <v>63</v>
      </c>
      <c r="G1472" t="s">
        <v>25</v>
      </c>
      <c r="H1472" t="str">
        <f t="shared" si="44"/>
        <v>1/12 - DIÁRIAS JULIANA SOARES  1/12 | Recorrência: | Observações: DIARIAS REFERENTE A JANEIRO - 05-10-17-24-31</v>
      </c>
      <c r="I1472" t="s">
        <v>1113</v>
      </c>
      <c r="J1472" s="5">
        <v>-600</v>
      </c>
      <c r="K1472" s="4">
        <v>756237.19</v>
      </c>
      <c r="L1472" t="s">
        <v>27</v>
      </c>
      <c r="M1472" s="5">
        <v>-600</v>
      </c>
      <c r="N1472" s="3">
        <v>0</v>
      </c>
      <c r="O1472" t="s">
        <v>2578</v>
      </c>
      <c r="P1472" t="s">
        <v>2481</v>
      </c>
      <c r="Q1472" t="s">
        <v>2578</v>
      </c>
      <c r="R1472" t="str">
        <f t="shared" si="45"/>
        <v>Sim</v>
      </c>
      <c r="S1472" t="s">
        <v>2578</v>
      </c>
      <c r="T1472" t="s">
        <v>2583</v>
      </c>
      <c r="U1472" t="s">
        <v>691</v>
      </c>
      <c r="V1472" s="3">
        <v>-600</v>
      </c>
      <c r="W1472" t="s">
        <v>1722</v>
      </c>
      <c r="X1472" s="3">
        <v>-600</v>
      </c>
    </row>
    <row r="1473" spans="1:24" s="2" customFormat="1" x14ac:dyDescent="0.2">
      <c r="A1473">
        <v>1473</v>
      </c>
      <c r="B1473" t="s">
        <v>1619</v>
      </c>
      <c r="C1473" t="s">
        <v>112</v>
      </c>
      <c r="D1473" t="s">
        <v>2391</v>
      </c>
      <c r="E1473" t="s">
        <v>30</v>
      </c>
      <c r="F1473" t="s">
        <v>24</v>
      </c>
      <c r="G1473" t="s">
        <v>25</v>
      </c>
      <c r="H1473" t="str">
        <f t="shared" si="44"/>
        <v xml:space="preserve">RT CAMILA DOSSE | Recorrência: | Observações: </v>
      </c>
      <c r="I1473" t="s">
        <v>491</v>
      </c>
      <c r="J1473" s="4">
        <v>1000</v>
      </c>
      <c r="K1473" s="4">
        <v>757237.19</v>
      </c>
      <c r="L1473" t="s">
        <v>27</v>
      </c>
      <c r="M1473" s="4">
        <v>1000</v>
      </c>
      <c r="N1473" s="3">
        <v>0</v>
      </c>
      <c r="O1473" t="s">
        <v>2578</v>
      </c>
      <c r="P1473" t="s">
        <v>2578</v>
      </c>
      <c r="Q1473" t="s">
        <v>2578</v>
      </c>
      <c r="R1473" t="str">
        <f t="shared" si="45"/>
        <v>Sim</v>
      </c>
      <c r="S1473" t="s">
        <v>2578</v>
      </c>
      <c r="T1473" t="s">
        <v>30</v>
      </c>
      <c r="U1473" t="s">
        <v>49</v>
      </c>
      <c r="V1473" s="3">
        <v>1000</v>
      </c>
      <c r="W1473" t="s">
        <v>494</v>
      </c>
      <c r="X1473" s="3">
        <v>1000</v>
      </c>
    </row>
    <row r="1474" spans="1:24" s="2" customFormat="1" x14ac:dyDescent="0.2">
      <c r="A1474" s="2">
        <v>1474</v>
      </c>
      <c r="B1474" t="s">
        <v>1061</v>
      </c>
      <c r="C1474" t="s">
        <v>1062</v>
      </c>
      <c r="D1474" t="s">
        <v>2584</v>
      </c>
      <c r="E1474" t="s">
        <v>30</v>
      </c>
      <c r="F1474" t="s">
        <v>24</v>
      </c>
      <c r="G1474" t="s">
        <v>25</v>
      </c>
      <c r="H1474" t="str">
        <f t="shared" si="44"/>
        <v xml:space="preserve">RT PEDIDO 185075 - CLIENTE RONEI E CLAUDIA | Recorrência: | Observações: </v>
      </c>
      <c r="I1474" t="s">
        <v>491</v>
      </c>
      <c r="J1474" s="4">
        <v>246</v>
      </c>
      <c r="K1474" s="4">
        <v>757483.19</v>
      </c>
      <c r="L1474" t="s">
        <v>27</v>
      </c>
      <c r="M1474" s="4">
        <v>246</v>
      </c>
      <c r="N1474" s="3">
        <v>0</v>
      </c>
      <c r="O1474" t="s">
        <v>2578</v>
      </c>
      <c r="P1474" t="s">
        <v>2536</v>
      </c>
      <c r="Q1474" t="s">
        <v>2525</v>
      </c>
      <c r="R1474" t="str">
        <f t="shared" si="45"/>
        <v>Sim</v>
      </c>
      <c r="S1474" t="s">
        <v>2525</v>
      </c>
      <c r="T1474" t="s">
        <v>30</v>
      </c>
      <c r="U1474" t="s">
        <v>49</v>
      </c>
      <c r="V1474" s="3">
        <v>246</v>
      </c>
      <c r="W1474" t="s">
        <v>494</v>
      </c>
      <c r="X1474" s="3">
        <v>246</v>
      </c>
    </row>
    <row r="1475" spans="1:24" s="2" customFormat="1" x14ac:dyDescent="0.2">
      <c r="A1475">
        <v>1475</v>
      </c>
      <c r="B1475"/>
      <c r="C1475" t="s">
        <v>153</v>
      </c>
      <c r="D1475" t="s">
        <v>2585</v>
      </c>
      <c r="E1475" t="s">
        <v>30</v>
      </c>
      <c r="F1475" t="s">
        <v>63</v>
      </c>
      <c r="G1475" t="s">
        <v>25</v>
      </c>
      <c r="H1475" t="str">
        <f t="shared" ref="H1475:H1538" si="46">D1475&amp;" | "&amp;$E$1&amp;E1475&amp;" | Observações: "&amp;T1475</f>
        <v xml:space="preserve">1/12 - ELIANE - VALE TRANSPORTE MÊS DE FEVEREIRO 1/12 | Recorrência: | Observações: </v>
      </c>
      <c r="I1475" t="s">
        <v>491</v>
      </c>
      <c r="J1475" s="5">
        <v>-360</v>
      </c>
      <c r="K1475" s="4">
        <v>757123.19</v>
      </c>
      <c r="L1475" t="s">
        <v>27</v>
      </c>
      <c r="M1475" s="5">
        <v>-360</v>
      </c>
      <c r="N1475" s="3">
        <v>0</v>
      </c>
      <c r="O1475" t="s">
        <v>2578</v>
      </c>
      <c r="P1475" t="s">
        <v>2578</v>
      </c>
      <c r="Q1475" t="s">
        <v>2578</v>
      </c>
      <c r="R1475" t="str">
        <f t="shared" ref="R1475:R1538" si="47">IF(Q1475=S1475,"Sim","nao")</f>
        <v>Sim</v>
      </c>
      <c r="S1475" t="s">
        <v>2578</v>
      </c>
      <c r="T1475" t="s">
        <v>30</v>
      </c>
      <c r="U1475" t="s">
        <v>662</v>
      </c>
      <c r="V1475" s="3">
        <v>-360</v>
      </c>
      <c r="W1475" t="s">
        <v>698</v>
      </c>
      <c r="X1475" s="3">
        <v>-360</v>
      </c>
    </row>
    <row r="1476" spans="1:24" s="2" customFormat="1" x14ac:dyDescent="0.2">
      <c r="A1476" s="2">
        <v>1476</v>
      </c>
      <c r="B1476"/>
      <c r="C1476" t="s">
        <v>828</v>
      </c>
      <c r="D1476" t="s">
        <v>830</v>
      </c>
      <c r="E1476" t="s">
        <v>2586</v>
      </c>
      <c r="F1476" t="s">
        <v>63</v>
      </c>
      <c r="G1476" t="s">
        <v>25</v>
      </c>
      <c r="H1476" t="str">
        <f t="shared" si="46"/>
        <v xml:space="preserve">PREFEITURA DO MUNICIPIO DE BERTIOGA | Recorrência:23/41 | Observações: REF.02 PAGAMENTOS </v>
      </c>
      <c r="I1476" t="s">
        <v>26</v>
      </c>
      <c r="J1476" s="5">
        <v>-228.16</v>
      </c>
      <c r="K1476" s="4">
        <v>757123.19</v>
      </c>
      <c r="L1476" t="s">
        <v>756</v>
      </c>
      <c r="M1476" s="5">
        <v>-228.16</v>
      </c>
      <c r="N1476" s="3">
        <v>0</v>
      </c>
      <c r="O1476" t="s">
        <v>2578</v>
      </c>
      <c r="P1476" t="s">
        <v>2587</v>
      </c>
      <c r="Q1476" t="s">
        <v>2578</v>
      </c>
      <c r="R1476" t="str">
        <f t="shared" si="47"/>
        <v>Sim</v>
      </c>
      <c r="S1476" t="s">
        <v>2578</v>
      </c>
      <c r="T1476" t="s">
        <v>831</v>
      </c>
      <c r="U1476" t="s">
        <v>832</v>
      </c>
      <c r="V1476" s="3">
        <v>-228.16</v>
      </c>
    </row>
    <row r="1477" spans="1:24" s="2" customFormat="1" x14ac:dyDescent="0.2">
      <c r="A1477">
        <v>1477</v>
      </c>
      <c r="B1477" t="s">
        <v>1288</v>
      </c>
      <c r="C1477" t="s">
        <v>1289</v>
      </c>
      <c r="D1477" t="s">
        <v>2588</v>
      </c>
      <c r="E1477" t="s">
        <v>30</v>
      </c>
      <c r="F1477" t="s">
        <v>24</v>
      </c>
      <c r="G1477" t="s">
        <v>25</v>
      </c>
      <c r="H1477" t="str">
        <f t="shared" si="46"/>
        <v>4/4 - AGUARDANDO INSTALAÇÃO PARA RT - RIVIEIRA - COND. ED ALMIRANTE  - MARIA ISABEL NAJM E FABIO NAJM 4/4 | Recorrência: | Observações: Cliente: MARIA ISABEL CORREA NAJM STRAPETTI 
valor da Venda : 95.000,,00
RT: 5% = 4.750,00
16/09/22 - 2.125,00	
21/10/22 - 1.050,00
18/11/22 -  1.050,00
17/02/23 - 525,00( final da instalação do cliente , caso não finalize a obra no mês 02/23, o vencimento vai ser alterado.
Cliente: FABIO CORREA NAJM
valor da Venda : 95.000,,00
RT: 5% = 4.750,00
16/09/22 - 2.125,00
21/10/22- 1.050,00	
18/11/22- 1050,00	
17/02/23- 525,00( final da instalação do cliente , caso não finalize a obra no mês 02/23, o vencimento vai ser alterado.</v>
      </c>
      <c r="I1477" t="s">
        <v>491</v>
      </c>
      <c r="J1477" s="4">
        <v>1050</v>
      </c>
      <c r="K1477" s="4">
        <v>757123.19</v>
      </c>
      <c r="L1477" t="s">
        <v>756</v>
      </c>
      <c r="M1477" s="4">
        <v>1050</v>
      </c>
      <c r="N1477" s="3">
        <v>0</v>
      </c>
      <c r="O1477" t="s">
        <v>2578</v>
      </c>
      <c r="P1477" t="s">
        <v>1291</v>
      </c>
      <c r="Q1477" t="s">
        <v>2578</v>
      </c>
      <c r="R1477" t="str">
        <f t="shared" si="47"/>
        <v>Sim</v>
      </c>
      <c r="S1477" t="s">
        <v>2578</v>
      </c>
      <c r="T1477" t="s">
        <v>1293</v>
      </c>
      <c r="U1477" t="s">
        <v>49</v>
      </c>
      <c r="V1477" s="3">
        <v>1050</v>
      </c>
      <c r="W1477" t="s">
        <v>494</v>
      </c>
      <c r="X1477" s="3">
        <v>1050</v>
      </c>
    </row>
    <row r="1478" spans="1:24" s="2" customFormat="1" x14ac:dyDescent="0.2">
      <c r="A1478" s="2">
        <v>1478</v>
      </c>
      <c r="B1478" t="s">
        <v>1120</v>
      </c>
      <c r="C1478" t="s">
        <v>1121</v>
      </c>
      <c r="D1478" t="s">
        <v>2589</v>
      </c>
      <c r="E1478" t="s">
        <v>30</v>
      </c>
      <c r="F1478" t="s">
        <v>24</v>
      </c>
      <c r="G1478" t="s">
        <v>25</v>
      </c>
      <c r="H1478" t="str">
        <f t="shared" si="46"/>
        <v xml:space="preserve">RT PEDIDO AASA78 - CAMILA E PAULO RAMOS e ABVH52 FARIZE e LEANDRO | Recorrência: | Observações: </v>
      </c>
      <c r="I1478" t="s">
        <v>491</v>
      </c>
      <c r="J1478" s="4">
        <v>2426.52</v>
      </c>
      <c r="K1478" s="4">
        <v>757123.19</v>
      </c>
      <c r="L1478" t="s">
        <v>756</v>
      </c>
      <c r="M1478" s="4">
        <v>2426.52</v>
      </c>
      <c r="N1478" s="3">
        <v>0</v>
      </c>
      <c r="O1478" t="s">
        <v>2578</v>
      </c>
      <c r="P1478" t="s">
        <v>2201</v>
      </c>
      <c r="Q1478" t="s">
        <v>2578</v>
      </c>
      <c r="R1478" t="str">
        <f t="shared" si="47"/>
        <v>Sim</v>
      </c>
      <c r="S1478" t="s">
        <v>2578</v>
      </c>
      <c r="T1478" t="s">
        <v>30</v>
      </c>
      <c r="U1478" t="s">
        <v>49</v>
      </c>
      <c r="V1478" s="3">
        <v>2426.52</v>
      </c>
      <c r="W1478" t="s">
        <v>494</v>
      </c>
      <c r="X1478" s="3">
        <v>2426.52</v>
      </c>
    </row>
    <row r="1479" spans="1:24" s="2" customFormat="1" x14ac:dyDescent="0.2">
      <c r="A1479">
        <v>1479</v>
      </c>
      <c r="B1479" t="s">
        <v>1987</v>
      </c>
      <c r="C1479" t="s">
        <v>1988</v>
      </c>
      <c r="D1479" t="s">
        <v>2590</v>
      </c>
      <c r="E1479" t="s">
        <v>30</v>
      </c>
      <c r="F1479" t="s">
        <v>63</v>
      </c>
      <c r="G1479" t="s">
        <v>25</v>
      </c>
      <c r="H1479" t="str">
        <f t="shared" si="46"/>
        <v>4/4 - COMISSÃO GABI E DANIEL 4/4 | Recorrência: | Observações: COMISSÃO REFERENTE AO PROJETO GABRIELA E DANIEL
VALOR PROJETO: R$21.600,00 DIVIDIDO EM 4X
VALOR TOTAL DA COMISSÃO DE 3%=R$ R$648,00/4=R$ R$ 162,00
01/11-R$ 162,00
01/12-R$ 162,00
01/01-R$ 162,00
01/02-R$ 162,00</v>
      </c>
      <c r="I1479" t="s">
        <v>30</v>
      </c>
      <c r="J1479" s="5">
        <v>-162</v>
      </c>
      <c r="K1479" s="4">
        <v>756961.19</v>
      </c>
      <c r="L1479" t="s">
        <v>27</v>
      </c>
      <c r="M1479" s="5">
        <v>-162</v>
      </c>
      <c r="N1479" s="3">
        <v>0</v>
      </c>
      <c r="O1479" t="s">
        <v>2580</v>
      </c>
      <c r="P1479" t="s">
        <v>2268</v>
      </c>
      <c r="Q1479" t="s">
        <v>2580</v>
      </c>
      <c r="R1479" t="str">
        <f t="shared" si="47"/>
        <v>Sim</v>
      </c>
      <c r="S1479" t="s">
        <v>2580</v>
      </c>
      <c r="T1479" t="s">
        <v>2347</v>
      </c>
      <c r="U1479" t="s">
        <v>1991</v>
      </c>
      <c r="V1479" s="3">
        <v>-162</v>
      </c>
      <c r="W1479" t="s">
        <v>1722</v>
      </c>
      <c r="X1479" s="3">
        <v>-162</v>
      </c>
    </row>
    <row r="1480" spans="1:24" s="2" customFormat="1" x14ac:dyDescent="0.2">
      <c r="A1480" s="2">
        <v>1480</v>
      </c>
      <c r="B1480" t="s">
        <v>1987</v>
      </c>
      <c r="C1480" t="s">
        <v>1988</v>
      </c>
      <c r="D1480" t="s">
        <v>2591</v>
      </c>
      <c r="E1480" t="s">
        <v>30</v>
      </c>
      <c r="F1480" t="s">
        <v>63</v>
      </c>
      <c r="G1480" t="s">
        <v>25</v>
      </c>
      <c r="H1480" t="str">
        <f t="shared" si="46"/>
        <v>2/3 - COMISSÃO PROJETO CAROL E VICTOR 2/3 | Recorrência: | Observações: COMISSÃO REFERENTE AO PROJETO CAROL E VICTOR
VALOR PROJETO R$15.000,00 X 3%=R$ 450,00
01/01/24_R$ 150.00
01/02/24_R$ 150.00
01/03/24_R$ 150.00</v>
      </c>
      <c r="I1480" t="s">
        <v>491</v>
      </c>
      <c r="J1480" s="5">
        <v>-150</v>
      </c>
      <c r="K1480" s="4">
        <v>756811.19</v>
      </c>
      <c r="L1480" t="s">
        <v>27</v>
      </c>
      <c r="M1480" s="5">
        <v>-150</v>
      </c>
      <c r="N1480" s="3">
        <v>0</v>
      </c>
      <c r="O1480" t="s">
        <v>2580</v>
      </c>
      <c r="P1480" t="s">
        <v>2472</v>
      </c>
      <c r="Q1480" t="s">
        <v>2580</v>
      </c>
      <c r="R1480" t="str">
        <f t="shared" si="47"/>
        <v>Sim</v>
      </c>
      <c r="S1480" t="s">
        <v>2580</v>
      </c>
      <c r="T1480" t="s">
        <v>2531</v>
      </c>
      <c r="U1480" t="s">
        <v>1991</v>
      </c>
      <c r="V1480" s="3">
        <v>-150</v>
      </c>
      <c r="W1480" t="s">
        <v>1722</v>
      </c>
      <c r="X1480" s="3">
        <v>-150</v>
      </c>
    </row>
    <row r="1481" spans="1:24" s="2" customFormat="1" x14ac:dyDescent="0.2">
      <c r="A1481">
        <v>1481</v>
      </c>
      <c r="B1481"/>
      <c r="C1481" t="s">
        <v>153</v>
      </c>
      <c r="D1481" t="s">
        <v>2592</v>
      </c>
      <c r="E1481" t="s">
        <v>30</v>
      </c>
      <c r="F1481" t="s">
        <v>63</v>
      </c>
      <c r="G1481" t="s">
        <v>25</v>
      </c>
      <c r="H1481" t="str">
        <f t="shared" si="46"/>
        <v xml:space="preserve">2/11 - SODEXO - ELIANE 2/12 | Recorrência: | Observações: </v>
      </c>
      <c r="I1481" t="s">
        <v>755</v>
      </c>
      <c r="J1481" s="5">
        <v>-635.4</v>
      </c>
      <c r="K1481" s="4">
        <v>756175.79</v>
      </c>
      <c r="L1481" t="s">
        <v>27</v>
      </c>
      <c r="M1481" s="5">
        <v>-635.4</v>
      </c>
      <c r="N1481" s="3">
        <v>0</v>
      </c>
      <c r="O1481" t="s">
        <v>2580</v>
      </c>
      <c r="P1481" t="s">
        <v>2536</v>
      </c>
      <c r="Q1481" t="s">
        <v>2580</v>
      </c>
      <c r="R1481" t="str">
        <f t="shared" si="47"/>
        <v>Sim</v>
      </c>
      <c r="S1481" t="s">
        <v>2580</v>
      </c>
      <c r="T1481" t="s">
        <v>30</v>
      </c>
      <c r="U1481" t="s">
        <v>93</v>
      </c>
      <c r="V1481" s="3">
        <v>-635.4</v>
      </c>
      <c r="W1481" t="s">
        <v>331</v>
      </c>
      <c r="X1481" s="3">
        <v>-635.4</v>
      </c>
    </row>
    <row r="1482" spans="1:24" s="2" customFormat="1" x14ac:dyDescent="0.2">
      <c r="A1482" s="2">
        <v>1482</v>
      </c>
      <c r="B1482"/>
      <c r="C1482" t="s">
        <v>153</v>
      </c>
      <c r="D1482" t="s">
        <v>2593</v>
      </c>
      <c r="E1482" t="s">
        <v>30</v>
      </c>
      <c r="F1482" t="s">
        <v>63</v>
      </c>
      <c r="G1482" t="s">
        <v>25</v>
      </c>
      <c r="H1482" t="str">
        <f t="shared" si="46"/>
        <v xml:space="preserve">2/13 - SALÁRIO - JULYA FIGUEIREDO - COORDENADORA 2/13 | Recorrência: | Observações: </v>
      </c>
      <c r="I1482" t="s">
        <v>491</v>
      </c>
      <c r="J1482" s="5">
        <v>-5022.1000000000004</v>
      </c>
      <c r="K1482" s="4">
        <v>751153.69</v>
      </c>
      <c r="L1482" t="s">
        <v>27</v>
      </c>
      <c r="M1482" s="5">
        <v>-5022.1000000000004</v>
      </c>
      <c r="N1482" s="3">
        <v>0</v>
      </c>
      <c r="O1482" t="s">
        <v>2580</v>
      </c>
      <c r="P1482" t="s">
        <v>2418</v>
      </c>
      <c r="Q1482" t="s">
        <v>2580</v>
      </c>
      <c r="R1482" t="str">
        <f t="shared" si="47"/>
        <v>Sim</v>
      </c>
      <c r="S1482" t="s">
        <v>2580</v>
      </c>
      <c r="T1482" t="s">
        <v>30</v>
      </c>
      <c r="U1482" t="s">
        <v>323</v>
      </c>
      <c r="V1482" s="3">
        <v>-5022.1000000000004</v>
      </c>
      <c r="W1482" t="s">
        <v>1164</v>
      </c>
      <c r="X1482" s="3">
        <v>-5022.1000000000004</v>
      </c>
    </row>
    <row r="1483" spans="1:24" s="2" customFormat="1" x14ac:dyDescent="0.2">
      <c r="A1483">
        <v>1483</v>
      </c>
      <c r="B1483"/>
      <c r="C1483" t="s">
        <v>153</v>
      </c>
      <c r="D1483" t="s">
        <v>2594</v>
      </c>
      <c r="E1483" t="s">
        <v>30</v>
      </c>
      <c r="F1483" t="s">
        <v>63</v>
      </c>
      <c r="G1483" t="s">
        <v>25</v>
      </c>
      <c r="H1483" t="str">
        <f t="shared" si="46"/>
        <v xml:space="preserve">2/12 - SALÁRIO MAYARA OLIVEIRA  2/12 | Recorrência: | Observações: </v>
      </c>
      <c r="I1483" t="s">
        <v>491</v>
      </c>
      <c r="J1483" s="5">
        <v>-3495.29</v>
      </c>
      <c r="K1483" s="4">
        <v>747658.4</v>
      </c>
      <c r="L1483" t="s">
        <v>27</v>
      </c>
      <c r="M1483" s="5">
        <v>-3495.29</v>
      </c>
      <c r="N1483" s="3">
        <v>0</v>
      </c>
      <c r="O1483" t="s">
        <v>2580</v>
      </c>
      <c r="P1483" t="s">
        <v>2261</v>
      </c>
      <c r="Q1483" t="s">
        <v>2580</v>
      </c>
      <c r="R1483" t="str">
        <f t="shared" si="47"/>
        <v>Sim</v>
      </c>
      <c r="S1483" t="s">
        <v>2580</v>
      </c>
      <c r="T1483" t="s">
        <v>30</v>
      </c>
      <c r="U1483" t="s">
        <v>323</v>
      </c>
      <c r="V1483" s="3">
        <v>-3495.29</v>
      </c>
      <c r="W1483" t="s">
        <v>1164</v>
      </c>
      <c r="X1483" s="3">
        <v>-3495.29</v>
      </c>
    </row>
    <row r="1484" spans="1:24" s="2" customFormat="1" x14ac:dyDescent="0.2">
      <c r="A1484" s="2">
        <v>1484</v>
      </c>
      <c r="B1484"/>
      <c r="C1484" t="s">
        <v>153</v>
      </c>
      <c r="D1484" t="s">
        <v>2595</v>
      </c>
      <c r="E1484" t="s">
        <v>30</v>
      </c>
      <c r="F1484" t="s">
        <v>63</v>
      </c>
      <c r="G1484" t="s">
        <v>25</v>
      </c>
      <c r="H1484" t="str">
        <f t="shared" si="46"/>
        <v xml:space="preserve">2/12 - SALÁRIO ELIANE  2/12 | Recorrência: | Observações: </v>
      </c>
      <c r="I1484" t="s">
        <v>491</v>
      </c>
      <c r="J1484" s="5">
        <v>-1677.71</v>
      </c>
      <c r="K1484" s="4">
        <v>745980.69</v>
      </c>
      <c r="L1484" t="s">
        <v>27</v>
      </c>
      <c r="M1484" s="5">
        <v>-1677.71</v>
      </c>
      <c r="N1484" s="3">
        <v>0</v>
      </c>
      <c r="O1484" t="s">
        <v>2580</v>
      </c>
      <c r="P1484" t="s">
        <v>2261</v>
      </c>
      <c r="Q1484" t="s">
        <v>2580</v>
      </c>
      <c r="R1484" t="str">
        <f t="shared" si="47"/>
        <v>Sim</v>
      </c>
      <c r="S1484" t="s">
        <v>2580</v>
      </c>
      <c r="T1484" t="s">
        <v>30</v>
      </c>
      <c r="U1484" t="s">
        <v>323</v>
      </c>
      <c r="V1484" s="3">
        <v>-1677.71</v>
      </c>
      <c r="W1484" t="s">
        <v>1164</v>
      </c>
      <c r="X1484" s="3">
        <v>-1677.71</v>
      </c>
    </row>
    <row r="1485" spans="1:24" s="2" customFormat="1" x14ac:dyDescent="0.2">
      <c r="A1485">
        <v>1485</v>
      </c>
      <c r="B1485" t="s">
        <v>647</v>
      </c>
      <c r="C1485" t="s">
        <v>648</v>
      </c>
      <c r="D1485" t="s">
        <v>2596</v>
      </c>
      <c r="E1485" t="s">
        <v>30</v>
      </c>
      <c r="F1485" t="s">
        <v>63</v>
      </c>
      <c r="G1485" t="s">
        <v>25</v>
      </c>
      <c r="H1485" t="str">
        <f t="shared" si="46"/>
        <v xml:space="preserve">5/12 - DARF IRPJ_TRIMESTRAL 5/12 | Recorrência: | Observações: </v>
      </c>
      <c r="I1485" t="s">
        <v>26</v>
      </c>
      <c r="J1485" s="5">
        <v>-5016.37</v>
      </c>
      <c r="K1485" s="4">
        <v>740964.32</v>
      </c>
      <c r="L1485" t="s">
        <v>27</v>
      </c>
      <c r="M1485" s="5">
        <v>-5016.37</v>
      </c>
      <c r="N1485" s="3">
        <v>0</v>
      </c>
      <c r="O1485" t="s">
        <v>2580</v>
      </c>
      <c r="P1485" t="s">
        <v>1392</v>
      </c>
      <c r="Q1485" t="s">
        <v>2578</v>
      </c>
      <c r="R1485" t="str">
        <f t="shared" si="47"/>
        <v>Sim</v>
      </c>
      <c r="S1485" t="s">
        <v>2578</v>
      </c>
      <c r="T1485" t="s">
        <v>30</v>
      </c>
      <c r="U1485" t="s">
        <v>1508</v>
      </c>
      <c r="V1485" s="3">
        <v>-5016.37</v>
      </c>
      <c r="W1485" t="s">
        <v>1115</v>
      </c>
      <c r="X1485" s="3">
        <v>-5016.37</v>
      </c>
    </row>
    <row r="1486" spans="1:24" s="2" customFormat="1" x14ac:dyDescent="0.2">
      <c r="A1486" s="2">
        <v>1486</v>
      </c>
      <c r="B1486" t="s">
        <v>647</v>
      </c>
      <c r="C1486" t="s">
        <v>648</v>
      </c>
      <c r="D1486" t="s">
        <v>2597</v>
      </c>
      <c r="E1486" t="s">
        <v>30</v>
      </c>
      <c r="F1486" t="s">
        <v>63</v>
      </c>
      <c r="G1486" t="s">
        <v>25</v>
      </c>
      <c r="H1486" t="str">
        <f t="shared" si="46"/>
        <v xml:space="preserve">5/11 - DARF CSLL _TRIMESTRAL 5/12 | Recorrência: | Observações: </v>
      </c>
      <c r="I1486" t="s">
        <v>755</v>
      </c>
      <c r="J1486" s="5">
        <v>-3004.31</v>
      </c>
      <c r="K1486" s="4">
        <v>737960.01</v>
      </c>
      <c r="L1486" t="s">
        <v>27</v>
      </c>
      <c r="M1486" s="5">
        <v>-3004.31</v>
      </c>
      <c r="N1486" s="3">
        <v>0</v>
      </c>
      <c r="O1486" t="s">
        <v>2580</v>
      </c>
      <c r="P1486" t="s">
        <v>1391</v>
      </c>
      <c r="Q1486" t="s">
        <v>2578</v>
      </c>
      <c r="R1486" t="str">
        <f t="shared" si="47"/>
        <v>Sim</v>
      </c>
      <c r="S1486" t="s">
        <v>2578</v>
      </c>
      <c r="T1486" t="s">
        <v>30</v>
      </c>
      <c r="U1486" t="s">
        <v>728</v>
      </c>
      <c r="V1486" s="3">
        <v>-3004.31</v>
      </c>
      <c r="W1486" t="s">
        <v>1115</v>
      </c>
      <c r="X1486" s="3">
        <v>-3004.31</v>
      </c>
    </row>
    <row r="1487" spans="1:24" s="2" customFormat="1" x14ac:dyDescent="0.2">
      <c r="A1487">
        <v>1487</v>
      </c>
      <c r="B1487" t="s">
        <v>647</v>
      </c>
      <c r="C1487" t="s">
        <v>648</v>
      </c>
      <c r="D1487" t="s">
        <v>2598</v>
      </c>
      <c r="E1487" t="s">
        <v>30</v>
      </c>
      <c r="F1487" t="s">
        <v>63</v>
      </c>
      <c r="G1487" t="s">
        <v>25</v>
      </c>
      <c r="H1487" t="str">
        <f t="shared" si="46"/>
        <v xml:space="preserve">2/12 - FGTS  2/12 | Recorrência: | Observações: </v>
      </c>
      <c r="I1487" t="s">
        <v>1113</v>
      </c>
      <c r="J1487" s="5">
        <v>-145.62</v>
      </c>
      <c r="K1487" s="4">
        <v>737814.39</v>
      </c>
      <c r="L1487" t="s">
        <v>27</v>
      </c>
      <c r="M1487" s="5">
        <v>-145.62</v>
      </c>
      <c r="N1487" s="3">
        <v>0</v>
      </c>
      <c r="O1487" t="s">
        <v>2580</v>
      </c>
      <c r="P1487" t="s">
        <v>2285</v>
      </c>
      <c r="Q1487" t="s">
        <v>2599</v>
      </c>
      <c r="R1487" t="str">
        <f t="shared" si="47"/>
        <v>Sim</v>
      </c>
      <c r="S1487" t="s">
        <v>2599</v>
      </c>
      <c r="T1487" t="s">
        <v>30</v>
      </c>
      <c r="U1487" t="s">
        <v>1531</v>
      </c>
      <c r="V1487" s="3">
        <v>-145.62</v>
      </c>
      <c r="W1487" t="s">
        <v>650</v>
      </c>
      <c r="X1487" s="3">
        <v>-145.62</v>
      </c>
    </row>
    <row r="1488" spans="1:24" s="2" customFormat="1" x14ac:dyDescent="0.2">
      <c r="A1488" s="2">
        <v>1488</v>
      </c>
      <c r="B1488"/>
      <c r="C1488" t="s">
        <v>574</v>
      </c>
      <c r="D1488" t="s">
        <v>2600</v>
      </c>
      <c r="E1488" t="s">
        <v>30</v>
      </c>
      <c r="F1488" t="s">
        <v>63</v>
      </c>
      <c r="G1488" t="s">
        <v>25</v>
      </c>
      <c r="H1488" t="str">
        <f t="shared" si="46"/>
        <v xml:space="preserve">2/12 - CONDOMINIO+ALUGUEL  2/12 | Recorrência: | Observações: </v>
      </c>
      <c r="I1488" t="s">
        <v>491</v>
      </c>
      <c r="J1488" s="5">
        <v>-5599.45</v>
      </c>
      <c r="K1488" s="4">
        <v>732214.94</v>
      </c>
      <c r="L1488" t="s">
        <v>27</v>
      </c>
      <c r="M1488" s="5">
        <v>-5599.45</v>
      </c>
      <c r="N1488" s="3">
        <v>0</v>
      </c>
      <c r="O1488" t="s">
        <v>2580</v>
      </c>
      <c r="P1488" t="s">
        <v>2472</v>
      </c>
      <c r="Q1488" t="s">
        <v>2601</v>
      </c>
      <c r="R1488" t="str">
        <f t="shared" si="47"/>
        <v>Sim</v>
      </c>
      <c r="S1488" t="s">
        <v>2601</v>
      </c>
      <c r="T1488" t="s">
        <v>30</v>
      </c>
      <c r="U1488" t="s">
        <v>571</v>
      </c>
      <c r="V1488" s="3">
        <v>-5599.45</v>
      </c>
      <c r="W1488" t="s">
        <v>570</v>
      </c>
      <c r="X1488" s="3">
        <v>-5599.45</v>
      </c>
    </row>
    <row r="1489" spans="1:24" s="2" customFormat="1" x14ac:dyDescent="0.2">
      <c r="A1489">
        <v>1489</v>
      </c>
      <c r="B1489" t="s">
        <v>1016</v>
      </c>
      <c r="C1489" t="s">
        <v>1017</v>
      </c>
      <c r="D1489" t="s">
        <v>1017</v>
      </c>
      <c r="E1489" t="s">
        <v>566</v>
      </c>
      <c r="F1489" t="s">
        <v>63</v>
      </c>
      <c r="G1489" t="s">
        <v>25</v>
      </c>
      <c r="H1489" t="str">
        <f t="shared" si="46"/>
        <v xml:space="preserve">WEBDAS | Recorrência:5/12 | Observações: </v>
      </c>
      <c r="I1489" t="s">
        <v>755</v>
      </c>
      <c r="J1489" s="5">
        <v>-134.69999999999999</v>
      </c>
      <c r="K1489" s="4">
        <v>732080.24</v>
      </c>
      <c r="L1489" t="s">
        <v>27</v>
      </c>
      <c r="M1489" s="5">
        <v>-134.69999999999999</v>
      </c>
      <c r="N1489" s="3">
        <v>0</v>
      </c>
      <c r="O1489" t="s">
        <v>2580</v>
      </c>
      <c r="P1489" t="s">
        <v>2525</v>
      </c>
      <c r="Q1489" t="s">
        <v>2601</v>
      </c>
      <c r="R1489" t="str">
        <f t="shared" si="47"/>
        <v>Sim</v>
      </c>
      <c r="S1489" t="s">
        <v>2601</v>
      </c>
      <c r="T1489" t="s">
        <v>30</v>
      </c>
      <c r="U1489" t="s">
        <v>344</v>
      </c>
      <c r="V1489" s="3">
        <v>-134.69999999999999</v>
      </c>
      <c r="W1489" t="s">
        <v>1058</v>
      </c>
      <c r="X1489" s="3">
        <v>-134.69999999999999</v>
      </c>
    </row>
    <row r="1490" spans="1:24" s="2" customFormat="1" x14ac:dyDescent="0.2">
      <c r="A1490" s="2">
        <v>1490</v>
      </c>
      <c r="B1490"/>
      <c r="C1490" t="s">
        <v>153</v>
      </c>
      <c r="D1490" t="s">
        <v>2602</v>
      </c>
      <c r="E1490" t="s">
        <v>30</v>
      </c>
      <c r="F1490" t="s">
        <v>63</v>
      </c>
      <c r="G1490" t="s">
        <v>25</v>
      </c>
      <c r="H1490" t="str">
        <f t="shared" si="46"/>
        <v xml:space="preserve">2/12 - PRÓ LABORE MAYARA CLA 2/13 | Recorrência: | Observações: </v>
      </c>
      <c r="I1490" t="s">
        <v>991</v>
      </c>
      <c r="J1490" s="5">
        <v>-20000</v>
      </c>
      <c r="K1490" s="4">
        <v>712080.24</v>
      </c>
      <c r="L1490" t="s">
        <v>27</v>
      </c>
      <c r="M1490" s="5">
        <v>-20000</v>
      </c>
      <c r="N1490" s="3">
        <v>0</v>
      </c>
      <c r="O1490" t="s">
        <v>2580</v>
      </c>
      <c r="P1490" t="s">
        <v>2261</v>
      </c>
      <c r="Q1490" t="s">
        <v>2580</v>
      </c>
      <c r="R1490" t="str">
        <f t="shared" si="47"/>
        <v>Sim</v>
      </c>
      <c r="S1490" t="s">
        <v>2580</v>
      </c>
      <c r="T1490" t="s">
        <v>30</v>
      </c>
      <c r="U1490" t="s">
        <v>323</v>
      </c>
      <c r="V1490" s="3">
        <v>-20000</v>
      </c>
      <c r="W1490" t="s">
        <v>1164</v>
      </c>
      <c r="X1490" s="3">
        <v>-20000</v>
      </c>
    </row>
    <row r="1491" spans="1:24" s="2" customFormat="1" x14ac:dyDescent="0.2">
      <c r="A1491">
        <v>1491</v>
      </c>
      <c r="B1491"/>
      <c r="C1491" t="s">
        <v>153</v>
      </c>
      <c r="D1491" t="s">
        <v>2603</v>
      </c>
      <c r="E1491" t="s">
        <v>30</v>
      </c>
      <c r="F1491" t="s">
        <v>63</v>
      </c>
      <c r="G1491" t="s">
        <v>25</v>
      </c>
      <c r="H1491" t="str">
        <f t="shared" si="46"/>
        <v xml:space="preserve">2/12 - PRÓ LABORE NATASHA  2/13 | Recorrência: | Observações: </v>
      </c>
      <c r="I1491" t="s">
        <v>991</v>
      </c>
      <c r="J1491" s="5">
        <v>-20000</v>
      </c>
      <c r="K1491" s="4">
        <v>692080.24</v>
      </c>
      <c r="L1491" t="s">
        <v>27</v>
      </c>
      <c r="M1491" s="5">
        <v>-20000</v>
      </c>
      <c r="N1491" s="3">
        <v>0</v>
      </c>
      <c r="O1491" t="s">
        <v>2580</v>
      </c>
      <c r="P1491" t="s">
        <v>2261</v>
      </c>
      <c r="Q1491" t="s">
        <v>2580</v>
      </c>
      <c r="R1491" t="str">
        <f t="shared" si="47"/>
        <v>Sim</v>
      </c>
      <c r="S1491" t="s">
        <v>2580</v>
      </c>
      <c r="T1491" t="s">
        <v>30</v>
      </c>
      <c r="U1491" t="s">
        <v>323</v>
      </c>
      <c r="V1491" s="3">
        <v>-20000</v>
      </c>
      <c r="W1491" t="s">
        <v>1164</v>
      </c>
      <c r="X1491" s="3">
        <v>-20000</v>
      </c>
    </row>
    <row r="1492" spans="1:24" s="2" customFormat="1" x14ac:dyDescent="0.2">
      <c r="A1492" s="2">
        <v>1492</v>
      </c>
      <c r="B1492"/>
      <c r="C1492" t="s">
        <v>153</v>
      </c>
      <c r="D1492" t="s">
        <v>2604</v>
      </c>
      <c r="E1492" t="s">
        <v>30</v>
      </c>
      <c r="F1492" t="s">
        <v>63</v>
      </c>
      <c r="G1492" t="s">
        <v>25</v>
      </c>
      <c r="H1492" t="str">
        <f t="shared" si="46"/>
        <v xml:space="preserve">2/12 - DIÁRIAS JULIANA SOARES_referente a fevereiro  2/12 | Recorrência: | Observações: </v>
      </c>
      <c r="I1492" t="s">
        <v>1113</v>
      </c>
      <c r="J1492" s="5">
        <v>-480</v>
      </c>
      <c r="K1492" s="4">
        <v>691600.24</v>
      </c>
      <c r="L1492" t="s">
        <v>27</v>
      </c>
      <c r="M1492" s="5">
        <v>-480</v>
      </c>
      <c r="N1492" s="3">
        <v>0</v>
      </c>
      <c r="O1492" t="s">
        <v>2580</v>
      </c>
      <c r="P1492" t="s">
        <v>2481</v>
      </c>
      <c r="Q1492" t="s">
        <v>2605</v>
      </c>
      <c r="R1492" t="str">
        <f t="shared" si="47"/>
        <v>Sim</v>
      </c>
      <c r="S1492" t="s">
        <v>2605</v>
      </c>
      <c r="T1492" t="s">
        <v>30</v>
      </c>
      <c r="U1492" t="s">
        <v>691</v>
      </c>
      <c r="V1492" s="3">
        <v>-480</v>
      </c>
      <c r="W1492" t="s">
        <v>1722</v>
      </c>
      <c r="X1492" s="3">
        <v>-480</v>
      </c>
    </row>
    <row r="1493" spans="1:24" s="2" customFormat="1" x14ac:dyDescent="0.2">
      <c r="A1493">
        <v>1493</v>
      </c>
      <c r="B1493" t="s">
        <v>2265</v>
      </c>
      <c r="C1493" t="s">
        <v>2266</v>
      </c>
      <c r="D1493" t="s">
        <v>2606</v>
      </c>
      <c r="E1493" t="s">
        <v>30</v>
      </c>
      <c r="F1493" t="s">
        <v>24</v>
      </c>
      <c r="G1493" t="s">
        <v>25</v>
      </c>
      <c r="H1493" t="str">
        <f t="shared" si="46"/>
        <v xml:space="preserve">1/5 - GERENCIAMENTO - GABRIELA BROSCO E DANIEL  1/5 | Recorrência: | Observações: </v>
      </c>
      <c r="I1493" t="s">
        <v>991</v>
      </c>
      <c r="J1493" s="4">
        <v>3000</v>
      </c>
      <c r="K1493" s="4">
        <v>691600.24</v>
      </c>
      <c r="L1493" t="s">
        <v>756</v>
      </c>
      <c r="M1493" s="4">
        <v>3000</v>
      </c>
      <c r="N1493" s="3">
        <v>0</v>
      </c>
      <c r="O1493" t="s">
        <v>2580</v>
      </c>
      <c r="P1493" t="s">
        <v>2268</v>
      </c>
      <c r="Q1493" t="s">
        <v>2580</v>
      </c>
      <c r="R1493" t="str">
        <f t="shared" si="47"/>
        <v>Sim</v>
      </c>
      <c r="S1493" t="s">
        <v>2580</v>
      </c>
      <c r="T1493" t="s">
        <v>30</v>
      </c>
      <c r="U1493" t="s">
        <v>274</v>
      </c>
      <c r="V1493" s="3">
        <v>3000</v>
      </c>
      <c r="W1493" t="s">
        <v>166</v>
      </c>
      <c r="X1493" s="3">
        <v>3000</v>
      </c>
    </row>
    <row r="1494" spans="1:24" s="2" customFormat="1" x14ac:dyDescent="0.2">
      <c r="A1494" s="2">
        <v>1494</v>
      </c>
      <c r="B1494" t="s">
        <v>1673</v>
      </c>
      <c r="C1494" t="s">
        <v>1674</v>
      </c>
      <c r="D1494" t="s">
        <v>2607</v>
      </c>
      <c r="E1494" t="s">
        <v>30</v>
      </c>
      <c r="F1494" t="s">
        <v>24</v>
      </c>
      <c r="G1494" t="s">
        <v>25</v>
      </c>
      <c r="H1494" t="str">
        <f t="shared" si="46"/>
        <v xml:space="preserve">RT PEDIDO 25241223 - DIOGO&gt; PROJETO: O PARQUE | Recorrência: | Observações: </v>
      </c>
      <c r="I1494" t="s">
        <v>491</v>
      </c>
      <c r="J1494" s="4">
        <v>4000</v>
      </c>
      <c r="K1494" s="4">
        <v>695600.24</v>
      </c>
      <c r="L1494" t="s">
        <v>27</v>
      </c>
      <c r="M1494" s="4">
        <v>4000</v>
      </c>
      <c r="N1494" s="3">
        <v>0</v>
      </c>
      <c r="O1494" t="s">
        <v>2601</v>
      </c>
      <c r="P1494" t="s">
        <v>2601</v>
      </c>
      <c r="Q1494" t="s">
        <v>2608</v>
      </c>
      <c r="R1494" t="str">
        <f t="shared" si="47"/>
        <v>Sim</v>
      </c>
      <c r="S1494" t="s">
        <v>2608</v>
      </c>
      <c r="T1494" t="s">
        <v>30</v>
      </c>
      <c r="U1494" t="s">
        <v>49</v>
      </c>
      <c r="V1494" s="3">
        <v>4000</v>
      </c>
      <c r="W1494" t="s">
        <v>494</v>
      </c>
      <c r="X1494" s="3">
        <v>4000</v>
      </c>
    </row>
    <row r="1495" spans="1:24" s="2" customFormat="1" x14ac:dyDescent="0.2">
      <c r="A1495">
        <v>1495</v>
      </c>
      <c r="B1495" t="s">
        <v>1673</v>
      </c>
      <c r="C1495" t="s">
        <v>1674</v>
      </c>
      <c r="D1495" t="s">
        <v>2609</v>
      </c>
      <c r="E1495" t="s">
        <v>30</v>
      </c>
      <c r="F1495" t="s">
        <v>24</v>
      </c>
      <c r="G1495" t="s">
        <v>25</v>
      </c>
      <c r="H1495" t="str">
        <f t="shared" si="46"/>
        <v xml:space="preserve">RT ORÇ 2530- R01 - MARIEL E FAUSTO BOLDRINI | Recorrência: | Observações: </v>
      </c>
      <c r="I1495" t="s">
        <v>491</v>
      </c>
      <c r="J1495" s="4">
        <v>2000</v>
      </c>
      <c r="K1495" s="4">
        <v>697600.24</v>
      </c>
      <c r="L1495" t="s">
        <v>27</v>
      </c>
      <c r="M1495" s="4">
        <v>2000</v>
      </c>
      <c r="N1495" s="3">
        <v>0</v>
      </c>
      <c r="O1495" t="s">
        <v>2601</v>
      </c>
      <c r="P1495" t="s">
        <v>2601</v>
      </c>
      <c r="Q1495" t="s">
        <v>2610</v>
      </c>
      <c r="R1495" t="str">
        <f t="shared" si="47"/>
        <v>Sim</v>
      </c>
      <c r="S1495" t="s">
        <v>2610</v>
      </c>
      <c r="T1495" t="s">
        <v>30</v>
      </c>
      <c r="U1495" t="s">
        <v>49</v>
      </c>
      <c r="V1495" s="3">
        <v>2000</v>
      </c>
      <c r="W1495" t="s">
        <v>494</v>
      </c>
      <c r="X1495" s="3">
        <v>2000</v>
      </c>
    </row>
    <row r="1496" spans="1:24" s="2" customFormat="1" x14ac:dyDescent="0.2">
      <c r="A1496" s="2">
        <v>1496</v>
      </c>
      <c r="B1496" t="s">
        <v>647</v>
      </c>
      <c r="C1496" t="s">
        <v>648</v>
      </c>
      <c r="D1496" t="s">
        <v>2611</v>
      </c>
      <c r="E1496" t="s">
        <v>30</v>
      </c>
      <c r="F1496" t="s">
        <v>63</v>
      </c>
      <c r="G1496" t="s">
        <v>25</v>
      </c>
      <c r="H1496" t="str">
        <f t="shared" si="46"/>
        <v xml:space="preserve">15/35 - DARF ISS 15/36 | Recorrência: | Observações: </v>
      </c>
      <c r="I1496" t="s">
        <v>26</v>
      </c>
      <c r="J1496" s="5">
        <v>-2057.12</v>
      </c>
      <c r="K1496" s="4">
        <v>695543.12</v>
      </c>
      <c r="L1496" t="s">
        <v>27</v>
      </c>
      <c r="M1496" s="5">
        <v>-2057.12</v>
      </c>
      <c r="N1496" s="3">
        <v>0</v>
      </c>
      <c r="O1496" t="s">
        <v>2542</v>
      </c>
      <c r="P1496" t="s">
        <v>1474</v>
      </c>
      <c r="Q1496" t="s">
        <v>2608</v>
      </c>
      <c r="R1496" t="str">
        <f t="shared" si="47"/>
        <v>Sim</v>
      </c>
      <c r="S1496" t="s">
        <v>2608</v>
      </c>
      <c r="T1496" t="s">
        <v>30</v>
      </c>
      <c r="U1496" t="s">
        <v>1098</v>
      </c>
      <c r="V1496" s="3">
        <v>-2057.12</v>
      </c>
      <c r="W1496" t="s">
        <v>324</v>
      </c>
      <c r="X1496" s="3">
        <v>-2057.12</v>
      </c>
    </row>
    <row r="1497" spans="1:24" s="2" customFormat="1" x14ac:dyDescent="0.2">
      <c r="A1497">
        <v>1497</v>
      </c>
      <c r="B1497" t="s">
        <v>2612</v>
      </c>
      <c r="C1497" t="s">
        <v>2613</v>
      </c>
      <c r="D1497" t="s">
        <v>2614</v>
      </c>
      <c r="E1497" t="s">
        <v>30</v>
      </c>
      <c r="F1497" t="s">
        <v>24</v>
      </c>
      <c r="G1497" t="s">
        <v>25</v>
      </c>
      <c r="H1497" t="str">
        <f t="shared" si="46"/>
        <v xml:space="preserve">RT-24/01- FAUSTO E MARIEL | Recorrência: | Observações: </v>
      </c>
      <c r="I1497" t="s">
        <v>491</v>
      </c>
      <c r="J1497" s="4">
        <v>95</v>
      </c>
      <c r="K1497" s="4">
        <v>695638.12</v>
      </c>
      <c r="L1497" t="s">
        <v>27</v>
      </c>
      <c r="M1497" s="4">
        <v>95</v>
      </c>
      <c r="N1497" s="3">
        <v>0</v>
      </c>
      <c r="O1497" t="s">
        <v>2599</v>
      </c>
      <c r="P1497" t="s">
        <v>2599</v>
      </c>
      <c r="Q1497" t="s">
        <v>2599</v>
      </c>
      <c r="R1497" t="str">
        <f t="shared" si="47"/>
        <v>Sim</v>
      </c>
      <c r="S1497" t="s">
        <v>2599</v>
      </c>
      <c r="T1497" t="s">
        <v>30</v>
      </c>
      <c r="U1497" t="s">
        <v>49</v>
      </c>
      <c r="V1497" s="3">
        <v>95</v>
      </c>
      <c r="W1497" t="s">
        <v>494</v>
      </c>
      <c r="X1497" s="3">
        <v>95</v>
      </c>
    </row>
    <row r="1498" spans="1:24" s="2" customFormat="1" x14ac:dyDescent="0.2">
      <c r="A1498" s="2">
        <v>1498</v>
      </c>
      <c r="B1498" t="s">
        <v>1309</v>
      </c>
      <c r="C1498" t="s">
        <v>1310</v>
      </c>
      <c r="D1498" t="s">
        <v>2615</v>
      </c>
      <c r="E1498" t="s">
        <v>30</v>
      </c>
      <c r="F1498" t="s">
        <v>24</v>
      </c>
      <c r="G1498" t="s">
        <v>25</v>
      </c>
      <c r="H1498" t="str">
        <f t="shared" si="46"/>
        <v xml:space="preserve">RT PEDIDO 100782 - CAMILA DOSSE | Recorrência: | Observações: </v>
      </c>
      <c r="I1498" t="s">
        <v>491</v>
      </c>
      <c r="J1498" s="4">
        <v>187.91</v>
      </c>
      <c r="K1498" s="4">
        <v>695826.03</v>
      </c>
      <c r="L1498" t="s">
        <v>27</v>
      </c>
      <c r="M1498" s="4">
        <v>187.91</v>
      </c>
      <c r="N1498" s="3">
        <v>0</v>
      </c>
      <c r="O1498" t="s">
        <v>2599</v>
      </c>
      <c r="P1498" t="s">
        <v>2601</v>
      </c>
      <c r="Q1498" t="s">
        <v>2616</v>
      </c>
      <c r="R1498" t="str">
        <f t="shared" si="47"/>
        <v>Sim</v>
      </c>
      <c r="S1498" t="s">
        <v>2616</v>
      </c>
      <c r="T1498" t="s">
        <v>30</v>
      </c>
      <c r="U1498" t="s">
        <v>49</v>
      </c>
      <c r="V1498" s="3">
        <v>187.91</v>
      </c>
      <c r="W1498" t="s">
        <v>494</v>
      </c>
      <c r="X1498" s="3">
        <v>187.91</v>
      </c>
    </row>
    <row r="1499" spans="1:24" s="2" customFormat="1" x14ac:dyDescent="0.2">
      <c r="A1499">
        <v>1499</v>
      </c>
      <c r="B1499" t="s">
        <v>2426</v>
      </c>
      <c r="C1499" t="s">
        <v>2427</v>
      </c>
      <c r="D1499" t="s">
        <v>2617</v>
      </c>
      <c r="E1499" t="s">
        <v>30</v>
      </c>
      <c r="F1499" t="s">
        <v>24</v>
      </c>
      <c r="G1499" t="s">
        <v>25</v>
      </c>
      <c r="H1499" t="str">
        <f t="shared" si="46"/>
        <v>4/6 - GERENCIAMENTO RIVIERA  4/6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499" t="s">
        <v>491</v>
      </c>
      <c r="J1499" s="4">
        <v>11308</v>
      </c>
      <c r="K1499" s="4">
        <v>707134.03</v>
      </c>
      <c r="L1499" t="s">
        <v>27</v>
      </c>
      <c r="M1499" s="4">
        <v>11308</v>
      </c>
      <c r="N1499" s="3">
        <v>0</v>
      </c>
      <c r="O1499" t="s">
        <v>2599</v>
      </c>
      <c r="P1499" t="s">
        <v>2301</v>
      </c>
      <c r="Q1499" t="s">
        <v>2618</v>
      </c>
      <c r="R1499" t="str">
        <f t="shared" si="47"/>
        <v>Sim</v>
      </c>
      <c r="S1499" t="s">
        <v>2618</v>
      </c>
      <c r="T1499" t="s">
        <v>2428</v>
      </c>
      <c r="U1499" t="s">
        <v>274</v>
      </c>
      <c r="V1499" s="3">
        <v>11308</v>
      </c>
      <c r="W1499" t="s">
        <v>166</v>
      </c>
      <c r="X1499" s="3">
        <v>11308</v>
      </c>
    </row>
    <row r="1500" spans="1:24" s="2" customFormat="1" x14ac:dyDescent="0.2">
      <c r="A1500" s="2">
        <v>1500</v>
      </c>
      <c r="B1500" t="s">
        <v>647</v>
      </c>
      <c r="C1500" t="s">
        <v>648</v>
      </c>
      <c r="D1500" t="s">
        <v>2619</v>
      </c>
      <c r="E1500" t="s">
        <v>30</v>
      </c>
      <c r="F1500" t="s">
        <v>63</v>
      </c>
      <c r="G1500" t="s">
        <v>25</v>
      </c>
      <c r="H1500" t="str">
        <f t="shared" si="46"/>
        <v xml:space="preserve">2/12 - HONORÁRIOS CONTÁBEIS  2/12 | Recorrência: | Observações: </v>
      </c>
      <c r="I1500" t="s">
        <v>755</v>
      </c>
      <c r="J1500" s="5">
        <v>-1217.5</v>
      </c>
      <c r="K1500" s="4">
        <v>705916.53</v>
      </c>
      <c r="L1500" t="s">
        <v>27</v>
      </c>
      <c r="M1500" s="5">
        <v>-1217.5</v>
      </c>
      <c r="N1500" s="3">
        <v>0</v>
      </c>
      <c r="O1500" t="s">
        <v>2618</v>
      </c>
      <c r="P1500" t="s">
        <v>2536</v>
      </c>
      <c r="Q1500" t="s">
        <v>2610</v>
      </c>
      <c r="R1500" t="str">
        <f t="shared" si="47"/>
        <v>Sim</v>
      </c>
      <c r="S1500" t="s">
        <v>2610</v>
      </c>
      <c r="T1500" t="s">
        <v>30</v>
      </c>
      <c r="U1500" t="s">
        <v>608</v>
      </c>
      <c r="V1500" s="3">
        <v>-1217.5</v>
      </c>
      <c r="W1500" t="s">
        <v>1722</v>
      </c>
      <c r="X1500" s="3">
        <v>-1217.5</v>
      </c>
    </row>
    <row r="1501" spans="1:24" s="2" customFormat="1" x14ac:dyDescent="0.2">
      <c r="A1501">
        <v>1501</v>
      </c>
      <c r="B1501" t="s">
        <v>1195</v>
      </c>
      <c r="C1501" t="s">
        <v>1196</v>
      </c>
      <c r="D1501" t="s">
        <v>2620</v>
      </c>
      <c r="E1501" t="s">
        <v>30</v>
      </c>
      <c r="F1501" t="s">
        <v>24</v>
      </c>
      <c r="G1501" t="s">
        <v>25</v>
      </c>
      <c r="H1501" t="str">
        <f t="shared" si="46"/>
        <v xml:space="preserve">RT PEDIDO 30425/027951 - CLIENTE: BALTIMORE (STEPAHANIE ) | Recorrência: | Observações: </v>
      </c>
      <c r="I1501" t="s">
        <v>491</v>
      </c>
      <c r="J1501" s="4">
        <v>2565.42</v>
      </c>
      <c r="K1501" s="4">
        <v>708481.95</v>
      </c>
      <c r="L1501" t="s">
        <v>27</v>
      </c>
      <c r="M1501" s="4">
        <v>2565.42</v>
      </c>
      <c r="N1501" s="3">
        <v>0</v>
      </c>
      <c r="O1501" t="s">
        <v>2618</v>
      </c>
      <c r="P1501" t="s">
        <v>2536</v>
      </c>
      <c r="Q1501" t="s">
        <v>2621</v>
      </c>
      <c r="R1501" t="str">
        <f t="shared" si="47"/>
        <v>Sim</v>
      </c>
      <c r="S1501" t="s">
        <v>2621</v>
      </c>
      <c r="T1501" t="s">
        <v>30</v>
      </c>
      <c r="U1501" t="s">
        <v>49</v>
      </c>
      <c r="V1501" s="3">
        <v>2565.42</v>
      </c>
      <c r="W1501" t="s">
        <v>494</v>
      </c>
      <c r="X1501" s="3">
        <v>2565.42</v>
      </c>
    </row>
    <row r="1502" spans="1:24" s="2" customFormat="1" x14ac:dyDescent="0.2">
      <c r="A1502" s="2">
        <v>1502</v>
      </c>
      <c r="B1502"/>
      <c r="C1502" t="s">
        <v>1111</v>
      </c>
      <c r="D1502" t="s">
        <v>2617</v>
      </c>
      <c r="E1502" t="s">
        <v>30</v>
      </c>
      <c r="F1502" t="s">
        <v>24</v>
      </c>
      <c r="G1502" t="s">
        <v>25</v>
      </c>
      <c r="H1502" t="str">
        <f t="shared" si="46"/>
        <v>4/6 - GERENCIAMENTO RIVIERA  4/6 | Recorrência: | Observações: EMITIR NF PF - 37.435,41
Fábio Najm 
CPF - 030.448.618-37
Endereço - Rua Conselheiro Zacarias, 122 - Jardim Paulista - São Paulo-SP - CEP 01429-020 
E-mail - Fcnajm@gmail.com</v>
      </c>
      <c r="I1502" t="s">
        <v>491</v>
      </c>
      <c r="J1502" s="4">
        <v>6239.24</v>
      </c>
      <c r="K1502" s="4">
        <v>714721.19</v>
      </c>
      <c r="L1502" t="s">
        <v>27</v>
      </c>
      <c r="M1502" s="4">
        <v>6239.24</v>
      </c>
      <c r="N1502" s="3">
        <v>0</v>
      </c>
      <c r="O1502" t="s">
        <v>2618</v>
      </c>
      <c r="P1502" t="s">
        <v>2301</v>
      </c>
      <c r="Q1502" t="s">
        <v>2621</v>
      </c>
      <c r="R1502" t="str">
        <f t="shared" si="47"/>
        <v>Sim</v>
      </c>
      <c r="S1502" t="s">
        <v>2621</v>
      </c>
      <c r="T1502" t="s">
        <v>2381</v>
      </c>
      <c r="U1502" t="s">
        <v>274</v>
      </c>
      <c r="V1502" s="3">
        <v>6239.24</v>
      </c>
      <c r="W1502" t="s">
        <v>166</v>
      </c>
      <c r="X1502" s="3">
        <v>6239.24</v>
      </c>
    </row>
    <row r="1503" spans="1:24" s="2" customFormat="1" x14ac:dyDescent="0.2">
      <c r="A1503">
        <v>1503</v>
      </c>
      <c r="B1503" t="s">
        <v>1195</v>
      </c>
      <c r="C1503" t="s">
        <v>1196</v>
      </c>
      <c r="D1503" t="s">
        <v>2622</v>
      </c>
      <c r="E1503" t="s">
        <v>30</v>
      </c>
      <c r="F1503" t="s">
        <v>24</v>
      </c>
      <c r="G1503" t="s">
        <v>25</v>
      </c>
      <c r="H1503" t="str">
        <f t="shared" si="46"/>
        <v xml:space="preserve">RT  - Pedido: 27297 / 025656 Cliente:  VICTOR E CAROL | Recorrência: | Observações: </v>
      </c>
      <c r="I1503" t="s">
        <v>491</v>
      </c>
      <c r="J1503" s="4">
        <v>30439.51</v>
      </c>
      <c r="K1503" s="4">
        <v>745160.7</v>
      </c>
      <c r="L1503" t="s">
        <v>27</v>
      </c>
      <c r="M1503" s="4">
        <v>30439.51</v>
      </c>
      <c r="N1503" s="3">
        <v>0</v>
      </c>
      <c r="O1503" t="s">
        <v>2610</v>
      </c>
      <c r="P1503" t="s">
        <v>2456</v>
      </c>
      <c r="Q1503" t="s">
        <v>2623</v>
      </c>
      <c r="R1503" t="str">
        <f t="shared" si="47"/>
        <v>Sim</v>
      </c>
      <c r="S1503" t="s">
        <v>2623</v>
      </c>
      <c r="T1503" t="s">
        <v>30</v>
      </c>
      <c r="U1503" t="s">
        <v>49</v>
      </c>
      <c r="V1503" s="3">
        <v>30439.51</v>
      </c>
      <c r="W1503" t="s">
        <v>494</v>
      </c>
      <c r="X1503" s="3">
        <v>30439.51</v>
      </c>
    </row>
    <row r="1504" spans="1:24" s="2" customFormat="1" x14ac:dyDescent="0.2">
      <c r="A1504" s="2">
        <v>1504</v>
      </c>
      <c r="B1504" t="s">
        <v>1061</v>
      </c>
      <c r="C1504" t="s">
        <v>1062</v>
      </c>
      <c r="D1504" t="s">
        <v>2624</v>
      </c>
      <c r="E1504" t="s">
        <v>30</v>
      </c>
      <c r="F1504" t="s">
        <v>24</v>
      </c>
      <c r="G1504" t="s">
        <v>25</v>
      </c>
      <c r="H1504" t="str">
        <f t="shared" si="46"/>
        <v xml:space="preserve">RT PEDIDO 186030 - CAMILA DOSSE E PAULO | Recorrência: | Observações: </v>
      </c>
      <c r="I1504" t="s">
        <v>491</v>
      </c>
      <c r="J1504" s="4">
        <v>5177.13</v>
      </c>
      <c r="K1504" s="4">
        <v>750337.83</v>
      </c>
      <c r="L1504" t="s">
        <v>27</v>
      </c>
      <c r="M1504" s="4">
        <v>5177.13</v>
      </c>
      <c r="N1504" s="3">
        <v>0</v>
      </c>
      <c r="O1504" t="s">
        <v>2610</v>
      </c>
      <c r="P1504" t="s">
        <v>2625</v>
      </c>
      <c r="Q1504" t="s">
        <v>2626</v>
      </c>
      <c r="R1504" t="str">
        <f t="shared" si="47"/>
        <v>Sim</v>
      </c>
      <c r="S1504" t="s">
        <v>2626</v>
      </c>
      <c r="T1504" t="s">
        <v>30</v>
      </c>
      <c r="U1504" t="s">
        <v>49</v>
      </c>
      <c r="V1504" s="3">
        <v>5177.13</v>
      </c>
      <c r="W1504" t="s">
        <v>494</v>
      </c>
      <c r="X1504" s="3">
        <v>5177.13</v>
      </c>
    </row>
    <row r="1505" spans="1:24" s="2" customFormat="1" x14ac:dyDescent="0.2">
      <c r="A1505">
        <v>1505</v>
      </c>
      <c r="B1505" t="s">
        <v>1088</v>
      </c>
      <c r="C1505" t="s">
        <v>1089</v>
      </c>
      <c r="D1505" t="s">
        <v>2627</v>
      </c>
      <c r="E1505" t="s">
        <v>30</v>
      </c>
      <c r="F1505" t="s">
        <v>24</v>
      </c>
      <c r="G1505" t="s">
        <v>25</v>
      </c>
      <c r="H1505" t="str">
        <f t="shared" si="46"/>
        <v xml:space="preserve">RT CAMILA DOSSE E PAULO | Recorrência: | Observações: </v>
      </c>
      <c r="I1505" t="s">
        <v>491</v>
      </c>
      <c r="J1505" s="4">
        <v>2950</v>
      </c>
      <c r="K1505" s="4">
        <v>753287.83</v>
      </c>
      <c r="L1505" t="s">
        <v>27</v>
      </c>
      <c r="M1505" s="4">
        <v>2950</v>
      </c>
      <c r="N1505" s="3">
        <v>0</v>
      </c>
      <c r="O1505" t="s">
        <v>2610</v>
      </c>
      <c r="P1505" t="s">
        <v>2628</v>
      </c>
      <c r="Q1505" t="s">
        <v>2610</v>
      </c>
      <c r="R1505" t="str">
        <f t="shared" si="47"/>
        <v>Sim</v>
      </c>
      <c r="S1505" t="s">
        <v>2610</v>
      </c>
      <c r="T1505" t="s">
        <v>30</v>
      </c>
      <c r="U1505" t="s">
        <v>49</v>
      </c>
      <c r="V1505" s="3">
        <v>2950</v>
      </c>
      <c r="W1505" t="s">
        <v>494</v>
      </c>
      <c r="X1505" s="3">
        <v>2950</v>
      </c>
    </row>
    <row r="1506" spans="1:24" s="2" customFormat="1" x14ac:dyDescent="0.2">
      <c r="A1506" s="2">
        <v>1506</v>
      </c>
      <c r="B1506" t="s">
        <v>106</v>
      </c>
      <c r="C1506" t="s">
        <v>107</v>
      </c>
      <c r="D1506" t="s">
        <v>2629</v>
      </c>
      <c r="E1506" t="s">
        <v>30</v>
      </c>
      <c r="F1506" t="s">
        <v>24</v>
      </c>
      <c r="G1506" t="s">
        <v>25</v>
      </c>
      <c r="H1506" t="str">
        <f t="shared" si="46"/>
        <v xml:space="preserve">3/4 - GERENCIAMENTO: Rua Conde D’Eu,861 - Alto da Boa Vista 3/4 | Recorrência: | Observações: </v>
      </c>
      <c r="I1506" t="s">
        <v>491</v>
      </c>
      <c r="J1506" s="4">
        <v>4000</v>
      </c>
      <c r="K1506" s="4">
        <v>757287.83</v>
      </c>
      <c r="L1506" t="s">
        <v>27</v>
      </c>
      <c r="M1506" s="4">
        <v>4000</v>
      </c>
      <c r="N1506" s="3">
        <v>0</v>
      </c>
      <c r="O1506" t="s">
        <v>2608</v>
      </c>
      <c r="P1506" t="s">
        <v>2187</v>
      </c>
      <c r="Q1506" t="s">
        <v>2630</v>
      </c>
      <c r="R1506" t="str">
        <f t="shared" si="47"/>
        <v>Sim</v>
      </c>
      <c r="S1506" t="s">
        <v>2630</v>
      </c>
      <c r="T1506" t="s">
        <v>30</v>
      </c>
      <c r="U1506" t="s">
        <v>274</v>
      </c>
      <c r="V1506" s="3">
        <v>4000</v>
      </c>
      <c r="W1506" t="s">
        <v>1161</v>
      </c>
      <c r="X1506" s="3">
        <v>4000</v>
      </c>
    </row>
    <row r="1507" spans="1:24" s="2" customFormat="1" x14ac:dyDescent="0.2">
      <c r="A1507">
        <v>1507</v>
      </c>
      <c r="B1507" t="s">
        <v>2375</v>
      </c>
      <c r="C1507" t="s">
        <v>2376</v>
      </c>
      <c r="D1507" t="s">
        <v>2631</v>
      </c>
      <c r="E1507" t="s">
        <v>30</v>
      </c>
      <c r="F1507" t="s">
        <v>24</v>
      </c>
      <c r="G1507" t="s">
        <v>25</v>
      </c>
      <c r="H1507" t="str">
        <f t="shared" si="46"/>
        <v>4/6 - GERENCIAMENTO RIVIERA 4/6 | Recorrência: | Observações: EMITIR NF PF - 51.716,40
Maria Isabel C Najm Strapetti 
CPF 073.627.088-40
Endereço: Rua General Fonseca Teles, 64 - Jd. Paulistano - CEP 01429-020 - São Paulo - SP
E-mail: belstrapetti@gmail.com</v>
      </c>
      <c r="I1507" t="s">
        <v>491</v>
      </c>
      <c r="J1507" s="4">
        <v>8619.0499999999993</v>
      </c>
      <c r="K1507" s="4">
        <v>765906.88</v>
      </c>
      <c r="L1507" t="s">
        <v>27</v>
      </c>
      <c r="M1507" s="4">
        <v>8619.0499999999993</v>
      </c>
      <c r="N1507" s="3">
        <v>0</v>
      </c>
      <c r="O1507" t="s">
        <v>2608</v>
      </c>
      <c r="P1507" t="s">
        <v>2301</v>
      </c>
      <c r="Q1507" t="s">
        <v>2621</v>
      </c>
      <c r="R1507" t="str">
        <f t="shared" si="47"/>
        <v>Sim</v>
      </c>
      <c r="S1507" t="s">
        <v>2621</v>
      </c>
      <c r="T1507" t="s">
        <v>2378</v>
      </c>
      <c r="U1507" t="s">
        <v>274</v>
      </c>
      <c r="V1507" s="3">
        <v>8619.0499999999993</v>
      </c>
      <c r="W1507" t="s">
        <v>166</v>
      </c>
      <c r="X1507" s="3">
        <v>8619.0499999999993</v>
      </c>
    </row>
    <row r="1508" spans="1:24" s="2" customFormat="1" x14ac:dyDescent="0.2">
      <c r="A1508" s="2">
        <v>1508</v>
      </c>
      <c r="B1508" t="s">
        <v>2632</v>
      </c>
      <c r="C1508" t="s">
        <v>2633</v>
      </c>
      <c r="D1508" t="s">
        <v>2634</v>
      </c>
      <c r="E1508" t="s">
        <v>30</v>
      </c>
      <c r="F1508" t="s">
        <v>24</v>
      </c>
      <c r="G1508" t="s">
        <v>25</v>
      </c>
      <c r="H1508" t="str">
        <f t="shared" si="46"/>
        <v xml:space="preserve">1/4 - RT PEDIDO RE 26071-2023 - FAUSTO BOLDINI E MARIEL  1/5 | Recorrência: | Observações: </v>
      </c>
      <c r="I1508" t="s">
        <v>491</v>
      </c>
      <c r="J1508" s="4">
        <v>892.5</v>
      </c>
      <c r="K1508" s="4">
        <v>766799.38</v>
      </c>
      <c r="L1508" t="s">
        <v>27</v>
      </c>
      <c r="M1508" s="4">
        <v>892.5</v>
      </c>
      <c r="N1508" s="3">
        <v>0</v>
      </c>
      <c r="O1508" t="s">
        <v>2608</v>
      </c>
      <c r="P1508" t="s">
        <v>2573</v>
      </c>
      <c r="Q1508" t="s">
        <v>2635</v>
      </c>
      <c r="R1508" t="str">
        <f t="shared" si="47"/>
        <v>Sim</v>
      </c>
      <c r="S1508" t="s">
        <v>2635</v>
      </c>
      <c r="T1508" t="s">
        <v>30</v>
      </c>
      <c r="U1508" t="s">
        <v>49</v>
      </c>
      <c r="V1508" s="3">
        <v>892.5</v>
      </c>
      <c r="W1508" t="s">
        <v>494</v>
      </c>
      <c r="X1508" s="3">
        <v>892.5</v>
      </c>
    </row>
    <row r="1509" spans="1:24" s="2" customFormat="1" x14ac:dyDescent="0.2">
      <c r="A1509">
        <v>1509</v>
      </c>
      <c r="B1509" t="s">
        <v>1373</v>
      </c>
      <c r="C1509" t="s">
        <v>1374</v>
      </c>
      <c r="D1509" t="s">
        <v>2636</v>
      </c>
      <c r="E1509" t="s">
        <v>30</v>
      </c>
      <c r="F1509" t="s">
        <v>24</v>
      </c>
      <c r="G1509" t="s">
        <v>25</v>
      </c>
      <c r="H1509" t="str">
        <f t="shared" si="46"/>
        <v xml:space="preserve">4/5 - GERENCIAMENTO  O PARQUE  4/5 | Recorrência: | Observações: </v>
      </c>
      <c r="I1509" t="s">
        <v>491</v>
      </c>
      <c r="J1509" s="4">
        <v>3500</v>
      </c>
      <c r="K1509" s="4">
        <v>770299.38</v>
      </c>
      <c r="L1509" t="s">
        <v>27</v>
      </c>
      <c r="M1509" s="4">
        <v>3500</v>
      </c>
      <c r="N1509" s="3">
        <v>0</v>
      </c>
      <c r="O1509" t="s">
        <v>2635</v>
      </c>
      <c r="P1509" t="s">
        <v>1938</v>
      </c>
      <c r="Q1509" t="s">
        <v>2635</v>
      </c>
      <c r="R1509" t="str">
        <f t="shared" si="47"/>
        <v>Sim</v>
      </c>
      <c r="S1509" t="s">
        <v>2635</v>
      </c>
      <c r="T1509" t="s">
        <v>30</v>
      </c>
      <c r="U1509" t="s">
        <v>274</v>
      </c>
      <c r="V1509" s="3">
        <v>3500</v>
      </c>
      <c r="W1509" t="s">
        <v>166</v>
      </c>
      <c r="X1509" s="3">
        <v>3500</v>
      </c>
    </row>
    <row r="1510" spans="1:24" s="2" customFormat="1" x14ac:dyDescent="0.2">
      <c r="A1510" s="2">
        <v>1510</v>
      </c>
      <c r="B1510" t="s">
        <v>1048</v>
      </c>
      <c r="C1510" t="s">
        <v>1049</v>
      </c>
      <c r="D1510" t="s">
        <v>2638</v>
      </c>
      <c r="E1510" t="s">
        <v>30</v>
      </c>
      <c r="F1510" t="s">
        <v>24</v>
      </c>
      <c r="G1510" t="s">
        <v>25</v>
      </c>
      <c r="H1510" t="str">
        <f t="shared" si="46"/>
        <v xml:space="preserve">RT PEDIDO FAUSTO E MARIEL | Recorrência: | Observações: </v>
      </c>
      <c r="I1510" t="s">
        <v>491</v>
      </c>
      <c r="J1510" s="4">
        <v>2000</v>
      </c>
      <c r="K1510" s="4">
        <v>772299.38</v>
      </c>
      <c r="L1510" t="s">
        <v>27</v>
      </c>
      <c r="M1510" s="4">
        <v>2000</v>
      </c>
      <c r="N1510" s="3">
        <v>0</v>
      </c>
      <c r="O1510" t="s">
        <v>2637</v>
      </c>
      <c r="P1510" t="s">
        <v>2639</v>
      </c>
      <c r="Q1510" t="s">
        <v>2637</v>
      </c>
      <c r="R1510" t="str">
        <f t="shared" si="47"/>
        <v>Sim</v>
      </c>
      <c r="S1510" t="s">
        <v>2637</v>
      </c>
      <c r="T1510" t="s">
        <v>30</v>
      </c>
      <c r="U1510" t="s">
        <v>49</v>
      </c>
      <c r="V1510" s="3">
        <v>2000</v>
      </c>
      <c r="W1510" t="s">
        <v>494</v>
      </c>
      <c r="X1510" s="3">
        <v>2000</v>
      </c>
    </row>
    <row r="1511" spans="1:24" s="2" customFormat="1" x14ac:dyDescent="0.2">
      <c r="A1511">
        <v>1511</v>
      </c>
      <c r="B1511" t="s">
        <v>647</v>
      </c>
      <c r="C1511" t="s">
        <v>648</v>
      </c>
      <c r="D1511" t="s">
        <v>1556</v>
      </c>
      <c r="E1511" t="s">
        <v>398</v>
      </c>
      <c r="F1511" t="s">
        <v>63</v>
      </c>
      <c r="G1511" t="s">
        <v>25</v>
      </c>
      <c r="H1511" t="str">
        <f t="shared" si="46"/>
        <v xml:space="preserve">DARF PREVIDÊNCIARIO | Recorrência:2/12 | Observações: </v>
      </c>
      <c r="I1511" t="s">
        <v>26</v>
      </c>
      <c r="J1511" s="5">
        <v>-1515.02</v>
      </c>
      <c r="K1511" s="4">
        <v>770784.36</v>
      </c>
      <c r="L1511" t="s">
        <v>27</v>
      </c>
      <c r="M1511" s="5">
        <v>-1515.02</v>
      </c>
      <c r="N1511" s="3">
        <v>0</v>
      </c>
      <c r="O1511" t="s">
        <v>2640</v>
      </c>
      <c r="P1511" t="s">
        <v>2550</v>
      </c>
      <c r="Q1511" t="s">
        <v>2626</v>
      </c>
      <c r="R1511" t="str">
        <f t="shared" si="47"/>
        <v>Sim</v>
      </c>
      <c r="S1511" t="s">
        <v>2626</v>
      </c>
      <c r="T1511" t="s">
        <v>30</v>
      </c>
      <c r="U1511" t="s">
        <v>601</v>
      </c>
      <c r="V1511" s="3">
        <v>-1515.02</v>
      </c>
      <c r="W1511" t="s">
        <v>376</v>
      </c>
      <c r="X1511" s="3">
        <v>-1515.02</v>
      </c>
    </row>
    <row r="1512" spans="1:24" s="2" customFormat="1" x14ac:dyDescent="0.2">
      <c r="A1512" s="2">
        <v>1512</v>
      </c>
      <c r="B1512"/>
      <c r="C1512" t="s">
        <v>153</v>
      </c>
      <c r="D1512" t="s">
        <v>2641</v>
      </c>
      <c r="E1512" t="s">
        <v>30</v>
      </c>
      <c r="F1512" t="s">
        <v>63</v>
      </c>
      <c r="G1512" t="s">
        <v>25</v>
      </c>
      <c r="H1512" t="str">
        <f t="shared" si="46"/>
        <v>REPOSIÇÃO MATERIAS ESCRITÓRIO+LIMPEZA | Recorrência: | Observações: LEPOK DISTRIBUIÇÃO  - 65,80
GPS - 64,74</v>
      </c>
      <c r="I1512" t="s">
        <v>1072</v>
      </c>
      <c r="J1512" s="5">
        <v>-130.55000000000001</v>
      </c>
      <c r="K1512" s="4">
        <v>770653.81</v>
      </c>
      <c r="L1512" t="s">
        <v>27</v>
      </c>
      <c r="M1512" s="5">
        <v>-130.55000000000001</v>
      </c>
      <c r="N1512" s="3">
        <v>0</v>
      </c>
      <c r="O1512" t="s">
        <v>2640</v>
      </c>
      <c r="P1512" t="s">
        <v>2640</v>
      </c>
      <c r="Q1512" t="s">
        <v>2640</v>
      </c>
      <c r="R1512" t="str">
        <f t="shared" si="47"/>
        <v>Sim</v>
      </c>
      <c r="S1512" t="s">
        <v>2640</v>
      </c>
      <c r="T1512" t="s">
        <v>2642</v>
      </c>
      <c r="U1512" t="s">
        <v>740</v>
      </c>
      <c r="V1512" s="3">
        <v>-130.55000000000001</v>
      </c>
      <c r="W1512" t="s">
        <v>2084</v>
      </c>
      <c r="X1512" s="3">
        <v>-130.55000000000001</v>
      </c>
    </row>
    <row r="1513" spans="1:24" s="2" customFormat="1" x14ac:dyDescent="0.2">
      <c r="A1513">
        <v>1513</v>
      </c>
      <c r="B1513" t="s">
        <v>647</v>
      </c>
      <c r="C1513" t="s">
        <v>648</v>
      </c>
      <c r="D1513" t="s">
        <v>2643</v>
      </c>
      <c r="E1513" t="s">
        <v>30</v>
      </c>
      <c r="F1513" t="s">
        <v>63</v>
      </c>
      <c r="G1513" t="s">
        <v>25</v>
      </c>
      <c r="H1513" t="str">
        <f t="shared" si="46"/>
        <v xml:space="preserve">8/59 - DARF PIS 8/60 | Recorrência: | Observações: </v>
      </c>
      <c r="I1513" t="s">
        <v>26</v>
      </c>
      <c r="J1513" s="5">
        <v>-126.47</v>
      </c>
      <c r="K1513" s="4">
        <v>770527.34</v>
      </c>
      <c r="L1513" t="s">
        <v>27</v>
      </c>
      <c r="M1513" s="5">
        <v>-126.47</v>
      </c>
      <c r="N1513" s="3">
        <v>0</v>
      </c>
      <c r="O1513" t="s">
        <v>2626</v>
      </c>
      <c r="P1513" t="s">
        <v>1502</v>
      </c>
      <c r="Q1513" t="s">
        <v>2626</v>
      </c>
      <c r="R1513" t="str">
        <f t="shared" si="47"/>
        <v>Sim</v>
      </c>
      <c r="S1513" t="s">
        <v>2626</v>
      </c>
      <c r="T1513" t="s">
        <v>30</v>
      </c>
      <c r="U1513" t="s">
        <v>601</v>
      </c>
      <c r="V1513" s="3">
        <v>-126.47</v>
      </c>
      <c r="W1513" t="s">
        <v>324</v>
      </c>
      <c r="X1513" s="3">
        <v>-126.47</v>
      </c>
    </row>
    <row r="1514" spans="1:24" s="2" customFormat="1" x14ac:dyDescent="0.2">
      <c r="A1514" s="2">
        <v>1514</v>
      </c>
      <c r="B1514" t="s">
        <v>1673</v>
      </c>
      <c r="C1514" t="s">
        <v>1674</v>
      </c>
      <c r="D1514" t="s">
        <v>2645</v>
      </c>
      <c r="E1514" t="s">
        <v>30</v>
      </c>
      <c r="F1514" t="s">
        <v>24</v>
      </c>
      <c r="G1514" t="s">
        <v>25</v>
      </c>
      <c r="H1514" t="str">
        <f t="shared" si="46"/>
        <v xml:space="preserve">RT PEDIDO 25500224 - DIANA E DIOGO_ O PARQUE | Recorrência: | Observações: </v>
      </c>
      <c r="I1514" t="s">
        <v>991</v>
      </c>
      <c r="J1514" s="4">
        <v>1000</v>
      </c>
      <c r="K1514" s="4">
        <v>771527.34</v>
      </c>
      <c r="L1514" t="s">
        <v>27</v>
      </c>
      <c r="M1514" s="4">
        <v>1000</v>
      </c>
      <c r="N1514" s="3">
        <v>0</v>
      </c>
      <c r="O1514" t="s">
        <v>2644</v>
      </c>
      <c r="P1514" t="s">
        <v>2644</v>
      </c>
      <c r="Q1514" t="s">
        <v>2644</v>
      </c>
      <c r="R1514" t="str">
        <f t="shared" si="47"/>
        <v>Sim</v>
      </c>
      <c r="S1514" t="s">
        <v>2644</v>
      </c>
      <c r="T1514" t="s">
        <v>30</v>
      </c>
      <c r="U1514" t="s">
        <v>49</v>
      </c>
      <c r="V1514" s="3">
        <v>1000</v>
      </c>
      <c r="W1514" t="s">
        <v>494</v>
      </c>
      <c r="X1514" s="3">
        <v>1000</v>
      </c>
    </row>
    <row r="1515" spans="1:24" s="2" customFormat="1" x14ac:dyDescent="0.2">
      <c r="A1515">
        <v>1515</v>
      </c>
      <c r="B1515" t="s">
        <v>2647</v>
      </c>
      <c r="C1515" t="s">
        <v>2648</v>
      </c>
      <c r="D1515" t="s">
        <v>2649</v>
      </c>
      <c r="E1515" t="s">
        <v>30</v>
      </c>
      <c r="F1515" t="s">
        <v>24</v>
      </c>
      <c r="G1515" t="s">
        <v>25</v>
      </c>
      <c r="H1515" t="str">
        <f t="shared" si="46"/>
        <v xml:space="preserve">RT_ORÇ 045-A/2024  - MARIEL_FAUSTO BOLDRINI | Recorrência: | Observações: </v>
      </c>
      <c r="I1515" t="s">
        <v>491</v>
      </c>
      <c r="J1515" s="4">
        <v>429</v>
      </c>
      <c r="K1515" s="4">
        <v>771956.34</v>
      </c>
      <c r="L1515" t="s">
        <v>27</v>
      </c>
      <c r="M1515" s="4">
        <v>429</v>
      </c>
      <c r="N1515" s="3">
        <v>0</v>
      </c>
      <c r="O1515" t="s">
        <v>2646</v>
      </c>
      <c r="P1515" t="s">
        <v>2644</v>
      </c>
      <c r="Q1515" t="s">
        <v>2605</v>
      </c>
      <c r="R1515" t="str">
        <f t="shared" si="47"/>
        <v>Sim</v>
      </c>
      <c r="S1515" t="s">
        <v>2605</v>
      </c>
      <c r="T1515" t="s">
        <v>30</v>
      </c>
      <c r="U1515" t="s">
        <v>49</v>
      </c>
      <c r="V1515" s="3">
        <v>429</v>
      </c>
      <c r="W1515" t="s">
        <v>494</v>
      </c>
      <c r="X1515" s="3">
        <v>429</v>
      </c>
    </row>
    <row r="1516" spans="1:24" s="2" customFormat="1" x14ac:dyDescent="0.2">
      <c r="A1516" s="2">
        <v>1516</v>
      </c>
      <c r="B1516"/>
      <c r="C1516"/>
      <c r="D1516" t="s">
        <v>2650</v>
      </c>
      <c r="E1516" t="s">
        <v>30</v>
      </c>
      <c r="F1516" t="s">
        <v>63</v>
      </c>
      <c r="G1516" t="s">
        <v>25</v>
      </c>
      <c r="H1516" t="str">
        <f t="shared" si="46"/>
        <v xml:space="preserve">DARF COFINS | Recorrência: | Observações: </v>
      </c>
      <c r="I1516" t="s">
        <v>26</v>
      </c>
      <c r="J1516" s="5">
        <v>-583.72</v>
      </c>
      <c r="K1516" s="4">
        <v>771372.62</v>
      </c>
      <c r="L1516" t="s">
        <v>27</v>
      </c>
      <c r="M1516" s="5">
        <v>-583.72</v>
      </c>
      <c r="N1516" s="3">
        <v>0</v>
      </c>
      <c r="O1516" t="s">
        <v>2646</v>
      </c>
      <c r="P1516" t="s">
        <v>2646</v>
      </c>
      <c r="Q1516" t="s">
        <v>2646</v>
      </c>
      <c r="R1516" t="str">
        <f t="shared" si="47"/>
        <v>Sim</v>
      </c>
      <c r="S1516" t="s">
        <v>2646</v>
      </c>
      <c r="T1516" t="s">
        <v>30</v>
      </c>
      <c r="U1516" t="s">
        <v>483</v>
      </c>
      <c r="V1516" s="3">
        <v>-583.72</v>
      </c>
      <c r="W1516" t="s">
        <v>376</v>
      </c>
      <c r="X1516" s="3">
        <v>-583.72</v>
      </c>
    </row>
    <row r="1517" spans="1:24" s="2" customFormat="1" x14ac:dyDescent="0.2">
      <c r="A1517">
        <v>1517</v>
      </c>
      <c r="B1517" t="s">
        <v>2651</v>
      </c>
      <c r="C1517" t="s">
        <v>2652</v>
      </c>
      <c r="D1517" t="s">
        <v>2653</v>
      </c>
      <c r="E1517" t="s">
        <v>30</v>
      </c>
      <c r="F1517" t="s">
        <v>24</v>
      </c>
      <c r="G1517" t="s">
        <v>25</v>
      </c>
      <c r="H1517" t="str">
        <f t="shared" si="46"/>
        <v xml:space="preserve">1/2 - PROJETO RESIDENCIAL &gt;( Av.Francisco Matarazzo,1850) 1/2 | Recorrência: | Observações: </v>
      </c>
      <c r="I1517" t="s">
        <v>2654</v>
      </c>
      <c r="J1517" s="4">
        <v>4000</v>
      </c>
      <c r="K1517" s="4">
        <v>775372.62</v>
      </c>
      <c r="L1517" t="s">
        <v>27</v>
      </c>
      <c r="M1517" s="4">
        <v>4000</v>
      </c>
      <c r="N1517" s="3">
        <v>0</v>
      </c>
      <c r="O1517" t="s">
        <v>2646</v>
      </c>
      <c r="P1517" t="s">
        <v>2655</v>
      </c>
      <c r="Q1517" t="s">
        <v>2646</v>
      </c>
      <c r="R1517" t="str">
        <f t="shared" si="47"/>
        <v>Sim</v>
      </c>
      <c r="S1517" t="s">
        <v>2646</v>
      </c>
      <c r="T1517" t="s">
        <v>30</v>
      </c>
      <c r="U1517" t="s">
        <v>31</v>
      </c>
      <c r="V1517" s="3">
        <v>4000</v>
      </c>
      <c r="W1517" t="s">
        <v>32</v>
      </c>
      <c r="X1517" s="3">
        <v>4000</v>
      </c>
    </row>
    <row r="1518" spans="1:24" s="2" customFormat="1" x14ac:dyDescent="0.2">
      <c r="A1518" s="2">
        <v>1518</v>
      </c>
      <c r="B1518" t="s">
        <v>1133</v>
      </c>
      <c r="C1518" t="s">
        <v>1134</v>
      </c>
      <c r="D1518" t="s">
        <v>2656</v>
      </c>
      <c r="E1518" t="s">
        <v>30</v>
      </c>
      <c r="F1518" t="s">
        <v>63</v>
      </c>
      <c r="G1518" t="s">
        <v>25</v>
      </c>
      <c r="H1518" t="str">
        <f t="shared" si="46"/>
        <v xml:space="preserve">DEVOLUÇÃO DE DIFERENÇA SOBRE NF 367 | Recorrência: | Observações: </v>
      </c>
      <c r="I1518" t="s">
        <v>491</v>
      </c>
      <c r="J1518" s="5">
        <v>-8.1</v>
      </c>
      <c r="K1518" s="4">
        <v>775364.52</v>
      </c>
      <c r="L1518" t="s">
        <v>27</v>
      </c>
      <c r="M1518" s="5">
        <v>-8.1</v>
      </c>
      <c r="N1518" s="3">
        <v>0</v>
      </c>
      <c r="O1518" t="s">
        <v>2628</v>
      </c>
      <c r="P1518" t="s">
        <v>2628</v>
      </c>
      <c r="Q1518" t="s">
        <v>2628</v>
      </c>
      <c r="R1518" t="str">
        <f t="shared" si="47"/>
        <v>Sim</v>
      </c>
      <c r="S1518" t="s">
        <v>2628</v>
      </c>
      <c r="T1518" t="s">
        <v>30</v>
      </c>
      <c r="U1518" t="s">
        <v>2295</v>
      </c>
      <c r="V1518" s="3">
        <v>-8.1</v>
      </c>
      <c r="W1518" t="s">
        <v>1997</v>
      </c>
      <c r="X1518" s="3">
        <v>-8.1</v>
      </c>
    </row>
    <row r="1519" spans="1:24" s="2" customFormat="1" x14ac:dyDescent="0.2">
      <c r="A1519">
        <v>1519</v>
      </c>
      <c r="B1519" t="s">
        <v>1373</v>
      </c>
      <c r="C1519" t="s">
        <v>1374</v>
      </c>
      <c r="D1519" t="s">
        <v>2657</v>
      </c>
      <c r="E1519" t="s">
        <v>30</v>
      </c>
      <c r="F1519" t="s">
        <v>24</v>
      </c>
      <c r="G1519" t="s">
        <v>25</v>
      </c>
      <c r="H1519" t="str">
        <f t="shared" si="46"/>
        <v xml:space="preserve">2/4 - GERENCIAMENTO AIR BROOKLIN - 02 STUDIOS 2/4 | Recorrência: | Observações: </v>
      </c>
      <c r="I1519" t="s">
        <v>491</v>
      </c>
      <c r="J1519" s="4">
        <v>3000</v>
      </c>
      <c r="K1519" s="4">
        <v>775364.52</v>
      </c>
      <c r="L1519" t="s">
        <v>756</v>
      </c>
      <c r="M1519" s="4">
        <v>3000</v>
      </c>
      <c r="N1519" s="3">
        <v>0</v>
      </c>
      <c r="O1519" t="s">
        <v>2628</v>
      </c>
      <c r="P1519" t="s">
        <v>2268</v>
      </c>
      <c r="Q1519" t="s">
        <v>2628</v>
      </c>
      <c r="R1519" t="str">
        <f t="shared" si="47"/>
        <v>Sim</v>
      </c>
      <c r="S1519" t="s">
        <v>2628</v>
      </c>
      <c r="T1519" t="s">
        <v>30</v>
      </c>
      <c r="U1519" t="s">
        <v>274</v>
      </c>
      <c r="V1519" s="3">
        <v>3000</v>
      </c>
      <c r="W1519" t="s">
        <v>166</v>
      </c>
      <c r="X1519" s="3">
        <v>3000</v>
      </c>
    </row>
    <row r="1520" spans="1:24" s="2" customFormat="1" x14ac:dyDescent="0.2">
      <c r="A1520" s="2">
        <v>1520</v>
      </c>
      <c r="B1520"/>
      <c r="C1520" t="s">
        <v>710</v>
      </c>
      <c r="D1520" t="s">
        <v>2659</v>
      </c>
      <c r="E1520" t="s">
        <v>30</v>
      </c>
      <c r="F1520" t="s">
        <v>63</v>
      </c>
      <c r="G1520" t="s">
        <v>25</v>
      </c>
      <c r="H1520" t="str">
        <f t="shared" si="46"/>
        <v xml:space="preserve">2/12 - ENEL - ENERGIA ELÉTRICA referente a janeiro 2/12 | Recorrência: | Observações: </v>
      </c>
      <c r="I1520" t="s">
        <v>26</v>
      </c>
      <c r="J1520" s="5">
        <v>-447.61</v>
      </c>
      <c r="K1520" s="4">
        <v>774916.91</v>
      </c>
      <c r="L1520" t="s">
        <v>27</v>
      </c>
      <c r="M1520" s="5">
        <v>-447.61</v>
      </c>
      <c r="N1520" s="3">
        <v>0</v>
      </c>
      <c r="O1520" t="s">
        <v>2658</v>
      </c>
      <c r="P1520" t="s">
        <v>2577</v>
      </c>
      <c r="Q1520" t="s">
        <v>2605</v>
      </c>
      <c r="R1520" t="str">
        <f t="shared" si="47"/>
        <v>Sim</v>
      </c>
      <c r="S1520" t="s">
        <v>2605</v>
      </c>
      <c r="T1520" t="s">
        <v>30</v>
      </c>
      <c r="U1520" t="s">
        <v>125</v>
      </c>
      <c r="V1520" s="3">
        <v>-447.61</v>
      </c>
      <c r="W1520" t="s">
        <v>125</v>
      </c>
      <c r="X1520" s="3">
        <v>-447.61</v>
      </c>
    </row>
    <row r="1521" spans="1:24" s="2" customFormat="1" x14ac:dyDescent="0.2">
      <c r="A1521">
        <v>1521</v>
      </c>
      <c r="B1521" t="s">
        <v>1204</v>
      </c>
      <c r="C1521" t="s">
        <v>1205</v>
      </c>
      <c r="D1521" t="s">
        <v>2660</v>
      </c>
      <c r="E1521" t="s">
        <v>30</v>
      </c>
      <c r="F1521" t="s">
        <v>24</v>
      </c>
      <c r="G1521" t="s">
        <v>25</v>
      </c>
      <c r="H1521" t="str">
        <f t="shared" si="46"/>
        <v xml:space="preserve">RT REFERENTE PEDIDO JANEIRO | Recorrência: | Observações: </v>
      </c>
      <c r="I1521" t="s">
        <v>491</v>
      </c>
      <c r="J1521" s="4">
        <v>307.83</v>
      </c>
      <c r="K1521" s="4">
        <v>775224.74</v>
      </c>
      <c r="L1521" t="s">
        <v>27</v>
      </c>
      <c r="M1521" s="4">
        <v>307.83</v>
      </c>
      <c r="N1521" s="3">
        <v>0</v>
      </c>
      <c r="O1521" t="s">
        <v>2658</v>
      </c>
      <c r="P1521" t="s">
        <v>2639</v>
      </c>
      <c r="Q1521" t="s">
        <v>2658</v>
      </c>
      <c r="R1521" t="str">
        <f t="shared" si="47"/>
        <v>Sim</v>
      </c>
      <c r="S1521" t="s">
        <v>2658</v>
      </c>
      <c r="T1521" t="s">
        <v>30</v>
      </c>
      <c r="U1521" t="s">
        <v>49</v>
      </c>
      <c r="V1521" s="3">
        <v>307.83</v>
      </c>
      <c r="W1521" t="s">
        <v>494</v>
      </c>
      <c r="X1521" s="3">
        <v>307.83</v>
      </c>
    </row>
    <row r="1522" spans="1:24" s="2" customFormat="1" x14ac:dyDescent="0.2">
      <c r="A1522" s="2">
        <v>1522</v>
      </c>
      <c r="B1522" t="s">
        <v>2112</v>
      </c>
      <c r="C1522" t="s">
        <v>2113</v>
      </c>
      <c r="D1522" t="s">
        <v>2661</v>
      </c>
      <c r="E1522" t="s">
        <v>30</v>
      </c>
      <c r="F1522" t="s">
        <v>24</v>
      </c>
      <c r="G1522" t="s">
        <v>25</v>
      </c>
      <c r="H1522" t="str">
        <f t="shared" si="46"/>
        <v xml:space="preserve">RT PEDIDO 1445 - AMAURI MARCHI JR | Recorrência: | Observações: </v>
      </c>
      <c r="I1522" t="s">
        <v>491</v>
      </c>
      <c r="J1522" s="4">
        <v>143.21</v>
      </c>
      <c r="K1522" s="4">
        <v>775224.74</v>
      </c>
      <c r="L1522" t="s">
        <v>756</v>
      </c>
      <c r="M1522" s="4">
        <v>143.21</v>
      </c>
      <c r="N1522" s="3">
        <v>0</v>
      </c>
      <c r="O1522" t="s">
        <v>2658</v>
      </c>
      <c r="P1522" t="s">
        <v>2658</v>
      </c>
      <c r="Q1522" t="s">
        <v>2658</v>
      </c>
      <c r="R1522" t="str">
        <f t="shared" si="47"/>
        <v>Sim</v>
      </c>
      <c r="S1522" t="s">
        <v>2658</v>
      </c>
      <c r="T1522" t="s">
        <v>30</v>
      </c>
      <c r="U1522" t="s">
        <v>49</v>
      </c>
      <c r="V1522" s="3">
        <v>143.21</v>
      </c>
      <c r="W1522" t="s">
        <v>494</v>
      </c>
      <c r="X1522" s="3">
        <v>143.21</v>
      </c>
    </row>
    <row r="1523" spans="1:24" s="2" customFormat="1" x14ac:dyDescent="0.2">
      <c r="A1523">
        <v>1523</v>
      </c>
      <c r="B1523" t="s">
        <v>1515</v>
      </c>
      <c r="C1523" t="s">
        <v>1516</v>
      </c>
      <c r="D1523" t="s">
        <v>2662</v>
      </c>
      <c r="E1523" t="s">
        <v>30</v>
      </c>
      <c r="F1523" t="s">
        <v>24</v>
      </c>
      <c r="G1523" t="s">
        <v>25</v>
      </c>
      <c r="H1523" t="str">
        <f t="shared" si="46"/>
        <v xml:space="preserve">RT QUAKER - PEDIDO PJ15822 - CAROL E VICTOR PENAZZO | Recorrência: | Observações: </v>
      </c>
      <c r="I1523" t="s">
        <v>491</v>
      </c>
      <c r="J1523" s="4">
        <v>134.46</v>
      </c>
      <c r="K1523" s="4">
        <v>775359.2</v>
      </c>
      <c r="L1523" t="s">
        <v>27</v>
      </c>
      <c r="M1523" s="4">
        <v>134.46</v>
      </c>
      <c r="N1523" s="3">
        <v>0</v>
      </c>
      <c r="O1523" t="s">
        <v>2616</v>
      </c>
      <c r="P1523" t="s">
        <v>2601</v>
      </c>
      <c r="Q1523" t="s">
        <v>2616</v>
      </c>
      <c r="R1523" t="str">
        <f t="shared" si="47"/>
        <v>Sim</v>
      </c>
      <c r="S1523" t="s">
        <v>2616</v>
      </c>
      <c r="T1523" t="s">
        <v>30</v>
      </c>
      <c r="U1523" t="s">
        <v>49</v>
      </c>
      <c r="V1523" s="3">
        <v>134.46</v>
      </c>
      <c r="W1523" t="s">
        <v>494</v>
      </c>
      <c r="X1523" s="3">
        <v>134.46</v>
      </c>
    </row>
    <row r="1524" spans="1:24" s="2" customFormat="1" x14ac:dyDescent="0.2">
      <c r="A1524" s="2">
        <v>1524</v>
      </c>
      <c r="B1524" t="s">
        <v>1227</v>
      </c>
      <c r="C1524" t="s">
        <v>849</v>
      </c>
      <c r="D1524" t="s">
        <v>2663</v>
      </c>
      <c r="E1524" t="s">
        <v>30</v>
      </c>
      <c r="F1524" t="s">
        <v>24</v>
      </c>
      <c r="G1524" t="s">
        <v>25</v>
      </c>
      <c r="H1524" t="str">
        <f t="shared" si="46"/>
        <v xml:space="preserve">RT CODEX - PEDIDO 8452 - VICTOR PENAZZO | Recorrência: | Observações: </v>
      </c>
      <c r="I1524" t="s">
        <v>491</v>
      </c>
      <c r="J1524" s="4">
        <v>530</v>
      </c>
      <c r="K1524" s="4">
        <v>775889.2</v>
      </c>
      <c r="L1524" t="s">
        <v>27</v>
      </c>
      <c r="M1524" s="4">
        <v>530</v>
      </c>
      <c r="N1524" s="3">
        <v>0</v>
      </c>
      <c r="O1524" t="s">
        <v>2616</v>
      </c>
      <c r="P1524" t="s">
        <v>2628</v>
      </c>
      <c r="Q1524" t="s">
        <v>2616</v>
      </c>
      <c r="R1524" t="str">
        <f t="shared" si="47"/>
        <v>nao</v>
      </c>
      <c r="S1524" t="s">
        <v>2605</v>
      </c>
      <c r="T1524" t="s">
        <v>30</v>
      </c>
      <c r="U1524" t="s">
        <v>49</v>
      </c>
      <c r="V1524" s="3">
        <v>530</v>
      </c>
      <c r="W1524" t="s">
        <v>494</v>
      </c>
      <c r="X1524" s="3">
        <v>530</v>
      </c>
    </row>
    <row r="1525" spans="1:24" s="2" customFormat="1" x14ac:dyDescent="0.2">
      <c r="A1525">
        <v>1525</v>
      </c>
      <c r="B1525" t="s">
        <v>2664</v>
      </c>
      <c r="C1525" t="s">
        <v>2665</v>
      </c>
      <c r="D1525" t="s">
        <v>2666</v>
      </c>
      <c r="E1525" t="s">
        <v>30</v>
      </c>
      <c r="F1525" t="s">
        <v>24</v>
      </c>
      <c r="G1525" t="s">
        <v>25</v>
      </c>
      <c r="H1525" t="str">
        <f t="shared" si="46"/>
        <v xml:space="preserve">RT PEDIDO 81382 - VICTOR PENAZZO E CAROL | Recorrência: | Observações: </v>
      </c>
      <c r="I1525" t="s">
        <v>491</v>
      </c>
      <c r="J1525" s="4">
        <v>1045.98</v>
      </c>
      <c r="K1525" s="4">
        <v>776935.18</v>
      </c>
      <c r="L1525" t="s">
        <v>27</v>
      </c>
      <c r="M1525" s="4">
        <v>1045.98</v>
      </c>
      <c r="N1525" s="3">
        <v>0</v>
      </c>
      <c r="O1525" t="s">
        <v>2616</v>
      </c>
      <c r="P1525" t="s">
        <v>2542</v>
      </c>
      <c r="Q1525" t="s">
        <v>2542</v>
      </c>
      <c r="R1525" t="str">
        <f t="shared" si="47"/>
        <v>nao</v>
      </c>
      <c r="S1525" t="s">
        <v>2605</v>
      </c>
      <c r="T1525" t="s">
        <v>30</v>
      </c>
      <c r="U1525" t="s">
        <v>49</v>
      </c>
      <c r="V1525" s="3">
        <v>1045.98</v>
      </c>
      <c r="W1525" t="s">
        <v>494</v>
      </c>
      <c r="X1525" s="3">
        <v>1045.98</v>
      </c>
    </row>
    <row r="1526" spans="1:24" s="2" customFormat="1" x14ac:dyDescent="0.2">
      <c r="A1526" s="2">
        <v>1526</v>
      </c>
      <c r="B1526"/>
      <c r="C1526" t="s">
        <v>828</v>
      </c>
      <c r="D1526" t="s">
        <v>830</v>
      </c>
      <c r="E1526" t="s">
        <v>2667</v>
      </c>
      <c r="F1526" t="s">
        <v>63</v>
      </c>
      <c r="G1526" t="s">
        <v>25</v>
      </c>
      <c r="H1526" t="str">
        <f t="shared" si="46"/>
        <v xml:space="preserve">PREFEITURA DO MUNICIPIO DE BERTIOGA | Recorrência:24/41 | Observações: REF.02 PAGAMENTOS </v>
      </c>
      <c r="I1526" t="s">
        <v>26</v>
      </c>
      <c r="J1526" s="5">
        <v>-228.16</v>
      </c>
      <c r="K1526" s="4">
        <v>776935.18</v>
      </c>
      <c r="L1526" t="s">
        <v>756</v>
      </c>
      <c r="M1526" s="5">
        <v>-228.16</v>
      </c>
      <c r="N1526" s="3">
        <v>0</v>
      </c>
      <c r="O1526" t="s">
        <v>2605</v>
      </c>
      <c r="P1526" t="s">
        <v>2630</v>
      </c>
      <c r="Q1526" t="s">
        <v>2605</v>
      </c>
      <c r="R1526" t="str">
        <f t="shared" si="47"/>
        <v>Sim</v>
      </c>
      <c r="S1526" t="s">
        <v>2605</v>
      </c>
      <c r="T1526" t="s">
        <v>831</v>
      </c>
      <c r="U1526" t="s">
        <v>832</v>
      </c>
      <c r="V1526" s="3">
        <v>-228.16</v>
      </c>
    </row>
    <row r="1527" spans="1:24" s="2" customFormat="1" x14ac:dyDescent="0.2">
      <c r="A1527">
        <v>1527</v>
      </c>
      <c r="B1527" t="s">
        <v>2668</v>
      </c>
      <c r="C1527" t="s">
        <v>2669</v>
      </c>
      <c r="D1527" t="s">
        <v>2670</v>
      </c>
      <c r="E1527" t="s">
        <v>30</v>
      </c>
      <c r="F1527" t="s">
        <v>24</v>
      </c>
      <c r="G1527" t="s">
        <v>25</v>
      </c>
      <c r="H1527" t="str">
        <f t="shared" si="46"/>
        <v xml:space="preserve">RT VICTOR PENAZZO  E CAROL | Recorrência: | Observações: RT 20% &gt; % FICA AO CRITÉRIO DO ARQUITETO EM DIVIDIR COM O CLIENTE COMO CONDIÇÕES DE DESCONTO PARA  PAGAMENTO </v>
      </c>
      <c r="I1527" t="s">
        <v>491</v>
      </c>
      <c r="J1527" s="4">
        <v>459.95</v>
      </c>
      <c r="K1527" s="4">
        <v>776935.18</v>
      </c>
      <c r="L1527" t="s">
        <v>756</v>
      </c>
      <c r="M1527" s="4">
        <v>459.95</v>
      </c>
      <c r="N1527" s="3">
        <v>0</v>
      </c>
      <c r="O1527" t="s">
        <v>2605</v>
      </c>
      <c r="P1527" t="s">
        <v>2626</v>
      </c>
      <c r="Q1527" t="s">
        <v>2605</v>
      </c>
      <c r="R1527" t="str">
        <f t="shared" si="47"/>
        <v>Sim</v>
      </c>
      <c r="S1527" t="s">
        <v>2605</v>
      </c>
      <c r="T1527" t="s">
        <v>2671</v>
      </c>
      <c r="U1527" t="s">
        <v>49</v>
      </c>
      <c r="V1527" s="3">
        <v>459.95</v>
      </c>
      <c r="W1527" t="s">
        <v>494</v>
      </c>
      <c r="X1527" s="3">
        <v>459.95</v>
      </c>
    </row>
    <row r="1528" spans="1:24" s="2" customFormat="1" x14ac:dyDescent="0.2">
      <c r="A1528" s="2">
        <v>1528</v>
      </c>
      <c r="B1528"/>
      <c r="C1528" t="s">
        <v>153</v>
      </c>
      <c r="D1528" t="s">
        <v>2673</v>
      </c>
      <c r="E1528" t="s">
        <v>30</v>
      </c>
      <c r="F1528" t="s">
        <v>63</v>
      </c>
      <c r="G1528" t="s">
        <v>25</v>
      </c>
      <c r="H1528" t="str">
        <f t="shared" si="46"/>
        <v xml:space="preserve">3/12 - SALÁRIO MAYARA OLIVEIRA  3/12 | Recorrência: | Observações: </v>
      </c>
      <c r="I1528" t="s">
        <v>491</v>
      </c>
      <c r="J1528" s="5">
        <v>-3500.23</v>
      </c>
      <c r="K1528" s="4">
        <v>773434.95</v>
      </c>
      <c r="L1528" t="s">
        <v>27</v>
      </c>
      <c r="M1528" s="5">
        <v>-3500.23</v>
      </c>
      <c r="N1528" s="3">
        <v>0</v>
      </c>
      <c r="O1528" t="s">
        <v>2672</v>
      </c>
      <c r="P1528" t="s">
        <v>2261</v>
      </c>
      <c r="Q1528" t="s">
        <v>2672</v>
      </c>
      <c r="R1528" t="str">
        <f t="shared" si="47"/>
        <v>Sim</v>
      </c>
      <c r="S1528" t="s">
        <v>2672</v>
      </c>
      <c r="T1528" t="s">
        <v>30</v>
      </c>
      <c r="U1528" t="s">
        <v>323</v>
      </c>
      <c r="V1528" s="3">
        <v>-3500.23</v>
      </c>
      <c r="W1528" t="s">
        <v>1164</v>
      </c>
      <c r="X1528" s="3">
        <v>-3500.23</v>
      </c>
    </row>
    <row r="1529" spans="1:24" s="2" customFormat="1" x14ac:dyDescent="0.2">
      <c r="A1529">
        <v>1529</v>
      </c>
      <c r="B1529"/>
      <c r="C1529" t="s">
        <v>153</v>
      </c>
      <c r="D1529" t="s">
        <v>2674</v>
      </c>
      <c r="E1529" t="s">
        <v>30</v>
      </c>
      <c r="F1529" t="s">
        <v>63</v>
      </c>
      <c r="G1529" t="s">
        <v>25</v>
      </c>
      <c r="H1529" t="str">
        <f t="shared" si="46"/>
        <v xml:space="preserve">2/12 - ELIANE - VALE TRANSPORTE MÊS DE MARÇO 2/12 | Recorrência: | Observações: </v>
      </c>
      <c r="I1529" t="s">
        <v>491</v>
      </c>
      <c r="J1529" s="5">
        <v>-420</v>
      </c>
      <c r="K1529" s="4">
        <v>773014.95</v>
      </c>
      <c r="L1529" t="s">
        <v>27</v>
      </c>
      <c r="M1529" s="5">
        <v>-420</v>
      </c>
      <c r="N1529" s="3">
        <v>0</v>
      </c>
      <c r="O1529" t="s">
        <v>2672</v>
      </c>
      <c r="P1529" t="s">
        <v>2578</v>
      </c>
      <c r="Q1529" t="s">
        <v>2605</v>
      </c>
      <c r="R1529" t="str">
        <f t="shared" si="47"/>
        <v>Sim</v>
      </c>
      <c r="S1529" t="s">
        <v>2605</v>
      </c>
      <c r="T1529" t="s">
        <v>30</v>
      </c>
      <c r="U1529" t="s">
        <v>662</v>
      </c>
      <c r="V1529" s="3">
        <v>-420</v>
      </c>
      <c r="W1529" t="s">
        <v>698</v>
      </c>
      <c r="X1529" s="3">
        <v>-420</v>
      </c>
    </row>
    <row r="1530" spans="1:24" s="2" customFormat="1" x14ac:dyDescent="0.2">
      <c r="A1530" s="2">
        <v>1530</v>
      </c>
      <c r="B1530" t="s">
        <v>1130</v>
      </c>
      <c r="C1530" t="s">
        <v>77</v>
      </c>
      <c r="D1530" t="s">
        <v>2675</v>
      </c>
      <c r="E1530" t="s">
        <v>30</v>
      </c>
      <c r="F1530" t="s">
        <v>63</v>
      </c>
      <c r="G1530" t="s">
        <v>25</v>
      </c>
      <c r="H1530" t="str">
        <f t="shared" si="46"/>
        <v xml:space="preserve">CURSO ILUMINAÇÃO NICOLE GOMES | Recorrência: | Observações: </v>
      </c>
      <c r="I1530" t="s">
        <v>1219</v>
      </c>
      <c r="J1530" s="5">
        <v>-797</v>
      </c>
      <c r="K1530" s="4">
        <v>772217.95</v>
      </c>
      <c r="L1530" t="s">
        <v>27</v>
      </c>
      <c r="M1530" s="5">
        <v>-797</v>
      </c>
      <c r="N1530" s="3">
        <v>0</v>
      </c>
      <c r="O1530" t="s">
        <v>2672</v>
      </c>
      <c r="P1530" t="s">
        <v>2672</v>
      </c>
      <c r="Q1530" t="s">
        <v>2672</v>
      </c>
      <c r="R1530" t="str">
        <f t="shared" si="47"/>
        <v>Sim</v>
      </c>
      <c r="S1530" t="s">
        <v>2672</v>
      </c>
      <c r="T1530" t="s">
        <v>30</v>
      </c>
      <c r="U1530" t="s">
        <v>2676</v>
      </c>
      <c r="V1530" s="3">
        <v>-797</v>
      </c>
      <c r="W1530" t="s">
        <v>1722</v>
      </c>
      <c r="X1530" s="3">
        <v>-797</v>
      </c>
    </row>
    <row r="1531" spans="1:24" s="2" customFormat="1" x14ac:dyDescent="0.2">
      <c r="A1531">
        <v>1531</v>
      </c>
      <c r="B1531" t="s">
        <v>2677</v>
      </c>
      <c r="C1531" t="s">
        <v>2678</v>
      </c>
      <c r="D1531" t="s">
        <v>2679</v>
      </c>
      <c r="E1531" t="s">
        <v>30</v>
      </c>
      <c r="F1531" t="s">
        <v>63</v>
      </c>
      <c r="G1531" t="s">
        <v>25</v>
      </c>
      <c r="H1531" t="str">
        <f t="shared" si="46"/>
        <v xml:space="preserve">DO IT - PLATAFORMA DE GESTÃO | Recorrência: | Observações: </v>
      </c>
      <c r="I1531" t="s">
        <v>1113</v>
      </c>
      <c r="J1531" s="5">
        <v>-4200</v>
      </c>
      <c r="K1531" s="4">
        <v>768017.95</v>
      </c>
      <c r="L1531" t="s">
        <v>27</v>
      </c>
      <c r="M1531" s="5">
        <v>-4200</v>
      </c>
      <c r="N1531" s="3">
        <v>0</v>
      </c>
      <c r="O1531" t="s">
        <v>2672</v>
      </c>
      <c r="P1531" t="s">
        <v>2672</v>
      </c>
      <c r="Q1531" t="s">
        <v>2672</v>
      </c>
      <c r="R1531" t="str">
        <f t="shared" si="47"/>
        <v>Sim</v>
      </c>
      <c r="S1531" t="s">
        <v>2672</v>
      </c>
      <c r="T1531" t="s">
        <v>30</v>
      </c>
      <c r="U1531" t="s">
        <v>1421</v>
      </c>
      <c r="V1531" s="3">
        <v>-4200</v>
      </c>
      <c r="W1531" t="s">
        <v>2680</v>
      </c>
      <c r="X1531" s="3">
        <v>-4200</v>
      </c>
    </row>
    <row r="1532" spans="1:24" s="2" customFormat="1" x14ac:dyDescent="0.2">
      <c r="A1532" s="2">
        <v>1532</v>
      </c>
      <c r="B1532" t="s">
        <v>2237</v>
      </c>
      <c r="C1532" t="s">
        <v>2238</v>
      </c>
      <c r="D1532" t="s">
        <v>2681</v>
      </c>
      <c r="E1532" t="s">
        <v>30</v>
      </c>
      <c r="F1532" t="s">
        <v>24</v>
      </c>
      <c r="G1532" t="s">
        <v>25</v>
      </c>
      <c r="H1532" t="str">
        <f t="shared" si="46"/>
        <v xml:space="preserve">1/5 - GERENCIAMENTO  1/5 | Recorrência: | Observações: </v>
      </c>
      <c r="I1532" t="s">
        <v>491</v>
      </c>
      <c r="J1532" s="4">
        <v>4000</v>
      </c>
      <c r="K1532" s="4">
        <v>768017.95</v>
      </c>
      <c r="L1532" t="s">
        <v>756</v>
      </c>
      <c r="M1532" s="4">
        <v>4000</v>
      </c>
      <c r="N1532" s="3">
        <v>0</v>
      </c>
      <c r="O1532" t="s">
        <v>2672</v>
      </c>
      <c r="P1532" t="s">
        <v>2212</v>
      </c>
      <c r="Q1532" t="s">
        <v>2672</v>
      </c>
      <c r="R1532" t="str">
        <f t="shared" si="47"/>
        <v>Sim</v>
      </c>
      <c r="S1532" t="s">
        <v>2672</v>
      </c>
      <c r="T1532" t="s">
        <v>30</v>
      </c>
      <c r="U1532" t="s">
        <v>274</v>
      </c>
      <c r="V1532" s="3">
        <v>4000</v>
      </c>
      <c r="W1532" t="s">
        <v>166</v>
      </c>
      <c r="X1532" s="3">
        <v>4000</v>
      </c>
    </row>
    <row r="1533" spans="1:24" s="2" customFormat="1" x14ac:dyDescent="0.2">
      <c r="A1533">
        <v>1533</v>
      </c>
      <c r="B1533"/>
      <c r="C1533" t="s">
        <v>153</v>
      </c>
      <c r="D1533" t="s">
        <v>2682</v>
      </c>
      <c r="E1533" t="s">
        <v>30</v>
      </c>
      <c r="F1533" t="s">
        <v>63</v>
      </c>
      <c r="G1533" t="s">
        <v>25</v>
      </c>
      <c r="H1533" t="str">
        <f t="shared" si="46"/>
        <v xml:space="preserve">3/12 - PRÓ LABORE MAYARA CLA 3/13 | Recorrência: | Observações: </v>
      </c>
      <c r="I1533" t="s">
        <v>991</v>
      </c>
      <c r="J1533" s="5">
        <v>-20000</v>
      </c>
      <c r="K1533" s="4">
        <v>768017.95</v>
      </c>
      <c r="L1533" t="s">
        <v>756</v>
      </c>
      <c r="M1533" s="5">
        <v>-20000</v>
      </c>
      <c r="N1533" s="3">
        <v>0</v>
      </c>
      <c r="O1533" t="s">
        <v>2672</v>
      </c>
      <c r="P1533" t="s">
        <v>2261</v>
      </c>
      <c r="Q1533" t="s">
        <v>2672</v>
      </c>
      <c r="R1533" t="str">
        <f t="shared" si="47"/>
        <v>Sim</v>
      </c>
      <c r="S1533" t="s">
        <v>2672</v>
      </c>
      <c r="T1533" t="s">
        <v>30</v>
      </c>
      <c r="U1533" t="s">
        <v>323</v>
      </c>
      <c r="V1533" s="3">
        <v>-20000</v>
      </c>
      <c r="W1533" t="s">
        <v>1164</v>
      </c>
      <c r="X1533" s="3">
        <v>-20000</v>
      </c>
    </row>
    <row r="1534" spans="1:24" s="2" customFormat="1" x14ac:dyDescent="0.2">
      <c r="A1534" s="2">
        <v>1534</v>
      </c>
      <c r="B1534"/>
      <c r="C1534" t="s">
        <v>153</v>
      </c>
      <c r="D1534" t="s">
        <v>2683</v>
      </c>
      <c r="E1534" t="s">
        <v>30</v>
      </c>
      <c r="F1534" t="s">
        <v>63</v>
      </c>
      <c r="G1534" t="s">
        <v>25</v>
      </c>
      <c r="H1534" t="str">
        <f t="shared" si="46"/>
        <v xml:space="preserve">3/12 - PRÓ LABORE NATASHA  3/13 | Recorrência: | Observações: </v>
      </c>
      <c r="I1534" t="s">
        <v>991</v>
      </c>
      <c r="J1534" s="5">
        <v>-20000</v>
      </c>
      <c r="K1534" s="4">
        <v>768017.95</v>
      </c>
      <c r="L1534" t="s">
        <v>756</v>
      </c>
      <c r="M1534" s="5">
        <v>-20000</v>
      </c>
      <c r="N1534" s="3">
        <v>0</v>
      </c>
      <c r="O1534" t="s">
        <v>2672</v>
      </c>
      <c r="P1534" t="s">
        <v>2261</v>
      </c>
      <c r="Q1534" t="s">
        <v>2672</v>
      </c>
      <c r="R1534" t="str">
        <f t="shared" si="47"/>
        <v>Sim</v>
      </c>
      <c r="S1534" t="s">
        <v>2672</v>
      </c>
      <c r="T1534" t="s">
        <v>30</v>
      </c>
      <c r="U1534" t="s">
        <v>323</v>
      </c>
      <c r="V1534" s="3">
        <v>-20000</v>
      </c>
      <c r="W1534" t="s">
        <v>1164</v>
      </c>
      <c r="X1534" s="3">
        <v>-20000</v>
      </c>
    </row>
    <row r="1535" spans="1:24" s="2" customFormat="1" x14ac:dyDescent="0.2">
      <c r="A1535">
        <v>1535</v>
      </c>
      <c r="B1535"/>
      <c r="C1535" t="s">
        <v>153</v>
      </c>
      <c r="D1535" t="s">
        <v>2684</v>
      </c>
      <c r="E1535" t="s">
        <v>30</v>
      </c>
      <c r="F1535" t="s">
        <v>63</v>
      </c>
      <c r="G1535" t="s">
        <v>25</v>
      </c>
      <c r="H1535" t="str">
        <f t="shared" si="46"/>
        <v xml:space="preserve">3/12 - SALÁRIO ELIANE  3/12 | Recorrência: | Observações: </v>
      </c>
      <c r="I1535" t="s">
        <v>491</v>
      </c>
      <c r="J1535" s="5">
        <v>-1700</v>
      </c>
      <c r="K1535" s="4">
        <v>768017.95</v>
      </c>
      <c r="L1535" t="s">
        <v>756</v>
      </c>
      <c r="M1535" s="5">
        <v>-1700</v>
      </c>
      <c r="N1535" s="3">
        <v>0</v>
      </c>
      <c r="O1535" t="s">
        <v>2672</v>
      </c>
      <c r="P1535" t="s">
        <v>2261</v>
      </c>
      <c r="Q1535" t="s">
        <v>2672</v>
      </c>
      <c r="R1535" t="str">
        <f t="shared" si="47"/>
        <v>Sim</v>
      </c>
      <c r="S1535" t="s">
        <v>2672</v>
      </c>
      <c r="T1535" t="s">
        <v>30</v>
      </c>
      <c r="U1535" t="s">
        <v>323</v>
      </c>
      <c r="V1535" s="3">
        <v>-1700</v>
      </c>
      <c r="W1535" t="s">
        <v>1164</v>
      </c>
      <c r="X1535" s="3">
        <v>-1700</v>
      </c>
    </row>
    <row r="1536" spans="1:24" s="2" customFormat="1" x14ac:dyDescent="0.2">
      <c r="A1536" s="2">
        <v>1536</v>
      </c>
      <c r="B1536" t="s">
        <v>1987</v>
      </c>
      <c r="C1536" t="s">
        <v>1988</v>
      </c>
      <c r="D1536" t="s">
        <v>2685</v>
      </c>
      <c r="E1536" t="s">
        <v>30</v>
      </c>
      <c r="F1536" t="s">
        <v>63</v>
      </c>
      <c r="G1536" t="s">
        <v>25</v>
      </c>
      <c r="H1536" t="str">
        <f t="shared" si="46"/>
        <v>3/3 - COMISSÃO PROJETO CAROL E VICTOR 3/3 | Recorrência: | Observações: COMISSÃO REFERENTE AO PROJETO CAROL E VICTOR
VALOR PROJETO R$15.000,00 X 3%=R$ 450,00
01/01/24_R$ 150.00
01/02/24_R$ 150.00
01/03/24_R$ 150.00</v>
      </c>
      <c r="I1536" t="s">
        <v>491</v>
      </c>
      <c r="J1536" s="5">
        <v>-150</v>
      </c>
      <c r="K1536" s="4">
        <v>768017.95</v>
      </c>
      <c r="L1536" t="s">
        <v>756</v>
      </c>
      <c r="M1536" s="5">
        <v>-150</v>
      </c>
      <c r="N1536" s="3">
        <v>0</v>
      </c>
      <c r="O1536" t="s">
        <v>2672</v>
      </c>
      <c r="P1536" t="s">
        <v>2472</v>
      </c>
      <c r="Q1536" t="s">
        <v>2672</v>
      </c>
      <c r="R1536" t="str">
        <f t="shared" si="47"/>
        <v>Sim</v>
      </c>
      <c r="S1536" t="s">
        <v>2672</v>
      </c>
      <c r="T1536" t="s">
        <v>2531</v>
      </c>
      <c r="U1536" t="s">
        <v>1991</v>
      </c>
      <c r="V1536" s="3">
        <v>-150</v>
      </c>
      <c r="W1536" t="s">
        <v>1722</v>
      </c>
      <c r="X1536" s="3">
        <v>-150</v>
      </c>
    </row>
    <row r="1537" spans="1:24" s="2" customFormat="1" x14ac:dyDescent="0.2">
      <c r="A1537">
        <v>1537</v>
      </c>
      <c r="B1537"/>
      <c r="C1537" t="s">
        <v>153</v>
      </c>
      <c r="D1537" t="s">
        <v>2686</v>
      </c>
      <c r="E1537" t="s">
        <v>30</v>
      </c>
      <c r="F1537" t="s">
        <v>63</v>
      </c>
      <c r="G1537" t="s">
        <v>25</v>
      </c>
      <c r="H1537" t="str">
        <f t="shared" si="46"/>
        <v xml:space="preserve">3/13 - SALÁRIO - JULYA FIGUEIREDO - COORDENADORA 3/13 | Recorrência: | Observações: </v>
      </c>
      <c r="I1537" t="s">
        <v>491</v>
      </c>
      <c r="J1537" s="5">
        <v>-4769.12</v>
      </c>
      <c r="K1537" s="4">
        <v>768017.95</v>
      </c>
      <c r="L1537" t="s">
        <v>756</v>
      </c>
      <c r="M1537" s="5">
        <v>-4769.12</v>
      </c>
      <c r="N1537" s="3">
        <v>0</v>
      </c>
      <c r="O1537" t="s">
        <v>2672</v>
      </c>
      <c r="P1537" t="s">
        <v>2418</v>
      </c>
      <c r="Q1537" t="s">
        <v>2672</v>
      </c>
      <c r="R1537" t="str">
        <f t="shared" si="47"/>
        <v>Sim</v>
      </c>
      <c r="S1537" t="s">
        <v>2672</v>
      </c>
      <c r="T1537" t="s">
        <v>30</v>
      </c>
      <c r="U1537" t="s">
        <v>323</v>
      </c>
      <c r="V1537" s="3">
        <v>-4769.12</v>
      </c>
      <c r="W1537" t="s">
        <v>1164</v>
      </c>
      <c r="X1537" s="3">
        <v>-4769.12</v>
      </c>
    </row>
    <row r="1538" spans="1:24" s="2" customFormat="1" x14ac:dyDescent="0.2">
      <c r="A1538" s="2">
        <v>1538</v>
      </c>
      <c r="B1538"/>
      <c r="C1538" t="s">
        <v>153</v>
      </c>
      <c r="D1538" t="s">
        <v>2687</v>
      </c>
      <c r="E1538" t="s">
        <v>30</v>
      </c>
      <c r="F1538" t="s">
        <v>63</v>
      </c>
      <c r="G1538" t="s">
        <v>25</v>
      </c>
      <c r="H1538" t="str">
        <f t="shared" si="46"/>
        <v xml:space="preserve">1/11 - SALÁRIO - MANU_ESTAGIÁRIA  1/11 | Recorrência: | Observações: </v>
      </c>
      <c r="I1538" t="s">
        <v>491</v>
      </c>
      <c r="J1538" s="5">
        <v>-324.63</v>
      </c>
      <c r="K1538" s="4">
        <v>768017.95</v>
      </c>
      <c r="L1538" t="s">
        <v>756</v>
      </c>
      <c r="M1538" s="5">
        <v>-324.63</v>
      </c>
      <c r="N1538" s="3">
        <v>0</v>
      </c>
      <c r="O1538" t="s">
        <v>2672</v>
      </c>
      <c r="P1538" t="s">
        <v>2658</v>
      </c>
      <c r="Q1538" t="s">
        <v>2672</v>
      </c>
      <c r="R1538" t="str">
        <f t="shared" si="47"/>
        <v>Sim</v>
      </c>
      <c r="S1538" t="s">
        <v>2672</v>
      </c>
      <c r="T1538" t="s">
        <v>30</v>
      </c>
      <c r="U1538" t="s">
        <v>323</v>
      </c>
      <c r="V1538" s="3">
        <v>-324.63</v>
      </c>
      <c r="W1538" t="s">
        <v>323</v>
      </c>
      <c r="X1538" s="3">
        <v>-324.63</v>
      </c>
    </row>
    <row r="1539" spans="1:24" s="2" customFormat="1" x14ac:dyDescent="0.2">
      <c r="A1539">
        <v>1539</v>
      </c>
      <c r="B1539"/>
      <c r="C1539" t="s">
        <v>153</v>
      </c>
      <c r="D1539" t="s">
        <v>2688</v>
      </c>
      <c r="E1539" t="s">
        <v>30</v>
      </c>
      <c r="F1539" t="s">
        <v>63</v>
      </c>
      <c r="G1539" t="s">
        <v>25</v>
      </c>
      <c r="H1539" t="str">
        <f t="shared" ref="H1539:H1602" si="48">D1539&amp;" | "&amp;$E$1&amp;E1539&amp;" | Observações: "&amp;T1539</f>
        <v xml:space="preserve">1/10 - SALÁRIO KARINA ESTAGIARIA 1/10 | Recorrência: | Observações: </v>
      </c>
      <c r="I1539" t="s">
        <v>491</v>
      </c>
      <c r="J1539" s="5">
        <v>-2200</v>
      </c>
      <c r="K1539" s="4">
        <v>768017.95</v>
      </c>
      <c r="L1539" t="s">
        <v>756</v>
      </c>
      <c r="M1539" s="5">
        <v>-2200</v>
      </c>
      <c r="N1539" s="3">
        <v>0</v>
      </c>
      <c r="O1539" t="s">
        <v>2672</v>
      </c>
      <c r="P1539" t="s">
        <v>2616</v>
      </c>
      <c r="Q1539" t="s">
        <v>2672</v>
      </c>
      <c r="R1539" t="str">
        <f t="shared" ref="R1539:R1602" si="49">IF(Q1539=S1539,"Sim","nao")</f>
        <v>Sim</v>
      </c>
      <c r="S1539" t="s">
        <v>2672</v>
      </c>
      <c r="T1539" t="s">
        <v>30</v>
      </c>
      <c r="U1539" t="s">
        <v>323</v>
      </c>
      <c r="V1539" s="3">
        <v>-2200</v>
      </c>
      <c r="W1539" t="s">
        <v>323</v>
      </c>
      <c r="X1539" s="3">
        <v>-2200</v>
      </c>
    </row>
    <row r="1540" spans="1:24" s="2" customFormat="1" x14ac:dyDescent="0.2">
      <c r="A1540" s="2">
        <v>1540</v>
      </c>
      <c r="B1540" t="s">
        <v>2265</v>
      </c>
      <c r="C1540" t="s">
        <v>2266</v>
      </c>
      <c r="D1540" t="s">
        <v>2690</v>
      </c>
      <c r="E1540" t="s">
        <v>30</v>
      </c>
      <c r="F1540" t="s">
        <v>24</v>
      </c>
      <c r="G1540" t="s">
        <v>25</v>
      </c>
      <c r="H1540" t="str">
        <f t="shared" si="48"/>
        <v xml:space="preserve">2/5 - GERENCIAMENTO - GABRIELA BROSCO E DANIEL  2/5 | Recorrência: | Observações: </v>
      </c>
      <c r="I1540" t="s">
        <v>991</v>
      </c>
      <c r="J1540" s="4">
        <v>3000</v>
      </c>
      <c r="K1540" s="4">
        <v>768017.95</v>
      </c>
      <c r="L1540" t="s">
        <v>756</v>
      </c>
      <c r="M1540" s="4">
        <v>3000</v>
      </c>
      <c r="N1540" s="3">
        <v>0</v>
      </c>
      <c r="O1540" t="s">
        <v>2689</v>
      </c>
      <c r="P1540" t="s">
        <v>2268</v>
      </c>
      <c r="Q1540" t="s">
        <v>2689</v>
      </c>
      <c r="R1540" t="str">
        <f t="shared" si="49"/>
        <v>Sim</v>
      </c>
      <c r="S1540" t="s">
        <v>2689</v>
      </c>
      <c r="T1540" t="s">
        <v>30</v>
      </c>
      <c r="U1540" t="s">
        <v>274</v>
      </c>
      <c r="V1540" s="3">
        <v>3000</v>
      </c>
      <c r="W1540" t="s">
        <v>166</v>
      </c>
      <c r="X1540" s="3">
        <v>3000</v>
      </c>
    </row>
    <row r="1541" spans="1:24" s="2" customFormat="1" x14ac:dyDescent="0.2">
      <c r="A1541">
        <v>1541</v>
      </c>
      <c r="B1541"/>
      <c r="C1541" t="s">
        <v>710</v>
      </c>
      <c r="D1541" t="s">
        <v>2691</v>
      </c>
      <c r="E1541" t="s">
        <v>30</v>
      </c>
      <c r="F1541" t="s">
        <v>63</v>
      </c>
      <c r="G1541" t="s">
        <v>25</v>
      </c>
      <c r="H1541" t="str">
        <f t="shared" si="48"/>
        <v xml:space="preserve">3/12 - ENEL - ENERGIA ELÉTRICA referente a janeiro 3/12 | Recorrência: | Observações: </v>
      </c>
      <c r="I1541" t="s">
        <v>26</v>
      </c>
      <c r="J1541" s="5">
        <v>-384.62</v>
      </c>
      <c r="K1541" s="4">
        <v>768017.95</v>
      </c>
      <c r="L1541" t="s">
        <v>756</v>
      </c>
      <c r="M1541" s="5">
        <v>-384.62</v>
      </c>
      <c r="N1541" s="3">
        <v>0</v>
      </c>
      <c r="O1541" t="s">
        <v>2689</v>
      </c>
      <c r="P1541" t="s">
        <v>2577</v>
      </c>
      <c r="Q1541" t="s">
        <v>2689</v>
      </c>
      <c r="R1541" t="str">
        <f t="shared" si="49"/>
        <v>Sim</v>
      </c>
      <c r="S1541" t="s">
        <v>2689</v>
      </c>
      <c r="T1541" t="s">
        <v>30</v>
      </c>
      <c r="U1541" t="s">
        <v>125</v>
      </c>
      <c r="V1541" s="3">
        <v>-384.62</v>
      </c>
      <c r="W1541" t="s">
        <v>125</v>
      </c>
      <c r="X1541" s="3">
        <v>-384.62</v>
      </c>
    </row>
    <row r="1542" spans="1:24" s="2" customFormat="1" x14ac:dyDescent="0.2">
      <c r="A1542" s="2">
        <v>1542</v>
      </c>
      <c r="B1542" t="s">
        <v>1654</v>
      </c>
      <c r="C1542" t="s">
        <v>1655</v>
      </c>
      <c r="D1542" t="s">
        <v>2693</v>
      </c>
      <c r="E1542" t="s">
        <v>30</v>
      </c>
      <c r="F1542" t="s">
        <v>24</v>
      </c>
      <c r="G1542" t="s">
        <v>25</v>
      </c>
      <c r="H1542" t="str">
        <f t="shared" si="48"/>
        <v xml:space="preserve">RT OR 0847 - CAROL E VICTOR PENAZZO | Recorrência: | Observações: </v>
      </c>
      <c r="I1542" t="s">
        <v>491</v>
      </c>
      <c r="J1542" s="4">
        <v>400</v>
      </c>
      <c r="K1542" s="4">
        <v>768417.95</v>
      </c>
      <c r="L1542" t="s">
        <v>27</v>
      </c>
      <c r="M1542" s="4">
        <v>400</v>
      </c>
      <c r="N1542" s="3">
        <v>0</v>
      </c>
      <c r="O1542" t="s">
        <v>2692</v>
      </c>
      <c r="P1542" t="s">
        <v>2601</v>
      </c>
      <c r="Q1542" t="s">
        <v>2605</v>
      </c>
      <c r="R1542" t="str">
        <f t="shared" si="49"/>
        <v>Sim</v>
      </c>
      <c r="S1542" t="s">
        <v>2605</v>
      </c>
      <c r="T1542" t="s">
        <v>30</v>
      </c>
      <c r="U1542" t="s">
        <v>49</v>
      </c>
      <c r="V1542" s="3">
        <v>400</v>
      </c>
      <c r="W1542" t="s">
        <v>494</v>
      </c>
      <c r="X1542" s="3">
        <v>400</v>
      </c>
    </row>
    <row r="1543" spans="1:24" s="2" customFormat="1" x14ac:dyDescent="0.2">
      <c r="A1543">
        <v>1543</v>
      </c>
      <c r="B1543" t="s">
        <v>2695</v>
      </c>
      <c r="C1543" t="s">
        <v>2696</v>
      </c>
      <c r="D1543" t="s">
        <v>2697</v>
      </c>
      <c r="E1543" t="s">
        <v>30</v>
      </c>
      <c r="F1543" t="s">
        <v>24</v>
      </c>
      <c r="G1543" t="s">
        <v>25</v>
      </c>
      <c r="H1543" t="str">
        <f t="shared" si="48"/>
        <v xml:space="preserve">RT VICTOR PENAZZO_CAROL | Recorrência: | Observações: </v>
      </c>
      <c r="I1543" t="s">
        <v>491</v>
      </c>
      <c r="J1543" s="4">
        <v>2978</v>
      </c>
      <c r="K1543" s="4">
        <v>771395.95</v>
      </c>
      <c r="L1543" t="s">
        <v>27</v>
      </c>
      <c r="M1543" s="4">
        <v>2978</v>
      </c>
      <c r="N1543" s="3">
        <v>0</v>
      </c>
      <c r="O1543" t="s">
        <v>2694</v>
      </c>
      <c r="P1543" t="s">
        <v>2694</v>
      </c>
      <c r="Q1543" t="s">
        <v>2694</v>
      </c>
      <c r="R1543" t="str">
        <f t="shared" si="49"/>
        <v>Sim</v>
      </c>
      <c r="S1543" t="s">
        <v>2694</v>
      </c>
      <c r="T1543" t="s">
        <v>30</v>
      </c>
      <c r="U1543" t="s">
        <v>49</v>
      </c>
      <c r="V1543" s="3">
        <v>2978</v>
      </c>
      <c r="W1543" t="s">
        <v>494</v>
      </c>
      <c r="X1543" s="3">
        <v>2978</v>
      </c>
    </row>
    <row r="1544" spans="1:24" s="2" customFormat="1" x14ac:dyDescent="0.2">
      <c r="A1544" s="2">
        <v>1544</v>
      </c>
      <c r="B1544" t="s">
        <v>647</v>
      </c>
      <c r="C1544" t="s">
        <v>648</v>
      </c>
      <c r="D1544" t="s">
        <v>2698</v>
      </c>
      <c r="E1544" t="s">
        <v>30</v>
      </c>
      <c r="F1544" t="s">
        <v>63</v>
      </c>
      <c r="G1544" t="s">
        <v>25</v>
      </c>
      <c r="H1544" t="str">
        <f t="shared" si="48"/>
        <v xml:space="preserve">3/12 - FGTS  3/12 | Recorrência: | Observações: </v>
      </c>
      <c r="I1544" t="s">
        <v>1113</v>
      </c>
      <c r="J1544" s="5">
        <v>-145.62</v>
      </c>
      <c r="K1544" s="4">
        <v>771250.33</v>
      </c>
      <c r="L1544" t="s">
        <v>27</v>
      </c>
      <c r="M1544" s="5">
        <v>-145.62</v>
      </c>
      <c r="N1544" s="3">
        <v>0</v>
      </c>
      <c r="O1544" t="s">
        <v>2694</v>
      </c>
      <c r="P1544" t="s">
        <v>2285</v>
      </c>
      <c r="Q1544" t="s">
        <v>2699</v>
      </c>
      <c r="R1544" t="str">
        <f t="shared" si="49"/>
        <v>Sim</v>
      </c>
      <c r="S1544" t="s">
        <v>2699</v>
      </c>
      <c r="T1544" t="s">
        <v>30</v>
      </c>
      <c r="U1544" t="s">
        <v>1531</v>
      </c>
      <c r="V1544" s="3">
        <v>-145.62</v>
      </c>
      <c r="W1544" t="s">
        <v>650</v>
      </c>
      <c r="X1544" s="3">
        <v>-145.62</v>
      </c>
    </row>
    <row r="1545" spans="1:24" s="2" customFormat="1" x14ac:dyDescent="0.2">
      <c r="A1545">
        <v>1545</v>
      </c>
      <c r="B1545" t="s">
        <v>2700</v>
      </c>
      <c r="C1545" t="s">
        <v>2701</v>
      </c>
      <c r="D1545" t="s">
        <v>2702</v>
      </c>
      <c r="E1545" t="s">
        <v>30</v>
      </c>
      <c r="F1545" t="s">
        <v>63</v>
      </c>
      <c r="G1545" t="s">
        <v>25</v>
      </c>
      <c r="H1545" t="str">
        <f t="shared" si="48"/>
        <v xml:space="preserve">SEGURO DE VIDA ANUAL -  ESTAGIARIO KARINA OURIQUE | Recorrência: | Observações: </v>
      </c>
      <c r="I1545" t="s">
        <v>26</v>
      </c>
      <c r="J1545" s="5">
        <v>-41.76</v>
      </c>
      <c r="K1545" s="4">
        <v>771208.57</v>
      </c>
      <c r="L1545" t="s">
        <v>27</v>
      </c>
      <c r="M1545" s="5">
        <v>-41.76</v>
      </c>
      <c r="N1545" s="3">
        <v>0</v>
      </c>
      <c r="O1545" t="s">
        <v>2694</v>
      </c>
      <c r="P1545" t="s">
        <v>2605</v>
      </c>
      <c r="Q1545" t="s">
        <v>2703</v>
      </c>
      <c r="R1545" t="str">
        <f t="shared" si="49"/>
        <v>Sim</v>
      </c>
      <c r="S1545" t="s">
        <v>2703</v>
      </c>
      <c r="T1545" t="s">
        <v>30</v>
      </c>
      <c r="U1545" t="s">
        <v>2704</v>
      </c>
      <c r="V1545" s="3">
        <v>-41.76</v>
      </c>
      <c r="W1545" t="s">
        <v>2705</v>
      </c>
      <c r="X1545" s="3">
        <v>-41.76</v>
      </c>
    </row>
    <row r="1546" spans="1:24" s="2" customFormat="1" x14ac:dyDescent="0.2">
      <c r="A1546" s="2">
        <v>1546</v>
      </c>
      <c r="B1546"/>
      <c r="C1546" t="s">
        <v>574</v>
      </c>
      <c r="D1546" t="s">
        <v>2706</v>
      </c>
      <c r="E1546" t="s">
        <v>30</v>
      </c>
      <c r="F1546" t="s">
        <v>63</v>
      </c>
      <c r="G1546" t="s">
        <v>25</v>
      </c>
      <c r="H1546" t="str">
        <f t="shared" si="48"/>
        <v xml:space="preserve">3/12 - CONDOMINIO+ALUGUEL  3/12 | Recorrência: | Observações: </v>
      </c>
      <c r="I1546" t="s">
        <v>491</v>
      </c>
      <c r="J1546" s="5">
        <v>-6541.92</v>
      </c>
      <c r="K1546" s="4">
        <v>764666.65</v>
      </c>
      <c r="L1546" t="s">
        <v>27</v>
      </c>
      <c r="M1546" s="5">
        <v>-6541.92</v>
      </c>
      <c r="N1546" s="3">
        <v>0</v>
      </c>
      <c r="O1546" t="s">
        <v>2694</v>
      </c>
      <c r="P1546" t="s">
        <v>2472</v>
      </c>
      <c r="Q1546" t="s">
        <v>2703</v>
      </c>
      <c r="R1546" t="str">
        <f t="shared" si="49"/>
        <v>Sim</v>
      </c>
      <c r="S1546" t="s">
        <v>2703</v>
      </c>
      <c r="T1546" t="s">
        <v>30</v>
      </c>
      <c r="U1546" t="s">
        <v>571</v>
      </c>
      <c r="V1546" s="3">
        <v>-6541.92</v>
      </c>
      <c r="W1546" t="s">
        <v>570</v>
      </c>
      <c r="X1546" s="3">
        <v>-6541.92</v>
      </c>
    </row>
    <row r="1547" spans="1:24" s="2" customFormat="1" x14ac:dyDescent="0.2">
      <c r="A1547">
        <v>1547</v>
      </c>
      <c r="B1547" t="s">
        <v>1373</v>
      </c>
      <c r="C1547" t="s">
        <v>1374</v>
      </c>
      <c r="D1547" t="s">
        <v>2708</v>
      </c>
      <c r="E1547" t="s">
        <v>30</v>
      </c>
      <c r="F1547" t="s">
        <v>24</v>
      </c>
      <c r="G1547" t="s">
        <v>25</v>
      </c>
      <c r="H1547" t="str">
        <f t="shared" si="48"/>
        <v xml:space="preserve">1/3 - PROJETO GRAND VITALI _ DIANA E DIOGO  1/3 | Recorrência: | Observações: </v>
      </c>
      <c r="I1547" t="s">
        <v>491</v>
      </c>
      <c r="J1547" s="4">
        <v>2240</v>
      </c>
      <c r="K1547" s="4">
        <v>766906.65</v>
      </c>
      <c r="L1547" t="s">
        <v>27</v>
      </c>
      <c r="M1547" s="4">
        <v>2240</v>
      </c>
      <c r="N1547" s="3">
        <v>0</v>
      </c>
      <c r="O1547" t="s">
        <v>2707</v>
      </c>
      <c r="P1547" t="s">
        <v>2655</v>
      </c>
      <c r="Q1547" t="s">
        <v>2707</v>
      </c>
      <c r="R1547" t="str">
        <f t="shared" si="49"/>
        <v>Sim</v>
      </c>
      <c r="S1547" t="s">
        <v>2707</v>
      </c>
      <c r="T1547" t="s">
        <v>30</v>
      </c>
      <c r="U1547" t="s">
        <v>31</v>
      </c>
      <c r="V1547" s="3">
        <v>2240</v>
      </c>
      <c r="W1547" t="s">
        <v>32</v>
      </c>
      <c r="X1547" s="3">
        <v>2240</v>
      </c>
    </row>
    <row r="1548" spans="1:24" s="2" customFormat="1" x14ac:dyDescent="0.2">
      <c r="A1548" s="2">
        <v>1548</v>
      </c>
      <c r="B1548" t="s">
        <v>1010</v>
      </c>
      <c r="C1548" t="s">
        <v>1011</v>
      </c>
      <c r="D1548" t="s">
        <v>2709</v>
      </c>
      <c r="E1548" t="s">
        <v>30</v>
      </c>
      <c r="F1548" t="s">
        <v>24</v>
      </c>
      <c r="G1548" t="s">
        <v>25</v>
      </c>
      <c r="H1548" t="str">
        <f t="shared" si="48"/>
        <v xml:space="preserve">RT PEDIDO 8.173 - O PARQUE (DIOGO ♥ DIANA) | Recorrência: | Observações: </v>
      </c>
      <c r="I1548" t="s">
        <v>491</v>
      </c>
      <c r="J1548" s="4">
        <v>92.92</v>
      </c>
      <c r="K1548" s="4">
        <v>766906.65</v>
      </c>
      <c r="L1548" t="s">
        <v>756</v>
      </c>
      <c r="M1548" s="4">
        <v>92.92</v>
      </c>
      <c r="N1548" s="3">
        <v>0</v>
      </c>
      <c r="O1548" t="s">
        <v>2707</v>
      </c>
      <c r="P1548" t="s">
        <v>2601</v>
      </c>
      <c r="Q1548" t="s">
        <v>2707</v>
      </c>
      <c r="R1548" t="str">
        <f t="shared" si="49"/>
        <v>Sim</v>
      </c>
      <c r="S1548" t="s">
        <v>2707</v>
      </c>
      <c r="T1548" t="s">
        <v>30</v>
      </c>
      <c r="U1548" t="s">
        <v>49</v>
      </c>
      <c r="V1548" s="3">
        <v>92.92</v>
      </c>
      <c r="W1548" t="s">
        <v>494</v>
      </c>
      <c r="X1548" s="3">
        <v>92.92</v>
      </c>
    </row>
    <row r="1549" spans="1:24" s="2" customFormat="1" x14ac:dyDescent="0.2">
      <c r="A1549">
        <v>1549</v>
      </c>
      <c r="B1549" t="s">
        <v>1130</v>
      </c>
      <c r="C1549" t="s">
        <v>77</v>
      </c>
      <c r="D1549" t="s">
        <v>2710</v>
      </c>
      <c r="E1549" t="s">
        <v>30</v>
      </c>
      <c r="F1549" t="s">
        <v>24</v>
      </c>
      <c r="G1549" t="s">
        <v>25</v>
      </c>
      <c r="H1549" t="str">
        <f t="shared" si="48"/>
        <v xml:space="preserve">RT PEDIDOS 14124450/14124452 . AIR BROOKLIN_DIANA E DIOGO | Recorrência: | Observações: </v>
      </c>
      <c r="I1549" t="s">
        <v>491</v>
      </c>
      <c r="J1549" s="4">
        <v>9500</v>
      </c>
      <c r="K1549" s="4">
        <v>766906.65</v>
      </c>
      <c r="L1549" t="s">
        <v>756</v>
      </c>
      <c r="M1549" s="4">
        <v>9500</v>
      </c>
      <c r="N1549" s="3">
        <v>0</v>
      </c>
      <c r="O1549" t="s">
        <v>2707</v>
      </c>
      <c r="P1549" t="s">
        <v>2672</v>
      </c>
      <c r="Q1549" t="s">
        <v>2707</v>
      </c>
      <c r="R1549" t="str">
        <f t="shared" si="49"/>
        <v>Sim</v>
      </c>
      <c r="S1549" t="s">
        <v>2707</v>
      </c>
      <c r="T1549" t="s">
        <v>30</v>
      </c>
      <c r="U1549" t="s">
        <v>49</v>
      </c>
      <c r="V1549" s="3">
        <v>9500</v>
      </c>
      <c r="W1549" t="s">
        <v>494</v>
      </c>
      <c r="X1549" s="3">
        <v>9500</v>
      </c>
    </row>
    <row r="1550" spans="1:24" s="2" customFormat="1" x14ac:dyDescent="0.2">
      <c r="A1550" s="2">
        <v>1550</v>
      </c>
      <c r="B1550" t="s">
        <v>2426</v>
      </c>
      <c r="C1550" t="s">
        <v>2427</v>
      </c>
      <c r="D1550" t="s">
        <v>2712</v>
      </c>
      <c r="E1550" t="s">
        <v>30</v>
      </c>
      <c r="F1550" t="s">
        <v>24</v>
      </c>
      <c r="G1550" t="s">
        <v>25</v>
      </c>
      <c r="H1550" t="str">
        <f t="shared" si="48"/>
        <v>5/6 - GERENCIAMENTO RIVIERA  5/6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550" t="s">
        <v>491</v>
      </c>
      <c r="J1550" s="4">
        <v>11308</v>
      </c>
      <c r="K1550" s="4">
        <v>766906.65</v>
      </c>
      <c r="L1550" t="s">
        <v>756</v>
      </c>
      <c r="M1550" s="4">
        <v>11308</v>
      </c>
      <c r="N1550" s="3">
        <v>0</v>
      </c>
      <c r="O1550" t="s">
        <v>2711</v>
      </c>
      <c r="P1550" t="s">
        <v>2301</v>
      </c>
      <c r="Q1550" t="s">
        <v>2711</v>
      </c>
      <c r="R1550" t="str">
        <f t="shared" si="49"/>
        <v>Sim</v>
      </c>
      <c r="S1550" t="s">
        <v>2711</v>
      </c>
      <c r="T1550" t="s">
        <v>2428</v>
      </c>
      <c r="U1550" t="s">
        <v>274</v>
      </c>
      <c r="V1550" s="3">
        <v>11308</v>
      </c>
      <c r="W1550" t="s">
        <v>166</v>
      </c>
      <c r="X1550" s="3">
        <v>11308</v>
      </c>
    </row>
    <row r="1551" spans="1:24" s="2" customFormat="1" x14ac:dyDescent="0.2">
      <c r="A1551">
        <v>1551</v>
      </c>
      <c r="B1551" t="s">
        <v>647</v>
      </c>
      <c r="C1551" t="s">
        <v>648</v>
      </c>
      <c r="D1551" t="s">
        <v>2714</v>
      </c>
      <c r="E1551" t="s">
        <v>30</v>
      </c>
      <c r="F1551" t="s">
        <v>63</v>
      </c>
      <c r="G1551" t="s">
        <v>25</v>
      </c>
      <c r="H1551" t="str">
        <f t="shared" si="48"/>
        <v xml:space="preserve">3/12 - HONORÁRIOS CONTÁBEIS  3/12 | Recorrência: | Observações: </v>
      </c>
      <c r="I1551" t="s">
        <v>755</v>
      </c>
      <c r="J1551" s="5">
        <v>-1217.5</v>
      </c>
      <c r="K1551" s="4">
        <v>765689.15</v>
      </c>
      <c r="L1551" t="s">
        <v>27</v>
      </c>
      <c r="M1551" s="5">
        <v>-1217.5</v>
      </c>
      <c r="N1551" s="3">
        <v>0</v>
      </c>
      <c r="O1551" t="s">
        <v>2713</v>
      </c>
      <c r="P1551" t="s">
        <v>2536</v>
      </c>
      <c r="Q1551" t="s">
        <v>2713</v>
      </c>
      <c r="R1551" t="str">
        <f t="shared" si="49"/>
        <v>Sim</v>
      </c>
      <c r="S1551" t="s">
        <v>2713</v>
      </c>
      <c r="T1551" t="s">
        <v>30</v>
      </c>
      <c r="U1551" t="s">
        <v>608</v>
      </c>
      <c r="V1551" s="3">
        <v>-1217.5</v>
      </c>
      <c r="W1551" t="s">
        <v>1722</v>
      </c>
      <c r="X1551" s="3">
        <v>-1217.5</v>
      </c>
    </row>
    <row r="1552" spans="1:24" s="2" customFormat="1" x14ac:dyDescent="0.2">
      <c r="A1552" s="2">
        <v>1552</v>
      </c>
      <c r="B1552" t="s">
        <v>2375</v>
      </c>
      <c r="C1552" t="s">
        <v>2376</v>
      </c>
      <c r="D1552" t="s">
        <v>2715</v>
      </c>
      <c r="E1552" t="s">
        <v>30</v>
      </c>
      <c r="F1552" t="s">
        <v>24</v>
      </c>
      <c r="G1552" t="s">
        <v>25</v>
      </c>
      <c r="H1552" t="str">
        <f t="shared" si="48"/>
        <v>5/6 - GERENCIAMENTO RIVIERA 5/6 | Recorrência: | Observações: EMITIR NF PF - 51.716,40
Maria Isabel C Najm Strapetti 
CPF 073.627.088-40
Endereço: Rua General Fonseca Teles, 64 - Jd. Paulistano - CEP 01429-020 - São Paulo - SP
E-mail: belstrapetti@gmail.com</v>
      </c>
      <c r="I1552" t="s">
        <v>491</v>
      </c>
      <c r="J1552" s="4">
        <v>8619.0499999999993</v>
      </c>
      <c r="K1552" s="4">
        <v>765689.15</v>
      </c>
      <c r="L1552" t="s">
        <v>756</v>
      </c>
      <c r="M1552" s="4">
        <v>8619.0499999999993</v>
      </c>
      <c r="N1552" s="3">
        <v>0</v>
      </c>
      <c r="O1552" t="s">
        <v>2713</v>
      </c>
      <c r="P1552" t="s">
        <v>2301</v>
      </c>
      <c r="Q1552" t="s">
        <v>2713</v>
      </c>
      <c r="R1552" t="str">
        <f t="shared" si="49"/>
        <v>Sim</v>
      </c>
      <c r="S1552" t="s">
        <v>2713</v>
      </c>
      <c r="T1552" t="s">
        <v>2378</v>
      </c>
      <c r="U1552" t="s">
        <v>274</v>
      </c>
      <c r="V1552" s="3">
        <v>8619.0499999999993</v>
      </c>
      <c r="W1552" t="s">
        <v>166</v>
      </c>
      <c r="X1552" s="3">
        <v>8619.0499999999993</v>
      </c>
    </row>
    <row r="1553" spans="1:24" s="2" customFormat="1" x14ac:dyDescent="0.2">
      <c r="A1553">
        <v>1553</v>
      </c>
      <c r="B1553"/>
      <c r="C1553" t="s">
        <v>1111</v>
      </c>
      <c r="D1553" t="s">
        <v>2712</v>
      </c>
      <c r="E1553" t="s">
        <v>30</v>
      </c>
      <c r="F1553" t="s">
        <v>24</v>
      </c>
      <c r="G1553" t="s">
        <v>25</v>
      </c>
      <c r="H1553" t="str">
        <f t="shared" si="48"/>
        <v>5/6 - GERENCIAMENTO RIVIERA  5/6 | Recorrência: | Observações: EMITIR NF PF - 37.435,41
Fábio Najm 
CPF - 030.448.618-37
Endereço - Rua Conselheiro Zacarias, 122 - Jardim Paulista - São Paulo-SP - CEP 01429-020 
E-mail - Fcnajm@gmail.com</v>
      </c>
      <c r="I1553" t="s">
        <v>491</v>
      </c>
      <c r="J1553" s="4">
        <v>6239.24</v>
      </c>
      <c r="K1553" s="4">
        <v>765689.15</v>
      </c>
      <c r="L1553" t="s">
        <v>756</v>
      </c>
      <c r="M1553" s="4">
        <v>6239.24</v>
      </c>
      <c r="N1553" s="3">
        <v>0</v>
      </c>
      <c r="O1553" t="s">
        <v>2713</v>
      </c>
      <c r="P1553" t="s">
        <v>2301</v>
      </c>
      <c r="Q1553" t="s">
        <v>2713</v>
      </c>
      <c r="R1553" t="str">
        <f t="shared" si="49"/>
        <v>Sim</v>
      </c>
      <c r="S1553" t="s">
        <v>2713</v>
      </c>
      <c r="T1553" t="s">
        <v>2381</v>
      </c>
      <c r="U1553" t="s">
        <v>274</v>
      </c>
      <c r="V1553" s="3">
        <v>6239.24</v>
      </c>
      <c r="W1553" t="s">
        <v>166</v>
      </c>
      <c r="X1553" s="3">
        <v>6239.24</v>
      </c>
    </row>
    <row r="1554" spans="1:24" s="2" customFormat="1" x14ac:dyDescent="0.2">
      <c r="A1554" s="2">
        <v>1554</v>
      </c>
      <c r="B1554" t="s">
        <v>647</v>
      </c>
      <c r="C1554" t="s">
        <v>648</v>
      </c>
      <c r="D1554" t="s">
        <v>2717</v>
      </c>
      <c r="E1554" t="s">
        <v>30</v>
      </c>
      <c r="F1554" t="s">
        <v>63</v>
      </c>
      <c r="G1554" t="s">
        <v>25</v>
      </c>
      <c r="H1554" t="str">
        <f t="shared" si="48"/>
        <v xml:space="preserve">16/35 - DARF ISS 16/36 | Recorrência: | Observações: </v>
      </c>
      <c r="I1554" t="s">
        <v>26</v>
      </c>
      <c r="J1554" s="5">
        <v>-1742.79</v>
      </c>
      <c r="K1554" s="4">
        <v>763946.36</v>
      </c>
      <c r="L1554" t="s">
        <v>27</v>
      </c>
      <c r="M1554" s="5">
        <v>-1742.79</v>
      </c>
      <c r="N1554" s="3">
        <v>0</v>
      </c>
      <c r="O1554" t="s">
        <v>2716</v>
      </c>
      <c r="P1554" t="s">
        <v>1474</v>
      </c>
      <c r="Q1554" t="s">
        <v>2716</v>
      </c>
      <c r="R1554" t="str">
        <f t="shared" si="49"/>
        <v>Sim</v>
      </c>
      <c r="S1554" t="s">
        <v>2716</v>
      </c>
      <c r="T1554" t="s">
        <v>30</v>
      </c>
      <c r="U1554" t="s">
        <v>1098</v>
      </c>
      <c r="V1554" s="3">
        <v>-1742.79</v>
      </c>
      <c r="W1554" t="s">
        <v>324</v>
      </c>
      <c r="X1554" s="3">
        <v>-1742.79</v>
      </c>
    </row>
    <row r="1555" spans="1:24" s="2" customFormat="1" x14ac:dyDescent="0.2">
      <c r="A1555">
        <v>1555</v>
      </c>
      <c r="B1555" t="s">
        <v>2463</v>
      </c>
      <c r="C1555" t="s">
        <v>2464</v>
      </c>
      <c r="D1555" t="s">
        <v>2718</v>
      </c>
      <c r="E1555" t="s">
        <v>30</v>
      </c>
      <c r="F1555" t="s">
        <v>24</v>
      </c>
      <c r="G1555" t="s">
        <v>25</v>
      </c>
      <c r="H1555" t="str">
        <f t="shared" si="48"/>
        <v xml:space="preserve">3/3 - PROJETO INTERIORES  3/3 | Recorrência: | Observações: </v>
      </c>
      <c r="I1555" t="s">
        <v>491</v>
      </c>
      <c r="J1555" s="4">
        <v>5000</v>
      </c>
      <c r="K1555" s="4">
        <v>768946.36</v>
      </c>
      <c r="L1555" t="s">
        <v>27</v>
      </c>
      <c r="M1555" s="4">
        <v>5000</v>
      </c>
      <c r="N1555" s="3">
        <v>0</v>
      </c>
      <c r="O1555" t="s">
        <v>2716</v>
      </c>
      <c r="P1555" t="s">
        <v>2462</v>
      </c>
      <c r="Q1555" t="s">
        <v>2626</v>
      </c>
      <c r="R1555" t="str">
        <f t="shared" si="49"/>
        <v>Sim</v>
      </c>
      <c r="S1555" t="s">
        <v>2626</v>
      </c>
      <c r="T1555" t="s">
        <v>30</v>
      </c>
      <c r="U1555" t="s">
        <v>31</v>
      </c>
      <c r="V1555" s="3">
        <v>5000</v>
      </c>
      <c r="W1555" t="s">
        <v>2466</v>
      </c>
      <c r="X1555" s="3">
        <v>5000</v>
      </c>
    </row>
    <row r="1556" spans="1:24" s="2" customFormat="1" x14ac:dyDescent="0.2">
      <c r="A1556" s="2">
        <v>1556</v>
      </c>
      <c r="B1556" t="s">
        <v>2017</v>
      </c>
      <c r="C1556" t="s">
        <v>2018</v>
      </c>
      <c r="D1556" t="s">
        <v>2719</v>
      </c>
      <c r="E1556" t="s">
        <v>30</v>
      </c>
      <c r="F1556" t="s">
        <v>24</v>
      </c>
      <c r="G1556" t="s">
        <v>25</v>
      </c>
      <c r="H1556" t="str">
        <f t="shared" si="48"/>
        <v xml:space="preserve">RT PEDIDO 10044181 - VICTOR PENAZZO E CAROL | Recorrência: | Observações: </v>
      </c>
      <c r="I1556" t="s">
        <v>491</v>
      </c>
      <c r="J1556" s="4">
        <v>145.79</v>
      </c>
      <c r="K1556" s="4">
        <v>768946.36</v>
      </c>
      <c r="L1556" t="s">
        <v>756</v>
      </c>
      <c r="M1556" s="4">
        <v>145.79</v>
      </c>
      <c r="N1556" s="3">
        <v>0</v>
      </c>
      <c r="O1556" t="s">
        <v>2716</v>
      </c>
      <c r="P1556" t="s">
        <v>2703</v>
      </c>
      <c r="Q1556" t="s">
        <v>2716</v>
      </c>
      <c r="R1556" t="str">
        <f t="shared" si="49"/>
        <v>Sim</v>
      </c>
      <c r="S1556" t="s">
        <v>2716</v>
      </c>
      <c r="T1556" t="s">
        <v>30</v>
      </c>
      <c r="U1556" t="s">
        <v>49</v>
      </c>
      <c r="V1556" s="3">
        <v>145.79</v>
      </c>
      <c r="W1556" t="s">
        <v>494</v>
      </c>
      <c r="X1556" s="3">
        <v>145.79</v>
      </c>
    </row>
    <row r="1557" spans="1:24" s="2" customFormat="1" x14ac:dyDescent="0.2">
      <c r="A1557">
        <v>1557</v>
      </c>
      <c r="B1557"/>
      <c r="C1557" t="s">
        <v>2067</v>
      </c>
      <c r="D1557" t="s">
        <v>2721</v>
      </c>
      <c r="E1557" t="s">
        <v>30</v>
      </c>
      <c r="F1557" t="s">
        <v>24</v>
      </c>
      <c r="G1557" t="s">
        <v>25</v>
      </c>
      <c r="H1557" t="str">
        <f t="shared" si="48"/>
        <v xml:space="preserve">RT PEDIDO  CAROL E VICTOR PENAZZO | Recorrência: | Observações: </v>
      </c>
      <c r="I1557" t="s">
        <v>2722</v>
      </c>
      <c r="J1557" s="4">
        <v>447.3</v>
      </c>
      <c r="K1557" s="4">
        <v>769393.66</v>
      </c>
      <c r="L1557" t="s">
        <v>2723</v>
      </c>
      <c r="M1557" s="4">
        <v>447.3</v>
      </c>
      <c r="N1557" s="3">
        <v>0</v>
      </c>
      <c r="O1557" t="s">
        <v>2720</v>
      </c>
      <c r="P1557" t="s">
        <v>2601</v>
      </c>
      <c r="Q1557" t="s">
        <v>2720</v>
      </c>
      <c r="R1557" t="str">
        <f t="shared" si="49"/>
        <v>Sim</v>
      </c>
      <c r="S1557" t="s">
        <v>2720</v>
      </c>
      <c r="T1557" t="s">
        <v>30</v>
      </c>
      <c r="U1557" t="s">
        <v>49</v>
      </c>
      <c r="V1557" s="3">
        <v>447.3</v>
      </c>
      <c r="W1557" t="s">
        <v>494</v>
      </c>
      <c r="X1557" s="3">
        <v>447.3</v>
      </c>
    </row>
    <row r="1558" spans="1:24" s="2" customFormat="1" x14ac:dyDescent="0.2">
      <c r="A1558" s="2">
        <v>1558</v>
      </c>
      <c r="B1558" t="s">
        <v>1373</v>
      </c>
      <c r="C1558" t="s">
        <v>1374</v>
      </c>
      <c r="D1558" t="s">
        <v>2725</v>
      </c>
      <c r="E1558" t="s">
        <v>30</v>
      </c>
      <c r="F1558" t="s">
        <v>24</v>
      </c>
      <c r="G1558" t="s">
        <v>25</v>
      </c>
      <c r="H1558" t="str">
        <f t="shared" si="48"/>
        <v xml:space="preserve">5/5 - GERENCIAMENTO  O PARQUE  5/5 | Recorrência: | Observações: </v>
      </c>
      <c r="I1558" t="s">
        <v>491</v>
      </c>
      <c r="J1558" s="4">
        <v>3500</v>
      </c>
      <c r="K1558" s="4">
        <v>772893.66</v>
      </c>
      <c r="L1558" t="s">
        <v>2723</v>
      </c>
      <c r="M1558" s="4">
        <v>3500</v>
      </c>
      <c r="N1558" s="3">
        <v>0</v>
      </c>
      <c r="O1558" t="s">
        <v>2724</v>
      </c>
      <c r="P1558" t="s">
        <v>1938</v>
      </c>
      <c r="Q1558" t="s">
        <v>2724</v>
      </c>
      <c r="R1558" t="str">
        <f t="shared" si="49"/>
        <v>Sim</v>
      </c>
      <c r="S1558" t="s">
        <v>2724</v>
      </c>
      <c r="T1558" t="s">
        <v>30</v>
      </c>
      <c r="U1558" t="s">
        <v>274</v>
      </c>
      <c r="V1558" s="3">
        <v>3500</v>
      </c>
      <c r="W1558" t="s">
        <v>166</v>
      </c>
      <c r="X1558" s="3">
        <v>3500</v>
      </c>
    </row>
    <row r="1559" spans="1:24" s="2" customFormat="1" x14ac:dyDescent="0.2">
      <c r="A1559">
        <v>1559</v>
      </c>
      <c r="B1559" t="s">
        <v>1565</v>
      </c>
      <c r="C1559" t="s">
        <v>1566</v>
      </c>
      <c r="D1559" t="s">
        <v>2726</v>
      </c>
      <c r="E1559" t="s">
        <v>30</v>
      </c>
      <c r="F1559" t="s">
        <v>24</v>
      </c>
      <c r="G1559" t="s">
        <v>25</v>
      </c>
      <c r="H1559" t="str">
        <f t="shared" si="48"/>
        <v>RT &gt; O PARQUE - DIANA♥DIOGO - | Recorrência: | Observações: RT terá desconto de 250 reais referente uma compra feita pela Mayara</v>
      </c>
      <c r="I1559" t="s">
        <v>491</v>
      </c>
      <c r="J1559" s="4">
        <v>465</v>
      </c>
      <c r="K1559" s="4">
        <v>773358.66</v>
      </c>
      <c r="L1559" t="s">
        <v>2723</v>
      </c>
      <c r="M1559" s="4">
        <v>715</v>
      </c>
      <c r="N1559" s="3">
        <v>250</v>
      </c>
      <c r="O1559" t="s">
        <v>2724</v>
      </c>
      <c r="P1559" t="s">
        <v>2438</v>
      </c>
      <c r="Q1559" t="s">
        <v>2724</v>
      </c>
      <c r="R1559" t="str">
        <f t="shared" si="49"/>
        <v>Sim</v>
      </c>
      <c r="S1559" t="s">
        <v>2724</v>
      </c>
      <c r="T1559" t="s">
        <v>2727</v>
      </c>
      <c r="U1559" t="s">
        <v>49</v>
      </c>
      <c r="V1559" s="3">
        <v>465</v>
      </c>
      <c r="W1559" t="s">
        <v>494</v>
      </c>
      <c r="X1559" s="3">
        <v>465</v>
      </c>
    </row>
    <row r="1560" spans="1:24" s="2" customFormat="1" x14ac:dyDescent="0.2">
      <c r="A1560" s="2">
        <v>1560</v>
      </c>
      <c r="B1560" t="s">
        <v>1673</v>
      </c>
      <c r="C1560" t="s">
        <v>1674</v>
      </c>
      <c r="D1560" t="s">
        <v>2728</v>
      </c>
      <c r="E1560" t="s">
        <v>30</v>
      </c>
      <c r="F1560" t="s">
        <v>24</v>
      </c>
      <c r="G1560" t="s">
        <v>25</v>
      </c>
      <c r="H1560" t="str">
        <f t="shared" si="48"/>
        <v xml:space="preserve">RT PEDIDO 25500224 - O PARQUE_DIOGO | Recorrência: | Observações: </v>
      </c>
      <c r="I1560" t="s">
        <v>491</v>
      </c>
      <c r="J1560" s="4">
        <v>100</v>
      </c>
      <c r="K1560" s="4">
        <v>773458.66</v>
      </c>
      <c r="L1560" t="s">
        <v>2723</v>
      </c>
      <c r="M1560" s="4">
        <v>100</v>
      </c>
      <c r="N1560" s="3">
        <v>0</v>
      </c>
      <c r="O1560" t="s">
        <v>2724</v>
      </c>
      <c r="P1560" t="s">
        <v>2616</v>
      </c>
      <c r="Q1560" t="s">
        <v>2724</v>
      </c>
      <c r="R1560" t="str">
        <f t="shared" si="49"/>
        <v>Sim</v>
      </c>
      <c r="S1560" t="s">
        <v>2724</v>
      </c>
      <c r="T1560" t="s">
        <v>30</v>
      </c>
      <c r="U1560" t="s">
        <v>49</v>
      </c>
      <c r="V1560" s="3">
        <v>100</v>
      </c>
      <c r="W1560" t="s">
        <v>494</v>
      </c>
      <c r="X1560" s="3">
        <v>100</v>
      </c>
    </row>
    <row r="1561" spans="1:24" s="2" customFormat="1" x14ac:dyDescent="0.2">
      <c r="A1561">
        <v>1561</v>
      </c>
      <c r="B1561" t="s">
        <v>2632</v>
      </c>
      <c r="C1561" t="s">
        <v>2633</v>
      </c>
      <c r="D1561" t="s">
        <v>2730</v>
      </c>
      <c r="E1561" t="s">
        <v>30</v>
      </c>
      <c r="F1561" t="s">
        <v>24</v>
      </c>
      <c r="G1561" t="s">
        <v>25</v>
      </c>
      <c r="H1561" t="str">
        <f t="shared" si="48"/>
        <v xml:space="preserve">2/4 - RT PEDIDO RE 26071-2023 - FAUSTO BOLDINI E MARIEL  2/5 | Recorrência: | Observações: </v>
      </c>
      <c r="I1561" t="s">
        <v>491</v>
      </c>
      <c r="J1561" s="4">
        <v>552.5</v>
      </c>
      <c r="K1561" s="4">
        <v>774011.16</v>
      </c>
      <c r="L1561" t="s">
        <v>2723</v>
      </c>
      <c r="M1561" s="4">
        <v>552.5</v>
      </c>
      <c r="N1561" s="3">
        <v>0</v>
      </c>
      <c r="O1561" t="s">
        <v>2729</v>
      </c>
      <c r="P1561" t="s">
        <v>2573</v>
      </c>
      <c r="Q1561" t="s">
        <v>2729</v>
      </c>
      <c r="R1561" t="str">
        <f t="shared" si="49"/>
        <v>Sim</v>
      </c>
      <c r="S1561" t="s">
        <v>2729</v>
      </c>
      <c r="T1561" t="s">
        <v>30</v>
      </c>
      <c r="U1561" t="s">
        <v>49</v>
      </c>
      <c r="V1561" s="3">
        <v>552.5</v>
      </c>
      <c r="W1561" t="s">
        <v>494</v>
      </c>
      <c r="X1561" s="3">
        <v>552.5</v>
      </c>
    </row>
    <row r="1562" spans="1:24" s="2" customFormat="1" x14ac:dyDescent="0.2">
      <c r="A1562" s="2">
        <v>1562</v>
      </c>
      <c r="B1562" t="s">
        <v>106</v>
      </c>
      <c r="C1562" t="s">
        <v>107</v>
      </c>
      <c r="D1562" t="s">
        <v>2732</v>
      </c>
      <c r="E1562" t="s">
        <v>30</v>
      </c>
      <c r="F1562" t="s">
        <v>24</v>
      </c>
      <c r="G1562" t="s">
        <v>25</v>
      </c>
      <c r="H1562" t="str">
        <f t="shared" si="48"/>
        <v xml:space="preserve">4/4 - GERENCIAMENTO: Rua Conde D’Eu,861 - Alto da Boa Vista 4/4 | Recorrência: | Observações: </v>
      </c>
      <c r="I1562" t="s">
        <v>491</v>
      </c>
      <c r="J1562" s="4">
        <v>4000</v>
      </c>
      <c r="K1562" s="4">
        <v>778011.16</v>
      </c>
      <c r="L1562" t="s">
        <v>2723</v>
      </c>
      <c r="M1562" s="4">
        <v>4000</v>
      </c>
      <c r="N1562" s="3">
        <v>0</v>
      </c>
      <c r="O1562" t="s">
        <v>2731</v>
      </c>
      <c r="P1562" t="s">
        <v>2187</v>
      </c>
      <c r="Q1562" t="s">
        <v>2731</v>
      </c>
      <c r="R1562" t="str">
        <f t="shared" si="49"/>
        <v>Sim</v>
      </c>
      <c r="S1562" t="s">
        <v>2731</v>
      </c>
      <c r="T1562" t="s">
        <v>30</v>
      </c>
      <c r="U1562" t="s">
        <v>274</v>
      </c>
      <c r="V1562" s="3">
        <v>4000</v>
      </c>
      <c r="W1562" t="s">
        <v>1161</v>
      </c>
      <c r="X1562" s="3">
        <v>4000</v>
      </c>
    </row>
    <row r="1563" spans="1:24" s="2" customFormat="1" x14ac:dyDescent="0.2">
      <c r="A1563">
        <v>1563</v>
      </c>
      <c r="B1563" t="s">
        <v>1899</v>
      </c>
      <c r="C1563" t="s">
        <v>1900</v>
      </c>
      <c r="D1563" t="s">
        <v>2733</v>
      </c>
      <c r="E1563" t="s">
        <v>30</v>
      </c>
      <c r="F1563" t="s">
        <v>24</v>
      </c>
      <c r="G1563" t="s">
        <v>25</v>
      </c>
      <c r="H1563" t="str">
        <f t="shared" si="48"/>
        <v xml:space="preserve">RT PROP 357-23 - O PARQUE_DIOGO_DIANA | Recorrência: | Observações: </v>
      </c>
      <c r="I1563" t="s">
        <v>491</v>
      </c>
      <c r="J1563" s="4">
        <v>1134</v>
      </c>
      <c r="K1563" s="4">
        <v>779145.16</v>
      </c>
      <c r="L1563" t="s">
        <v>2723</v>
      </c>
      <c r="M1563" s="4">
        <v>1134</v>
      </c>
      <c r="N1563" s="3">
        <v>0</v>
      </c>
      <c r="O1563" t="s">
        <v>2731</v>
      </c>
      <c r="P1563" t="s">
        <v>2734</v>
      </c>
      <c r="Q1563" t="s">
        <v>2731</v>
      </c>
      <c r="R1563" t="str">
        <f t="shared" si="49"/>
        <v>Sim</v>
      </c>
      <c r="S1563" t="s">
        <v>2731</v>
      </c>
      <c r="T1563" t="s">
        <v>30</v>
      </c>
      <c r="U1563" t="s">
        <v>49</v>
      </c>
      <c r="V1563" s="3">
        <v>1134</v>
      </c>
      <c r="W1563" t="s">
        <v>494</v>
      </c>
      <c r="X1563" s="3">
        <v>1134</v>
      </c>
    </row>
    <row r="1564" spans="1:24" s="2" customFormat="1" x14ac:dyDescent="0.2">
      <c r="A1564" s="2">
        <v>1564</v>
      </c>
      <c r="B1564" t="s">
        <v>647</v>
      </c>
      <c r="C1564" t="s">
        <v>648</v>
      </c>
      <c r="D1564" t="s">
        <v>1556</v>
      </c>
      <c r="E1564" t="s">
        <v>471</v>
      </c>
      <c r="F1564" t="s">
        <v>63</v>
      </c>
      <c r="G1564" t="s">
        <v>25</v>
      </c>
      <c r="H1564" t="str">
        <f t="shared" si="48"/>
        <v xml:space="preserve">DARF PREVIDÊNCIARIO | Recorrência:3/12 | Observações: </v>
      </c>
      <c r="I1564" t="s">
        <v>26</v>
      </c>
      <c r="J1564" s="5">
        <v>-1500</v>
      </c>
      <c r="K1564" s="4">
        <v>777645.16</v>
      </c>
      <c r="L1564" t="s">
        <v>2723</v>
      </c>
      <c r="M1564" s="5">
        <v>-1500</v>
      </c>
      <c r="N1564" s="3">
        <v>0</v>
      </c>
      <c r="O1564" t="s">
        <v>2699</v>
      </c>
      <c r="P1564" t="s">
        <v>2626</v>
      </c>
      <c r="Q1564" t="s">
        <v>2699</v>
      </c>
      <c r="R1564" t="str">
        <f t="shared" si="49"/>
        <v>Sim</v>
      </c>
      <c r="S1564" t="s">
        <v>2699</v>
      </c>
      <c r="T1564" t="s">
        <v>30</v>
      </c>
      <c r="U1564" t="s">
        <v>601</v>
      </c>
      <c r="V1564" s="3">
        <v>-1500</v>
      </c>
      <c r="W1564" t="s">
        <v>376</v>
      </c>
      <c r="X1564" s="3">
        <v>-1500</v>
      </c>
    </row>
    <row r="1565" spans="1:24" s="2" customFormat="1" x14ac:dyDescent="0.2">
      <c r="A1565">
        <v>1565</v>
      </c>
      <c r="B1565" t="s">
        <v>2735</v>
      </c>
      <c r="C1565" t="s">
        <v>2736</v>
      </c>
      <c r="D1565" t="s">
        <v>2737</v>
      </c>
      <c r="E1565" t="s">
        <v>30</v>
      </c>
      <c r="F1565" t="s">
        <v>24</v>
      </c>
      <c r="G1565" t="s">
        <v>25</v>
      </c>
      <c r="H1565" t="str">
        <f t="shared" si="48"/>
        <v>1/4 - PROJETO  RICARDO JUAN E LILI 1/4 | Recorrência: | Observações: CPF não pertence ao cliente &gt; foi gerado no site para realização do caadastro 
https://www.geradordecpf.org/</v>
      </c>
      <c r="I1565" t="s">
        <v>491</v>
      </c>
      <c r="J1565" s="4">
        <v>6750</v>
      </c>
      <c r="K1565" s="4">
        <v>784395.16</v>
      </c>
      <c r="L1565" t="s">
        <v>2723</v>
      </c>
      <c r="M1565" s="4">
        <v>6750</v>
      </c>
      <c r="N1565" s="3">
        <v>0</v>
      </c>
      <c r="O1565" t="s">
        <v>2699</v>
      </c>
      <c r="P1565" t="s">
        <v>2707</v>
      </c>
      <c r="Q1565" t="s">
        <v>2699</v>
      </c>
      <c r="R1565" t="str">
        <f t="shared" si="49"/>
        <v>Sim</v>
      </c>
      <c r="S1565" t="s">
        <v>2699</v>
      </c>
      <c r="T1565" t="s">
        <v>2738</v>
      </c>
      <c r="U1565" t="s">
        <v>31</v>
      </c>
      <c r="V1565" s="3">
        <v>6750</v>
      </c>
      <c r="W1565" t="s">
        <v>32</v>
      </c>
      <c r="X1565" s="3">
        <v>6750</v>
      </c>
    </row>
    <row r="1566" spans="1:24" s="2" customFormat="1" x14ac:dyDescent="0.2">
      <c r="A1566" s="2">
        <v>1566</v>
      </c>
      <c r="B1566" t="s">
        <v>2115</v>
      </c>
      <c r="C1566" t="s">
        <v>2116</v>
      </c>
      <c r="D1566" t="s">
        <v>2739</v>
      </c>
      <c r="E1566" t="s">
        <v>30</v>
      </c>
      <c r="F1566" t="s">
        <v>63</v>
      </c>
      <c r="G1566" t="s">
        <v>25</v>
      </c>
      <c r="H1566" t="str">
        <f t="shared" si="48"/>
        <v xml:space="preserve">TERAPLUS SERVIÇOS DE INFORMÁTICA | Recorrência: | Observações: </v>
      </c>
      <c r="I1566" t="s">
        <v>26</v>
      </c>
      <c r="J1566" s="5">
        <v>-190</v>
      </c>
      <c r="K1566" s="4">
        <v>784205.16</v>
      </c>
      <c r="L1566" t="s">
        <v>2723</v>
      </c>
      <c r="M1566" s="5">
        <v>-190</v>
      </c>
      <c r="N1566" s="3">
        <v>0</v>
      </c>
      <c r="O1566" t="s">
        <v>2699</v>
      </c>
      <c r="P1566" t="s">
        <v>2720</v>
      </c>
      <c r="Q1566" t="s">
        <v>2699</v>
      </c>
      <c r="R1566" t="str">
        <f t="shared" si="49"/>
        <v>Sim</v>
      </c>
      <c r="S1566" t="s">
        <v>2699</v>
      </c>
      <c r="T1566" t="s">
        <v>30</v>
      </c>
      <c r="U1566" t="s">
        <v>344</v>
      </c>
      <c r="V1566" s="3">
        <v>-190</v>
      </c>
      <c r="W1566" t="s">
        <v>2740</v>
      </c>
      <c r="X1566" s="3">
        <v>-190</v>
      </c>
    </row>
    <row r="1567" spans="1:24" s="2" customFormat="1" x14ac:dyDescent="0.2">
      <c r="A1567">
        <v>1567</v>
      </c>
      <c r="B1567" t="s">
        <v>1509</v>
      </c>
      <c r="C1567" t="s">
        <v>1510</v>
      </c>
      <c r="D1567" t="s">
        <v>2742</v>
      </c>
      <c r="E1567" t="s">
        <v>30</v>
      </c>
      <c r="F1567" t="s">
        <v>24</v>
      </c>
      <c r="G1567" t="s">
        <v>25</v>
      </c>
      <c r="H1567" t="str">
        <f t="shared" si="48"/>
        <v xml:space="preserve">1/4 - GERENCIAMENTO &gt; Contrato: Salão de Festa_Churrasqueira_Hall Social  1/4 | Recorrência: | Observações: </v>
      </c>
      <c r="I1567" t="s">
        <v>991</v>
      </c>
      <c r="J1567" s="4">
        <v>2000</v>
      </c>
      <c r="K1567" s="4">
        <v>786205.16</v>
      </c>
      <c r="L1567" t="s">
        <v>2723</v>
      </c>
      <c r="M1567" s="4">
        <v>2000</v>
      </c>
      <c r="N1567" s="3">
        <v>0</v>
      </c>
      <c r="O1567" t="s">
        <v>2741</v>
      </c>
      <c r="P1567" t="s">
        <v>2020</v>
      </c>
      <c r="Q1567" t="s">
        <v>2741</v>
      </c>
      <c r="R1567" t="str">
        <f t="shared" si="49"/>
        <v>Sim</v>
      </c>
      <c r="S1567" t="s">
        <v>2741</v>
      </c>
      <c r="T1567" t="s">
        <v>30</v>
      </c>
      <c r="U1567" t="s">
        <v>274</v>
      </c>
      <c r="V1567" s="3">
        <v>2000</v>
      </c>
      <c r="W1567" t="s">
        <v>166</v>
      </c>
      <c r="X1567" s="3">
        <v>2000</v>
      </c>
    </row>
    <row r="1568" spans="1:24" s="2" customFormat="1" x14ac:dyDescent="0.2">
      <c r="A1568" s="2">
        <v>1568</v>
      </c>
      <c r="B1568" t="s">
        <v>1509</v>
      </c>
      <c r="C1568" t="s">
        <v>1510</v>
      </c>
      <c r="D1568" t="s">
        <v>2743</v>
      </c>
      <c r="E1568" t="s">
        <v>30</v>
      </c>
      <c r="F1568" t="s">
        <v>24</v>
      </c>
      <c r="G1568" t="s">
        <v>25</v>
      </c>
      <c r="H1568" t="str">
        <f t="shared" si="48"/>
        <v xml:space="preserve">3/4 - GERENCIAMENTO &gt; Contrato: Salão de Festa_Churrasqueira_Hall Social  3/4 | Recorrência: | Observações: </v>
      </c>
      <c r="I1568" t="s">
        <v>991</v>
      </c>
      <c r="J1568" s="4">
        <v>2000</v>
      </c>
      <c r="K1568" s="4">
        <v>788205.16</v>
      </c>
      <c r="L1568" t="s">
        <v>2723</v>
      </c>
      <c r="M1568" s="4">
        <v>2000</v>
      </c>
      <c r="N1568" s="3">
        <v>0</v>
      </c>
      <c r="O1568" t="s">
        <v>2741</v>
      </c>
      <c r="P1568" t="s">
        <v>2020</v>
      </c>
      <c r="Q1568" t="s">
        <v>2741</v>
      </c>
      <c r="R1568" t="str">
        <f t="shared" si="49"/>
        <v>Sim</v>
      </c>
      <c r="S1568" t="s">
        <v>2741</v>
      </c>
      <c r="T1568" t="s">
        <v>30</v>
      </c>
      <c r="U1568" t="s">
        <v>274</v>
      </c>
      <c r="V1568" s="3">
        <v>2000</v>
      </c>
      <c r="W1568" t="s">
        <v>166</v>
      </c>
      <c r="X1568" s="3">
        <v>2000</v>
      </c>
    </row>
    <row r="1569" spans="1:24" s="2" customFormat="1" x14ac:dyDescent="0.2">
      <c r="A1569">
        <v>1569</v>
      </c>
      <c r="B1569" t="s">
        <v>1509</v>
      </c>
      <c r="C1569" t="s">
        <v>1510</v>
      </c>
      <c r="D1569" t="s">
        <v>2744</v>
      </c>
      <c r="E1569" t="s">
        <v>30</v>
      </c>
      <c r="F1569" t="s">
        <v>24</v>
      </c>
      <c r="G1569" t="s">
        <v>25</v>
      </c>
      <c r="H1569" t="str">
        <f t="shared" si="48"/>
        <v xml:space="preserve">1/4 - GERENCIAMENTO &gt; Contrato: Salão de Jogos_Academia 1/4 | Recorrência: | Observações: </v>
      </c>
      <c r="I1569" t="s">
        <v>991</v>
      </c>
      <c r="J1569" s="4">
        <v>500</v>
      </c>
      <c r="K1569" s="4">
        <v>788705.16</v>
      </c>
      <c r="L1569" t="s">
        <v>2723</v>
      </c>
      <c r="M1569" s="4">
        <v>500</v>
      </c>
      <c r="N1569" s="3">
        <v>0</v>
      </c>
      <c r="O1569" t="s">
        <v>2741</v>
      </c>
      <c r="P1569" t="s">
        <v>2020</v>
      </c>
      <c r="Q1569" t="s">
        <v>2741</v>
      </c>
      <c r="R1569" t="str">
        <f t="shared" si="49"/>
        <v>Sim</v>
      </c>
      <c r="S1569" t="s">
        <v>2741</v>
      </c>
      <c r="T1569" t="s">
        <v>30</v>
      </c>
      <c r="U1569" t="s">
        <v>274</v>
      </c>
      <c r="V1569" s="3">
        <v>500</v>
      </c>
      <c r="W1569" t="s">
        <v>166</v>
      </c>
      <c r="X1569" s="3">
        <v>500</v>
      </c>
    </row>
    <row r="1570" spans="1:24" s="2" customFormat="1" x14ac:dyDescent="0.2">
      <c r="A1570" s="2">
        <v>1570</v>
      </c>
      <c r="B1570" t="s">
        <v>1373</v>
      </c>
      <c r="C1570" t="s">
        <v>1374</v>
      </c>
      <c r="D1570" t="s">
        <v>2746</v>
      </c>
      <c r="E1570" t="s">
        <v>30</v>
      </c>
      <c r="F1570" t="s">
        <v>24</v>
      </c>
      <c r="G1570" t="s">
        <v>25</v>
      </c>
      <c r="H1570" t="str">
        <f t="shared" si="48"/>
        <v xml:space="preserve">3/4 - GERENCIAMENTO AIR BROOKLIN - 02 STUDIOS 3/4 | Recorrência: | Observações: </v>
      </c>
      <c r="I1570" t="s">
        <v>491</v>
      </c>
      <c r="J1570" s="4">
        <v>3000</v>
      </c>
      <c r="K1570" s="4">
        <v>791705.16</v>
      </c>
      <c r="L1570" t="s">
        <v>2723</v>
      </c>
      <c r="M1570" s="4">
        <v>3000</v>
      </c>
      <c r="N1570" s="3">
        <v>0</v>
      </c>
      <c r="O1570" t="s">
        <v>2745</v>
      </c>
      <c r="P1570" t="s">
        <v>2268</v>
      </c>
      <c r="Q1570" t="s">
        <v>2745</v>
      </c>
      <c r="R1570" t="str">
        <f t="shared" si="49"/>
        <v>Sim</v>
      </c>
      <c r="S1570" t="s">
        <v>2745</v>
      </c>
      <c r="T1570" t="s">
        <v>30</v>
      </c>
      <c r="U1570" t="s">
        <v>274</v>
      </c>
      <c r="V1570" s="3">
        <v>3000</v>
      </c>
      <c r="W1570" t="s">
        <v>166</v>
      </c>
      <c r="X1570" s="3">
        <v>3000</v>
      </c>
    </row>
    <row r="1571" spans="1:24" s="2" customFormat="1" x14ac:dyDescent="0.2">
      <c r="A1571">
        <v>1571</v>
      </c>
      <c r="B1571" t="s">
        <v>1195</v>
      </c>
      <c r="C1571" t="s">
        <v>1196</v>
      </c>
      <c r="D1571" t="s">
        <v>2748</v>
      </c>
      <c r="E1571" t="s">
        <v>30</v>
      </c>
      <c r="F1571" t="s">
        <v>24</v>
      </c>
      <c r="G1571" t="s">
        <v>25</v>
      </c>
      <c r="H1571" t="str">
        <f t="shared" si="48"/>
        <v xml:space="preserve">RT PEDIDO 38429-COMPRA 034756 - FARIZE | Recorrência: | Observações: </v>
      </c>
      <c r="I1571" t="s">
        <v>491</v>
      </c>
      <c r="J1571" s="4">
        <v>1482.62</v>
      </c>
      <c r="K1571" s="4">
        <v>793187.78</v>
      </c>
      <c r="L1571" t="s">
        <v>2723</v>
      </c>
      <c r="M1571" s="4">
        <v>1482.62</v>
      </c>
      <c r="N1571" s="3">
        <v>0</v>
      </c>
      <c r="O1571" t="s">
        <v>2747</v>
      </c>
      <c r="P1571" t="s">
        <v>2716</v>
      </c>
      <c r="Q1571" t="s">
        <v>2747</v>
      </c>
      <c r="R1571" t="str">
        <f t="shared" si="49"/>
        <v>Sim</v>
      </c>
      <c r="S1571" t="s">
        <v>2747</v>
      </c>
      <c r="T1571" t="s">
        <v>30</v>
      </c>
      <c r="U1571" t="s">
        <v>49</v>
      </c>
      <c r="V1571" s="3">
        <v>1482.62</v>
      </c>
      <c r="W1571" t="s">
        <v>494</v>
      </c>
      <c r="X1571" s="3">
        <v>1482.62</v>
      </c>
    </row>
    <row r="1572" spans="1:24" s="2" customFormat="1" x14ac:dyDescent="0.2">
      <c r="A1572" s="2">
        <v>1572</v>
      </c>
      <c r="B1572"/>
      <c r="C1572" t="s">
        <v>153</v>
      </c>
      <c r="D1572" t="s">
        <v>2750</v>
      </c>
      <c r="E1572" t="s">
        <v>30</v>
      </c>
      <c r="F1572" t="s">
        <v>63</v>
      </c>
      <c r="G1572" t="s">
        <v>25</v>
      </c>
      <c r="H1572" t="str">
        <f t="shared" si="48"/>
        <v xml:space="preserve">3/11 - SODEXO - ELIANE 3/12 | Recorrência: | Observações: </v>
      </c>
      <c r="I1572" t="s">
        <v>755</v>
      </c>
      <c r="J1572" s="5">
        <v>-706</v>
      </c>
      <c r="K1572" s="4">
        <v>792481.78</v>
      </c>
      <c r="L1572" t="s">
        <v>2723</v>
      </c>
      <c r="M1572" s="5">
        <v>-706</v>
      </c>
      <c r="N1572" s="3">
        <v>0</v>
      </c>
      <c r="O1572" t="s">
        <v>2749</v>
      </c>
      <c r="P1572" t="s">
        <v>2536</v>
      </c>
      <c r="Q1572" t="s">
        <v>2749</v>
      </c>
      <c r="R1572" t="str">
        <f t="shared" si="49"/>
        <v>Sim</v>
      </c>
      <c r="S1572" t="s">
        <v>2749</v>
      </c>
      <c r="T1572" t="s">
        <v>30</v>
      </c>
      <c r="U1572" t="s">
        <v>93</v>
      </c>
      <c r="V1572" s="3">
        <v>-706</v>
      </c>
      <c r="W1572" t="s">
        <v>331</v>
      </c>
      <c r="X1572" s="3">
        <v>-706</v>
      </c>
    </row>
    <row r="1573" spans="1:24" s="2" customFormat="1" x14ac:dyDescent="0.2">
      <c r="A1573">
        <v>1573</v>
      </c>
      <c r="B1573" t="s">
        <v>2751</v>
      </c>
      <c r="C1573" t="s">
        <v>2752</v>
      </c>
      <c r="D1573" t="s">
        <v>2753</v>
      </c>
      <c r="E1573" t="s">
        <v>30</v>
      </c>
      <c r="F1573" t="s">
        <v>24</v>
      </c>
      <c r="G1573" t="s">
        <v>25</v>
      </c>
      <c r="H1573" t="str">
        <f t="shared" si="48"/>
        <v xml:space="preserve">RT PEDIDO 3159C - FAUSTO E MARIEL | Recorrência: | Observações: </v>
      </c>
      <c r="I1573" t="s">
        <v>491</v>
      </c>
      <c r="J1573" s="4">
        <v>1779.19</v>
      </c>
      <c r="K1573" s="4">
        <v>794260.97</v>
      </c>
      <c r="L1573" t="s">
        <v>2723</v>
      </c>
      <c r="M1573" s="4">
        <v>1779.19</v>
      </c>
      <c r="N1573" s="3">
        <v>0</v>
      </c>
      <c r="O1573" t="s">
        <v>2749</v>
      </c>
      <c r="P1573" t="s">
        <v>2587</v>
      </c>
      <c r="Q1573" t="s">
        <v>2749</v>
      </c>
      <c r="R1573" t="str">
        <f t="shared" si="49"/>
        <v>Sim</v>
      </c>
      <c r="S1573" t="s">
        <v>2749</v>
      </c>
      <c r="T1573" t="s">
        <v>30</v>
      </c>
      <c r="U1573" t="s">
        <v>49</v>
      </c>
      <c r="V1573" s="3">
        <v>1779.19</v>
      </c>
      <c r="W1573" t="s">
        <v>494</v>
      </c>
      <c r="X1573" s="3">
        <v>1779.19</v>
      </c>
    </row>
    <row r="1574" spans="1:24" s="2" customFormat="1" x14ac:dyDescent="0.2">
      <c r="A1574" s="2">
        <v>1574</v>
      </c>
      <c r="B1574" t="s">
        <v>2754</v>
      </c>
      <c r="C1574" t="s">
        <v>2755</v>
      </c>
      <c r="D1574" t="s">
        <v>2756</v>
      </c>
      <c r="E1574" t="s">
        <v>30</v>
      </c>
      <c r="F1574" t="s">
        <v>24</v>
      </c>
      <c r="G1574" t="s">
        <v>25</v>
      </c>
      <c r="H1574" t="str">
        <f t="shared" si="48"/>
        <v xml:space="preserve">RT PEDIDOS:243850/51/52/53 | Recorrência: | Observações: </v>
      </c>
      <c r="I1574" t="s">
        <v>491</v>
      </c>
      <c r="J1574" s="4">
        <v>725.65</v>
      </c>
      <c r="K1574" s="4">
        <v>794986.62</v>
      </c>
      <c r="L1574" t="s">
        <v>2723</v>
      </c>
      <c r="M1574" s="4">
        <v>725.65</v>
      </c>
      <c r="N1574" s="3">
        <v>0</v>
      </c>
      <c r="O1574" t="s">
        <v>2749</v>
      </c>
      <c r="P1574" t="s">
        <v>2610</v>
      </c>
      <c r="Q1574" t="s">
        <v>2749</v>
      </c>
      <c r="R1574" t="str">
        <f t="shared" si="49"/>
        <v>Sim</v>
      </c>
      <c r="S1574" t="s">
        <v>2749</v>
      </c>
      <c r="T1574" t="s">
        <v>30</v>
      </c>
      <c r="U1574" t="s">
        <v>49</v>
      </c>
      <c r="V1574" s="3">
        <v>725.65</v>
      </c>
      <c r="W1574" t="s">
        <v>494</v>
      </c>
      <c r="X1574" s="3">
        <v>725.65</v>
      </c>
    </row>
    <row r="1575" spans="1:24" s="2" customFormat="1" x14ac:dyDescent="0.2">
      <c r="A1575">
        <v>1575</v>
      </c>
      <c r="B1575" t="s">
        <v>1607</v>
      </c>
      <c r="C1575" t="s">
        <v>1608</v>
      </c>
      <c r="D1575" t="s">
        <v>2757</v>
      </c>
      <c r="E1575" t="s">
        <v>30</v>
      </c>
      <c r="F1575" t="s">
        <v>24</v>
      </c>
      <c r="G1575" t="s">
        <v>25</v>
      </c>
      <c r="H1575" t="str">
        <f t="shared" si="48"/>
        <v xml:space="preserve">1/2 - RT - O PARQUE_DIOGO_DIANA 1/2 | Recorrência: | Observações: </v>
      </c>
      <c r="I1575" t="s">
        <v>491</v>
      </c>
      <c r="J1575" s="4">
        <v>125.25</v>
      </c>
      <c r="K1575" s="4">
        <v>795111.87</v>
      </c>
      <c r="L1575" t="s">
        <v>2723</v>
      </c>
      <c r="M1575" s="4">
        <v>125.25</v>
      </c>
      <c r="N1575" s="3">
        <v>0</v>
      </c>
      <c r="O1575" t="s">
        <v>2749</v>
      </c>
      <c r="P1575" t="s">
        <v>2716</v>
      </c>
      <c r="Q1575" t="s">
        <v>2749</v>
      </c>
      <c r="R1575" t="str">
        <f t="shared" si="49"/>
        <v>Sim</v>
      </c>
      <c r="S1575" t="s">
        <v>2749</v>
      </c>
      <c r="T1575" t="s">
        <v>30</v>
      </c>
      <c r="U1575" t="s">
        <v>49</v>
      </c>
      <c r="V1575" s="3">
        <v>125.25</v>
      </c>
      <c r="W1575" t="s">
        <v>494</v>
      </c>
      <c r="X1575" s="3">
        <v>125.25</v>
      </c>
    </row>
    <row r="1576" spans="1:24" s="2" customFormat="1" x14ac:dyDescent="0.2">
      <c r="A1576" s="2">
        <v>1576</v>
      </c>
      <c r="B1576"/>
      <c r="C1576" t="s">
        <v>828</v>
      </c>
      <c r="D1576" t="s">
        <v>830</v>
      </c>
      <c r="E1576" t="s">
        <v>2759</v>
      </c>
      <c r="F1576" t="s">
        <v>63</v>
      </c>
      <c r="G1576" t="s">
        <v>25</v>
      </c>
      <c r="H1576" t="str">
        <f t="shared" si="48"/>
        <v xml:space="preserve">PREFEITURA DO MUNICIPIO DE BERTIOGA | Recorrência:25/41 | Observações: REF.02 PAGAMENTOS </v>
      </c>
      <c r="I1576" t="s">
        <v>26</v>
      </c>
      <c r="J1576" s="5">
        <v>-228.16</v>
      </c>
      <c r="K1576" s="4">
        <v>794883.71</v>
      </c>
      <c r="L1576" t="s">
        <v>2723</v>
      </c>
      <c r="M1576" s="5">
        <v>-228.16</v>
      </c>
      <c r="N1576" s="3">
        <v>0</v>
      </c>
      <c r="O1576" t="s">
        <v>2758</v>
      </c>
      <c r="P1576" t="s">
        <v>2760</v>
      </c>
      <c r="Q1576" t="s">
        <v>2758</v>
      </c>
      <c r="R1576" t="str">
        <f t="shared" si="49"/>
        <v>Sim</v>
      </c>
      <c r="S1576" t="s">
        <v>2758</v>
      </c>
      <c r="T1576" t="s">
        <v>831</v>
      </c>
      <c r="U1576" t="s">
        <v>832</v>
      </c>
      <c r="V1576" s="3">
        <v>-228.16</v>
      </c>
    </row>
    <row r="1577" spans="1:24" s="2" customFormat="1" x14ac:dyDescent="0.2">
      <c r="A1577">
        <v>1577</v>
      </c>
      <c r="B1577"/>
      <c r="C1577" t="s">
        <v>153</v>
      </c>
      <c r="D1577" t="s">
        <v>2761</v>
      </c>
      <c r="E1577" t="s">
        <v>30</v>
      </c>
      <c r="F1577" t="s">
        <v>63</v>
      </c>
      <c r="G1577" t="s">
        <v>25</v>
      </c>
      <c r="H1577" t="str">
        <f t="shared" si="48"/>
        <v xml:space="preserve">4/13 - SALÁRIO - JULYA FIGUEIREDO - COORDENADORA 4/13 | Recorrência: | Observações: </v>
      </c>
      <c r="I1577" t="s">
        <v>491</v>
      </c>
      <c r="J1577" s="5">
        <v>-4500</v>
      </c>
      <c r="K1577" s="4">
        <v>790383.71</v>
      </c>
      <c r="L1577" t="s">
        <v>2723</v>
      </c>
      <c r="M1577" s="5">
        <v>-4500</v>
      </c>
      <c r="N1577" s="3">
        <v>0</v>
      </c>
      <c r="O1577" t="s">
        <v>2758</v>
      </c>
      <c r="P1577" t="s">
        <v>2418</v>
      </c>
      <c r="Q1577" t="s">
        <v>2758</v>
      </c>
      <c r="R1577" t="str">
        <f t="shared" si="49"/>
        <v>Sim</v>
      </c>
      <c r="S1577" t="s">
        <v>2758</v>
      </c>
      <c r="T1577" t="s">
        <v>30</v>
      </c>
      <c r="U1577" t="s">
        <v>323</v>
      </c>
      <c r="V1577" s="3">
        <v>-4500</v>
      </c>
      <c r="W1577" t="s">
        <v>1164</v>
      </c>
      <c r="X1577" s="3">
        <v>-4500</v>
      </c>
    </row>
    <row r="1578" spans="1:24" s="2" customFormat="1" x14ac:dyDescent="0.2">
      <c r="A1578" s="2">
        <v>1578</v>
      </c>
      <c r="B1578"/>
      <c r="C1578" t="s">
        <v>153</v>
      </c>
      <c r="D1578" t="s">
        <v>2762</v>
      </c>
      <c r="E1578" t="s">
        <v>30</v>
      </c>
      <c r="F1578" t="s">
        <v>63</v>
      </c>
      <c r="G1578" t="s">
        <v>25</v>
      </c>
      <c r="H1578" t="str">
        <f t="shared" si="48"/>
        <v xml:space="preserve">3/12 - DIÁRIAS JULIANA SOARES_referente a março  3/12 | Recorrência: | Observações: </v>
      </c>
      <c r="I1578" t="s">
        <v>1113</v>
      </c>
      <c r="J1578" s="5">
        <v>-480</v>
      </c>
      <c r="K1578" s="4">
        <v>789903.71</v>
      </c>
      <c r="L1578" t="s">
        <v>2723</v>
      </c>
      <c r="M1578" s="5">
        <v>-480</v>
      </c>
      <c r="N1578" s="3">
        <v>0</v>
      </c>
      <c r="O1578" t="s">
        <v>2758</v>
      </c>
      <c r="P1578" t="s">
        <v>2481</v>
      </c>
      <c r="Q1578" t="s">
        <v>2758</v>
      </c>
      <c r="R1578" t="str">
        <f t="shared" si="49"/>
        <v>Sim</v>
      </c>
      <c r="S1578" t="s">
        <v>2758</v>
      </c>
      <c r="T1578" t="s">
        <v>30</v>
      </c>
      <c r="U1578" t="s">
        <v>691</v>
      </c>
      <c r="V1578" s="3">
        <v>-480</v>
      </c>
      <c r="W1578" t="s">
        <v>1722</v>
      </c>
      <c r="X1578" s="3">
        <v>-480</v>
      </c>
    </row>
    <row r="1579" spans="1:24" s="2" customFormat="1" x14ac:dyDescent="0.2">
      <c r="A1579">
        <v>1579</v>
      </c>
      <c r="B1579"/>
      <c r="C1579" t="s">
        <v>153</v>
      </c>
      <c r="D1579" t="s">
        <v>2763</v>
      </c>
      <c r="E1579" t="s">
        <v>30</v>
      </c>
      <c r="F1579" t="s">
        <v>63</v>
      </c>
      <c r="G1579" t="s">
        <v>25</v>
      </c>
      <c r="H1579" t="str">
        <f t="shared" si="48"/>
        <v xml:space="preserve">3/12 - ELIANE - VALE TRANSPORTE MÊS DE ABRIL 3/12 | Recorrência: | Observações: </v>
      </c>
      <c r="I1579" t="s">
        <v>491</v>
      </c>
      <c r="J1579" s="5">
        <v>-420</v>
      </c>
      <c r="K1579" s="4">
        <v>789483.71</v>
      </c>
      <c r="L1579" t="s">
        <v>2723</v>
      </c>
      <c r="M1579" s="5">
        <v>-420</v>
      </c>
      <c r="N1579" s="3">
        <v>0</v>
      </c>
      <c r="O1579" t="s">
        <v>2758</v>
      </c>
      <c r="P1579" t="s">
        <v>2578</v>
      </c>
      <c r="Q1579" t="s">
        <v>2758</v>
      </c>
      <c r="R1579" t="str">
        <f t="shared" si="49"/>
        <v>Sim</v>
      </c>
      <c r="S1579" t="s">
        <v>2758</v>
      </c>
      <c r="T1579" t="s">
        <v>30</v>
      </c>
      <c r="U1579" t="s">
        <v>662</v>
      </c>
      <c r="V1579" s="3">
        <v>-420</v>
      </c>
      <c r="W1579" t="s">
        <v>698</v>
      </c>
      <c r="X1579" s="3">
        <v>-420</v>
      </c>
    </row>
    <row r="1580" spans="1:24" s="2" customFormat="1" x14ac:dyDescent="0.2">
      <c r="A1580" s="2">
        <v>1580</v>
      </c>
      <c r="B1580" t="s">
        <v>2237</v>
      </c>
      <c r="C1580" t="s">
        <v>2238</v>
      </c>
      <c r="D1580" t="s">
        <v>2765</v>
      </c>
      <c r="E1580" t="s">
        <v>30</v>
      </c>
      <c r="F1580" t="s">
        <v>24</v>
      </c>
      <c r="G1580" t="s">
        <v>25</v>
      </c>
      <c r="H1580" t="str">
        <f t="shared" si="48"/>
        <v xml:space="preserve">2/5 - GERENCIAMENTO  2/5 | Recorrência: | Observações: </v>
      </c>
      <c r="I1580" t="s">
        <v>491</v>
      </c>
      <c r="J1580" s="4">
        <v>4000</v>
      </c>
      <c r="K1580" s="4">
        <v>793483.71</v>
      </c>
      <c r="L1580" t="s">
        <v>2723</v>
      </c>
      <c r="M1580" s="4">
        <v>4000</v>
      </c>
      <c r="N1580" s="3">
        <v>0</v>
      </c>
      <c r="O1580" t="s">
        <v>2764</v>
      </c>
      <c r="P1580" t="s">
        <v>2212</v>
      </c>
      <c r="Q1580" t="s">
        <v>2764</v>
      </c>
      <c r="R1580" t="str">
        <f t="shared" si="49"/>
        <v>Sim</v>
      </c>
      <c r="S1580" t="s">
        <v>2764</v>
      </c>
      <c r="T1580" t="s">
        <v>30</v>
      </c>
      <c r="U1580" t="s">
        <v>274</v>
      </c>
      <c r="V1580" s="3">
        <v>4000</v>
      </c>
      <c r="W1580" t="s">
        <v>166</v>
      </c>
      <c r="X1580" s="3">
        <v>4000</v>
      </c>
    </row>
    <row r="1581" spans="1:24" s="2" customFormat="1" x14ac:dyDescent="0.2">
      <c r="A1581">
        <v>1581</v>
      </c>
      <c r="B1581"/>
      <c r="C1581" t="s">
        <v>153</v>
      </c>
      <c r="D1581" t="s">
        <v>2766</v>
      </c>
      <c r="E1581" t="s">
        <v>30</v>
      </c>
      <c r="F1581" t="s">
        <v>63</v>
      </c>
      <c r="G1581" t="s">
        <v>25</v>
      </c>
      <c r="H1581" t="str">
        <f t="shared" si="48"/>
        <v xml:space="preserve">4/12 - PRÓ LABORE MAYARA CLA 4/13 | Recorrência: | Observações: </v>
      </c>
      <c r="I1581" t="s">
        <v>991</v>
      </c>
      <c r="J1581" s="5">
        <v>-20000</v>
      </c>
      <c r="K1581" s="4">
        <v>773483.71</v>
      </c>
      <c r="L1581" t="s">
        <v>2723</v>
      </c>
      <c r="M1581" s="5">
        <v>-20000</v>
      </c>
      <c r="N1581" s="3">
        <v>0</v>
      </c>
      <c r="O1581" t="s">
        <v>2764</v>
      </c>
      <c r="P1581" t="s">
        <v>2261</v>
      </c>
      <c r="Q1581" t="s">
        <v>2764</v>
      </c>
      <c r="R1581" t="str">
        <f t="shared" si="49"/>
        <v>Sim</v>
      </c>
      <c r="S1581" t="s">
        <v>2764</v>
      </c>
      <c r="T1581" t="s">
        <v>30</v>
      </c>
      <c r="U1581" t="s">
        <v>323</v>
      </c>
      <c r="V1581" s="3">
        <v>-20000</v>
      </c>
      <c r="W1581" t="s">
        <v>1164</v>
      </c>
      <c r="X1581" s="3">
        <v>-20000</v>
      </c>
    </row>
    <row r="1582" spans="1:24" s="2" customFormat="1" x14ac:dyDescent="0.2">
      <c r="A1582" s="2">
        <v>1582</v>
      </c>
      <c r="B1582"/>
      <c r="C1582" t="s">
        <v>153</v>
      </c>
      <c r="D1582" t="s">
        <v>2767</v>
      </c>
      <c r="E1582" t="s">
        <v>30</v>
      </c>
      <c r="F1582" t="s">
        <v>63</v>
      </c>
      <c r="G1582" t="s">
        <v>25</v>
      </c>
      <c r="H1582" t="str">
        <f t="shared" si="48"/>
        <v xml:space="preserve">4/12 - PRÓ LABORE NATASHA  4/13 | Recorrência: | Observações: </v>
      </c>
      <c r="I1582" t="s">
        <v>991</v>
      </c>
      <c r="J1582" s="5">
        <v>-20000</v>
      </c>
      <c r="K1582" s="4">
        <v>753483.71</v>
      </c>
      <c r="L1582" t="s">
        <v>2723</v>
      </c>
      <c r="M1582" s="5">
        <v>-20000</v>
      </c>
      <c r="N1582" s="3">
        <v>0</v>
      </c>
      <c r="O1582" t="s">
        <v>2764</v>
      </c>
      <c r="P1582" t="s">
        <v>2261</v>
      </c>
      <c r="Q1582" t="s">
        <v>2764</v>
      </c>
      <c r="R1582" t="str">
        <f t="shared" si="49"/>
        <v>Sim</v>
      </c>
      <c r="S1582" t="s">
        <v>2764</v>
      </c>
      <c r="T1582" t="s">
        <v>30</v>
      </c>
      <c r="U1582" t="s">
        <v>323</v>
      </c>
      <c r="V1582" s="3">
        <v>-20000</v>
      </c>
      <c r="W1582" t="s">
        <v>1164</v>
      </c>
      <c r="X1582" s="3">
        <v>-20000</v>
      </c>
    </row>
    <row r="1583" spans="1:24" s="2" customFormat="1" x14ac:dyDescent="0.2">
      <c r="A1583">
        <v>1583</v>
      </c>
      <c r="B1583"/>
      <c r="C1583" t="s">
        <v>153</v>
      </c>
      <c r="D1583" t="s">
        <v>2768</v>
      </c>
      <c r="E1583" t="s">
        <v>30</v>
      </c>
      <c r="F1583" t="s">
        <v>63</v>
      </c>
      <c r="G1583" t="s">
        <v>25</v>
      </c>
      <c r="H1583" t="str">
        <f t="shared" si="48"/>
        <v xml:space="preserve">4/12 - SALÁRIO ELIANE  4/12 | Recorrência: | Observações: </v>
      </c>
      <c r="I1583" t="s">
        <v>491</v>
      </c>
      <c r="J1583" s="5">
        <v>-1700</v>
      </c>
      <c r="K1583" s="4">
        <v>751783.71</v>
      </c>
      <c r="L1583" t="s">
        <v>2723</v>
      </c>
      <c r="M1583" s="5">
        <v>-1700</v>
      </c>
      <c r="N1583" s="3">
        <v>0</v>
      </c>
      <c r="O1583" t="s">
        <v>2764</v>
      </c>
      <c r="P1583" t="s">
        <v>2261</v>
      </c>
      <c r="Q1583" t="s">
        <v>2764</v>
      </c>
      <c r="R1583" t="str">
        <f t="shared" si="49"/>
        <v>Sim</v>
      </c>
      <c r="S1583" t="s">
        <v>2764</v>
      </c>
      <c r="T1583" t="s">
        <v>30</v>
      </c>
      <c r="U1583" t="s">
        <v>323</v>
      </c>
      <c r="V1583" s="3">
        <v>-1700</v>
      </c>
      <c r="W1583" t="s">
        <v>1164</v>
      </c>
      <c r="X1583" s="3">
        <v>-1700</v>
      </c>
    </row>
    <row r="1584" spans="1:24" s="2" customFormat="1" x14ac:dyDescent="0.2">
      <c r="A1584" s="2">
        <v>1584</v>
      </c>
      <c r="B1584"/>
      <c r="C1584" t="s">
        <v>153</v>
      </c>
      <c r="D1584" t="s">
        <v>2769</v>
      </c>
      <c r="E1584" t="s">
        <v>30</v>
      </c>
      <c r="F1584" t="s">
        <v>63</v>
      </c>
      <c r="G1584" t="s">
        <v>25</v>
      </c>
      <c r="H1584" t="str">
        <f t="shared" si="48"/>
        <v xml:space="preserve">4/12 - SALÁRIO MAYARA OLIVEIRA  4/12 | Recorrência: | Observações: </v>
      </c>
      <c r="I1584" t="s">
        <v>491</v>
      </c>
      <c r="J1584" s="5">
        <v>-3200</v>
      </c>
      <c r="K1584" s="4">
        <v>748583.71</v>
      </c>
      <c r="L1584" t="s">
        <v>2723</v>
      </c>
      <c r="M1584" s="5">
        <v>-3200</v>
      </c>
      <c r="N1584" s="3">
        <v>0</v>
      </c>
      <c r="O1584" t="s">
        <v>2764</v>
      </c>
      <c r="P1584" t="s">
        <v>2261</v>
      </c>
      <c r="Q1584" t="s">
        <v>2764</v>
      </c>
      <c r="R1584" t="str">
        <f t="shared" si="49"/>
        <v>Sim</v>
      </c>
      <c r="S1584" t="s">
        <v>2764</v>
      </c>
      <c r="T1584" t="s">
        <v>30</v>
      </c>
      <c r="U1584" t="s">
        <v>323</v>
      </c>
      <c r="V1584" s="3">
        <v>-3200</v>
      </c>
      <c r="W1584" t="s">
        <v>1164</v>
      </c>
      <c r="X1584" s="3">
        <v>-3200</v>
      </c>
    </row>
    <row r="1585" spans="1:24" s="2" customFormat="1" x14ac:dyDescent="0.2">
      <c r="A1585">
        <v>1585</v>
      </c>
      <c r="B1585" t="s">
        <v>2265</v>
      </c>
      <c r="C1585" t="s">
        <v>2266</v>
      </c>
      <c r="D1585" t="s">
        <v>2770</v>
      </c>
      <c r="E1585" t="s">
        <v>30</v>
      </c>
      <c r="F1585" t="s">
        <v>24</v>
      </c>
      <c r="G1585" t="s">
        <v>25</v>
      </c>
      <c r="H1585" t="str">
        <f t="shared" si="48"/>
        <v xml:space="preserve">3/5 - GERENCIAMENTO - GABRIELA BROSCO E DANIEL  3/5 | Recorrência: | Observações: </v>
      </c>
      <c r="I1585" t="s">
        <v>991</v>
      </c>
      <c r="J1585" s="4">
        <v>3000</v>
      </c>
      <c r="K1585" s="4">
        <v>751583.71</v>
      </c>
      <c r="L1585" t="s">
        <v>2723</v>
      </c>
      <c r="M1585" s="4">
        <v>3000</v>
      </c>
      <c r="N1585" s="3">
        <v>0</v>
      </c>
      <c r="O1585" t="s">
        <v>2764</v>
      </c>
      <c r="P1585" t="s">
        <v>2268</v>
      </c>
      <c r="Q1585" t="s">
        <v>2764</v>
      </c>
      <c r="R1585" t="str">
        <f t="shared" si="49"/>
        <v>Sim</v>
      </c>
      <c r="S1585" t="s">
        <v>2764</v>
      </c>
      <c r="T1585" t="s">
        <v>30</v>
      </c>
      <c r="U1585" t="s">
        <v>274</v>
      </c>
      <c r="V1585" s="3">
        <v>3000</v>
      </c>
      <c r="W1585" t="s">
        <v>166</v>
      </c>
      <c r="X1585" s="3">
        <v>3000</v>
      </c>
    </row>
    <row r="1586" spans="1:24" s="2" customFormat="1" x14ac:dyDescent="0.2">
      <c r="A1586" s="2">
        <v>1586</v>
      </c>
      <c r="B1586"/>
      <c r="C1586" t="s">
        <v>710</v>
      </c>
      <c r="D1586" t="s">
        <v>2771</v>
      </c>
      <c r="E1586" t="s">
        <v>30</v>
      </c>
      <c r="F1586" t="s">
        <v>63</v>
      </c>
      <c r="G1586" t="s">
        <v>25</v>
      </c>
      <c r="H1586" t="str">
        <f t="shared" si="48"/>
        <v xml:space="preserve">4/12 - ENEL - ENERGIA ELÉTRICA referente a janeiro 4/12 | Recorrência: | Observações: </v>
      </c>
      <c r="I1586" t="s">
        <v>26</v>
      </c>
      <c r="J1586" s="5">
        <v>-384.62</v>
      </c>
      <c r="K1586" s="4">
        <v>751199.09</v>
      </c>
      <c r="L1586" t="s">
        <v>2723</v>
      </c>
      <c r="M1586" s="5">
        <v>-384.62</v>
      </c>
      <c r="N1586" s="3">
        <v>0</v>
      </c>
      <c r="O1586" t="s">
        <v>2764</v>
      </c>
      <c r="P1586" t="s">
        <v>2577</v>
      </c>
      <c r="Q1586" t="s">
        <v>2764</v>
      </c>
      <c r="R1586" t="str">
        <f t="shared" si="49"/>
        <v>Sim</v>
      </c>
      <c r="S1586" t="s">
        <v>2764</v>
      </c>
      <c r="T1586" t="s">
        <v>30</v>
      </c>
      <c r="U1586" t="s">
        <v>125</v>
      </c>
      <c r="V1586" s="3">
        <v>-384.62</v>
      </c>
      <c r="W1586" t="s">
        <v>125</v>
      </c>
      <c r="X1586" s="3">
        <v>-384.62</v>
      </c>
    </row>
    <row r="1587" spans="1:24" s="2" customFormat="1" x14ac:dyDescent="0.2">
      <c r="A1587">
        <v>1587</v>
      </c>
      <c r="B1587"/>
      <c r="C1587" t="s">
        <v>153</v>
      </c>
      <c r="D1587" t="s">
        <v>2772</v>
      </c>
      <c r="E1587" t="s">
        <v>30</v>
      </c>
      <c r="F1587" t="s">
        <v>63</v>
      </c>
      <c r="G1587" t="s">
        <v>25</v>
      </c>
      <c r="H1587" t="str">
        <f t="shared" si="48"/>
        <v xml:space="preserve">2/11 - SALÁRIO - MANU_ESTAGIÁRIA  2/11 | Recorrência: | Observações: </v>
      </c>
      <c r="I1587" t="s">
        <v>491</v>
      </c>
      <c r="J1587" s="5">
        <v>-960</v>
      </c>
      <c r="K1587" s="4">
        <v>750239.09</v>
      </c>
      <c r="L1587" t="s">
        <v>2723</v>
      </c>
      <c r="M1587" s="5">
        <v>-960</v>
      </c>
      <c r="N1587" s="3">
        <v>0</v>
      </c>
      <c r="O1587" t="s">
        <v>2764</v>
      </c>
      <c r="P1587" t="s">
        <v>2658</v>
      </c>
      <c r="Q1587" t="s">
        <v>2764</v>
      </c>
      <c r="R1587" t="str">
        <f t="shared" si="49"/>
        <v>Sim</v>
      </c>
      <c r="S1587" t="s">
        <v>2764</v>
      </c>
      <c r="T1587" t="s">
        <v>30</v>
      </c>
      <c r="U1587" t="s">
        <v>323</v>
      </c>
      <c r="V1587" s="3">
        <v>-960</v>
      </c>
      <c r="W1587" t="s">
        <v>323</v>
      </c>
      <c r="X1587" s="3">
        <v>-960</v>
      </c>
    </row>
    <row r="1588" spans="1:24" s="2" customFormat="1" x14ac:dyDescent="0.2">
      <c r="A1588" s="2">
        <v>1588</v>
      </c>
      <c r="B1588"/>
      <c r="C1588" t="s">
        <v>153</v>
      </c>
      <c r="D1588" t="s">
        <v>2773</v>
      </c>
      <c r="E1588" t="s">
        <v>30</v>
      </c>
      <c r="F1588" t="s">
        <v>63</v>
      </c>
      <c r="G1588" t="s">
        <v>25</v>
      </c>
      <c r="H1588" t="str">
        <f t="shared" si="48"/>
        <v xml:space="preserve">2/10 - SALÁRIO KARINA ESTAGIARIA 2/10 | Recorrência: | Observações: </v>
      </c>
      <c r="I1588" t="s">
        <v>491</v>
      </c>
      <c r="J1588" s="5">
        <v>-2200</v>
      </c>
      <c r="K1588" s="4">
        <v>748039.09</v>
      </c>
      <c r="L1588" t="s">
        <v>2723</v>
      </c>
      <c r="M1588" s="5">
        <v>-2200</v>
      </c>
      <c r="N1588" s="3">
        <v>0</v>
      </c>
      <c r="O1588" t="s">
        <v>2764</v>
      </c>
      <c r="P1588" t="s">
        <v>2616</v>
      </c>
      <c r="Q1588" t="s">
        <v>2764</v>
      </c>
      <c r="R1588" t="str">
        <f t="shared" si="49"/>
        <v>Sim</v>
      </c>
      <c r="S1588" t="s">
        <v>2764</v>
      </c>
      <c r="T1588" t="s">
        <v>30</v>
      </c>
      <c r="U1588" t="s">
        <v>323</v>
      </c>
      <c r="V1588" s="3">
        <v>-2200</v>
      </c>
      <c r="W1588" t="s">
        <v>323</v>
      </c>
      <c r="X1588" s="3">
        <v>-2200</v>
      </c>
    </row>
    <row r="1589" spans="1:24" s="2" customFormat="1" x14ac:dyDescent="0.2">
      <c r="A1589">
        <v>1589</v>
      </c>
      <c r="B1589"/>
      <c r="C1589" t="s">
        <v>574</v>
      </c>
      <c r="D1589" t="s">
        <v>2775</v>
      </c>
      <c r="E1589" t="s">
        <v>30</v>
      </c>
      <c r="F1589" t="s">
        <v>63</v>
      </c>
      <c r="G1589" t="s">
        <v>25</v>
      </c>
      <c r="H1589" t="str">
        <f t="shared" si="48"/>
        <v xml:space="preserve">4/12 - CONDOMINIO+ALUGUEL  4/12 | Recorrência: | Observações: </v>
      </c>
      <c r="I1589" t="s">
        <v>491</v>
      </c>
      <c r="J1589" s="5">
        <v>-6083.33</v>
      </c>
      <c r="K1589" s="4">
        <v>741955.76</v>
      </c>
      <c r="L1589" t="s">
        <v>2723</v>
      </c>
      <c r="M1589" s="5">
        <v>-6083.33</v>
      </c>
      <c r="N1589" s="3">
        <v>0</v>
      </c>
      <c r="O1589" t="s">
        <v>2774</v>
      </c>
      <c r="P1589" t="s">
        <v>2472</v>
      </c>
      <c r="Q1589" t="s">
        <v>2774</v>
      </c>
      <c r="R1589" t="str">
        <f t="shared" si="49"/>
        <v>Sim</v>
      </c>
      <c r="S1589" t="s">
        <v>2774</v>
      </c>
      <c r="T1589" t="s">
        <v>30</v>
      </c>
      <c r="U1589" t="s">
        <v>571</v>
      </c>
      <c r="V1589" s="3">
        <v>-6083.33</v>
      </c>
      <c r="W1589" t="s">
        <v>570</v>
      </c>
      <c r="X1589" s="3">
        <v>-6083.33</v>
      </c>
    </row>
    <row r="1590" spans="1:24" s="2" customFormat="1" x14ac:dyDescent="0.2">
      <c r="A1590" s="2">
        <v>1590</v>
      </c>
      <c r="B1590" t="s">
        <v>2426</v>
      </c>
      <c r="C1590" t="s">
        <v>2427</v>
      </c>
      <c r="D1590" t="s">
        <v>2777</v>
      </c>
      <c r="E1590" t="s">
        <v>30</v>
      </c>
      <c r="F1590" t="s">
        <v>24</v>
      </c>
      <c r="G1590" t="s">
        <v>25</v>
      </c>
      <c r="H1590" t="str">
        <f t="shared" si="48"/>
        <v>6/6 - GERENCIAMENTO RIVIERA  6/6 | Recorrência: | Observações: EMITIR NF &gt;  PF &gt; 67.848,02
CPF -  939.942.818-49                                                                                                                               
Endereço:  Av. Albert Einstein, 1251 - Morumbi - São Paulo - SP - CEP 04133-020                    
E-mail: marionajm@sobloco.com.br</v>
      </c>
      <c r="I1590" t="s">
        <v>491</v>
      </c>
      <c r="J1590" s="4">
        <v>11308</v>
      </c>
      <c r="K1590" s="4">
        <v>753263.76</v>
      </c>
      <c r="L1590" t="s">
        <v>2723</v>
      </c>
      <c r="M1590" s="4">
        <v>11308</v>
      </c>
      <c r="N1590" s="3">
        <v>0</v>
      </c>
      <c r="O1590" t="s">
        <v>2776</v>
      </c>
      <c r="P1590" t="s">
        <v>2301</v>
      </c>
      <c r="Q1590" t="s">
        <v>2776</v>
      </c>
      <c r="R1590" t="str">
        <f t="shared" si="49"/>
        <v>Sim</v>
      </c>
      <c r="S1590" t="s">
        <v>2776</v>
      </c>
      <c r="T1590" t="s">
        <v>2428</v>
      </c>
      <c r="U1590" t="s">
        <v>274</v>
      </c>
      <c r="V1590" s="3">
        <v>11308</v>
      </c>
      <c r="W1590" t="s">
        <v>166</v>
      </c>
      <c r="X1590" s="3">
        <v>11308</v>
      </c>
    </row>
    <row r="1591" spans="1:24" s="2" customFormat="1" x14ac:dyDescent="0.2">
      <c r="A1591">
        <v>1591</v>
      </c>
      <c r="B1591" t="s">
        <v>1373</v>
      </c>
      <c r="C1591" t="s">
        <v>1374</v>
      </c>
      <c r="D1591" t="s">
        <v>2778</v>
      </c>
      <c r="E1591" t="s">
        <v>30</v>
      </c>
      <c r="F1591" t="s">
        <v>24</v>
      </c>
      <c r="G1591" t="s">
        <v>25</v>
      </c>
      <c r="H1591" t="str">
        <f t="shared" si="48"/>
        <v xml:space="preserve">2/3 - PROJETO GRAND VITALI _ DIANA E DIOGO  2/3 | Recorrência: | Observações: </v>
      </c>
      <c r="I1591" t="s">
        <v>491</v>
      </c>
      <c r="J1591" s="4">
        <v>2240</v>
      </c>
      <c r="K1591" s="4">
        <v>755503.76</v>
      </c>
      <c r="L1591" t="s">
        <v>2723</v>
      </c>
      <c r="M1591" s="4">
        <v>2240</v>
      </c>
      <c r="N1591" s="3">
        <v>0</v>
      </c>
      <c r="O1591" t="s">
        <v>2776</v>
      </c>
      <c r="P1591" t="s">
        <v>2655</v>
      </c>
      <c r="Q1591" t="s">
        <v>2776</v>
      </c>
      <c r="R1591" t="str">
        <f t="shared" si="49"/>
        <v>Sim</v>
      </c>
      <c r="S1591" t="s">
        <v>2776</v>
      </c>
      <c r="T1591" t="s">
        <v>30</v>
      </c>
      <c r="U1591" t="s">
        <v>31</v>
      </c>
      <c r="V1591" s="3">
        <v>2240</v>
      </c>
      <c r="W1591" t="s">
        <v>32</v>
      </c>
      <c r="X1591" s="3">
        <v>2240</v>
      </c>
    </row>
    <row r="1592" spans="1:24" s="2" customFormat="1" x14ac:dyDescent="0.2">
      <c r="A1592" s="2">
        <v>1592</v>
      </c>
      <c r="B1592" t="s">
        <v>647</v>
      </c>
      <c r="C1592" t="s">
        <v>648</v>
      </c>
      <c r="D1592" t="s">
        <v>2780</v>
      </c>
      <c r="E1592" t="s">
        <v>30</v>
      </c>
      <c r="F1592" t="s">
        <v>63</v>
      </c>
      <c r="G1592" t="s">
        <v>25</v>
      </c>
      <c r="H1592" t="str">
        <f t="shared" si="48"/>
        <v xml:space="preserve">4/12 - HONORÁRIOS CONTÁBEIS  4/12 | Recorrência: | Observações: </v>
      </c>
      <c r="I1592" t="s">
        <v>755</v>
      </c>
      <c r="J1592" s="5">
        <v>-1217.5</v>
      </c>
      <c r="K1592" s="4">
        <v>754286.26</v>
      </c>
      <c r="L1592" t="s">
        <v>2723</v>
      </c>
      <c r="M1592" s="5">
        <v>-1217.5</v>
      </c>
      <c r="N1592" s="3">
        <v>0</v>
      </c>
      <c r="O1592" t="s">
        <v>2779</v>
      </c>
      <c r="P1592" t="s">
        <v>2536</v>
      </c>
      <c r="Q1592" t="s">
        <v>2779</v>
      </c>
      <c r="R1592" t="str">
        <f t="shared" si="49"/>
        <v>Sim</v>
      </c>
      <c r="S1592" t="s">
        <v>2779</v>
      </c>
      <c r="T1592" t="s">
        <v>30</v>
      </c>
      <c r="U1592" t="s">
        <v>608</v>
      </c>
      <c r="V1592" s="3">
        <v>-1217.5</v>
      </c>
      <c r="W1592" t="s">
        <v>1722</v>
      </c>
      <c r="X1592" s="3">
        <v>-1217.5</v>
      </c>
    </row>
    <row r="1593" spans="1:24" s="2" customFormat="1" x14ac:dyDescent="0.2">
      <c r="A1593">
        <v>1593</v>
      </c>
      <c r="B1593" t="s">
        <v>647</v>
      </c>
      <c r="C1593" t="s">
        <v>648</v>
      </c>
      <c r="D1593" t="s">
        <v>2782</v>
      </c>
      <c r="E1593" t="s">
        <v>30</v>
      </c>
      <c r="F1593" t="s">
        <v>63</v>
      </c>
      <c r="G1593" t="s">
        <v>25</v>
      </c>
      <c r="H1593" t="str">
        <f t="shared" si="48"/>
        <v xml:space="preserve">17/35 - DARF ISS 17/36 | Recorrência: | Observações: </v>
      </c>
      <c r="I1593" t="s">
        <v>26</v>
      </c>
      <c r="J1593" s="5">
        <v>-671.87</v>
      </c>
      <c r="K1593" s="4">
        <v>753614.39</v>
      </c>
      <c r="L1593" t="s">
        <v>2723</v>
      </c>
      <c r="M1593" s="5">
        <v>-671.87</v>
      </c>
      <c r="N1593" s="3">
        <v>0</v>
      </c>
      <c r="O1593" t="s">
        <v>2781</v>
      </c>
      <c r="P1593" t="s">
        <v>1474</v>
      </c>
      <c r="Q1593" t="s">
        <v>2781</v>
      </c>
      <c r="R1593" t="str">
        <f t="shared" si="49"/>
        <v>Sim</v>
      </c>
      <c r="S1593" t="s">
        <v>2781</v>
      </c>
      <c r="T1593" t="s">
        <v>30</v>
      </c>
      <c r="U1593" t="s">
        <v>1098</v>
      </c>
      <c r="V1593" s="3">
        <v>-671.87</v>
      </c>
      <c r="W1593" t="s">
        <v>324</v>
      </c>
      <c r="X1593" s="3">
        <v>-671.87</v>
      </c>
    </row>
    <row r="1594" spans="1:24" s="2" customFormat="1" x14ac:dyDescent="0.2">
      <c r="A1594" s="2">
        <v>1594</v>
      </c>
      <c r="B1594" t="s">
        <v>2375</v>
      </c>
      <c r="C1594" t="s">
        <v>2376</v>
      </c>
      <c r="D1594" t="s">
        <v>2783</v>
      </c>
      <c r="E1594" t="s">
        <v>30</v>
      </c>
      <c r="F1594" t="s">
        <v>24</v>
      </c>
      <c r="G1594" t="s">
        <v>25</v>
      </c>
      <c r="H1594" t="str">
        <f t="shared" si="48"/>
        <v>6/6 - GERENCIAMENTO RIVIERA 6/6 | Recorrência: | Observações: EMITIR NF PF - 51.716,40
Maria Isabel C Najm Strapetti 
CPF 073.627.088-40
Endereço: Rua General Fonseca Teles, 64 - Jd. Paulistano - CEP 01429-020 - São Paulo - SP
E-mail: belstrapetti@gmail.com</v>
      </c>
      <c r="I1594" t="s">
        <v>491</v>
      </c>
      <c r="J1594" s="4">
        <v>8619.0499999999993</v>
      </c>
      <c r="K1594" s="4">
        <v>762233.44</v>
      </c>
      <c r="L1594" t="s">
        <v>2723</v>
      </c>
      <c r="M1594" s="4">
        <v>8619.0499999999993</v>
      </c>
      <c r="N1594" s="3">
        <v>0</v>
      </c>
      <c r="O1594" t="s">
        <v>2781</v>
      </c>
      <c r="P1594" t="s">
        <v>2301</v>
      </c>
      <c r="Q1594" t="s">
        <v>2781</v>
      </c>
      <c r="R1594" t="str">
        <f t="shared" si="49"/>
        <v>Sim</v>
      </c>
      <c r="S1594" t="s">
        <v>2781</v>
      </c>
      <c r="T1594" t="s">
        <v>2378</v>
      </c>
      <c r="U1594" t="s">
        <v>274</v>
      </c>
      <c r="V1594" s="3">
        <v>8619.0499999999993</v>
      </c>
      <c r="W1594" t="s">
        <v>166</v>
      </c>
      <c r="X1594" s="3">
        <v>8619.0499999999993</v>
      </c>
    </row>
    <row r="1595" spans="1:24" s="2" customFormat="1" x14ac:dyDescent="0.2">
      <c r="A1595">
        <v>1595</v>
      </c>
      <c r="B1595"/>
      <c r="C1595" t="s">
        <v>1111</v>
      </c>
      <c r="D1595" t="s">
        <v>2777</v>
      </c>
      <c r="E1595" t="s">
        <v>30</v>
      </c>
      <c r="F1595" t="s">
        <v>24</v>
      </c>
      <c r="G1595" t="s">
        <v>25</v>
      </c>
      <c r="H1595" t="str">
        <f t="shared" si="48"/>
        <v>6/6 - GERENCIAMENTO RIVIERA  6/6 | Recorrência: | Observações: EMITIR NF PF - 37.435,41
Fábio Najm 
CPF - 030.448.618-37
Endereço - Rua Conselheiro Zacarias, 122 - Jardim Paulista - São Paulo-SP - CEP 01429-020 
E-mail - Fcnajm@gmail.com</v>
      </c>
      <c r="I1595" t="s">
        <v>491</v>
      </c>
      <c r="J1595" s="4">
        <v>6239.24</v>
      </c>
      <c r="K1595" s="4">
        <v>768472.68</v>
      </c>
      <c r="L1595" t="s">
        <v>2723</v>
      </c>
      <c r="M1595" s="4">
        <v>6239.24</v>
      </c>
      <c r="N1595" s="3">
        <v>0</v>
      </c>
      <c r="O1595" t="s">
        <v>2781</v>
      </c>
      <c r="P1595" t="s">
        <v>2301</v>
      </c>
      <c r="Q1595" t="s">
        <v>2781</v>
      </c>
      <c r="R1595" t="str">
        <f t="shared" si="49"/>
        <v>Sim</v>
      </c>
      <c r="S1595" t="s">
        <v>2781</v>
      </c>
      <c r="T1595" t="s">
        <v>2381</v>
      </c>
      <c r="U1595" t="s">
        <v>274</v>
      </c>
      <c r="V1595" s="3">
        <v>6239.24</v>
      </c>
      <c r="W1595" t="s">
        <v>166</v>
      </c>
      <c r="X1595" s="3">
        <v>6239.24</v>
      </c>
    </row>
    <row r="1596" spans="1:24" s="2" customFormat="1" x14ac:dyDescent="0.2">
      <c r="A1596" s="2">
        <v>1596</v>
      </c>
      <c r="B1596" t="s">
        <v>1673</v>
      </c>
      <c r="C1596" t="s">
        <v>1674</v>
      </c>
      <c r="D1596" t="s">
        <v>2784</v>
      </c>
      <c r="E1596" t="s">
        <v>30</v>
      </c>
      <c r="F1596" t="s">
        <v>24</v>
      </c>
      <c r="G1596" t="s">
        <v>25</v>
      </c>
      <c r="H1596" t="str">
        <f t="shared" si="48"/>
        <v xml:space="preserve">RT ORÇ 2530-R01 - MARIEL_FAUSTO BOLDRINI | Recorrência: | Observações: </v>
      </c>
      <c r="I1596" t="s">
        <v>491</v>
      </c>
      <c r="J1596" s="4">
        <v>500</v>
      </c>
      <c r="K1596" s="4">
        <v>768972.68</v>
      </c>
      <c r="L1596" t="s">
        <v>2723</v>
      </c>
      <c r="M1596" s="4">
        <v>500</v>
      </c>
      <c r="N1596" s="3">
        <v>0</v>
      </c>
      <c r="O1596" t="s">
        <v>2781</v>
      </c>
      <c r="P1596" t="s">
        <v>2601</v>
      </c>
      <c r="Q1596" t="s">
        <v>2781</v>
      </c>
      <c r="R1596" t="str">
        <f t="shared" si="49"/>
        <v>Sim</v>
      </c>
      <c r="S1596" t="s">
        <v>2781</v>
      </c>
      <c r="T1596" t="s">
        <v>30</v>
      </c>
      <c r="U1596" t="s">
        <v>49</v>
      </c>
      <c r="V1596" s="3">
        <v>500</v>
      </c>
      <c r="W1596" t="s">
        <v>494</v>
      </c>
      <c r="X1596" s="3">
        <v>500</v>
      </c>
    </row>
    <row r="1597" spans="1:24" s="2" customFormat="1" x14ac:dyDescent="0.2">
      <c r="A1597">
        <v>1597</v>
      </c>
      <c r="B1597"/>
      <c r="C1597" t="s">
        <v>153</v>
      </c>
      <c r="D1597" t="s">
        <v>2786</v>
      </c>
      <c r="E1597" t="s">
        <v>30</v>
      </c>
      <c r="F1597" t="s">
        <v>63</v>
      </c>
      <c r="G1597" t="s">
        <v>25</v>
      </c>
      <c r="H1597" t="str">
        <f t="shared" si="48"/>
        <v xml:space="preserve">4/11 - SODEXO - ELIANE 4/12 | Recorrência: | Observações: </v>
      </c>
      <c r="I1597" t="s">
        <v>755</v>
      </c>
      <c r="J1597" s="5">
        <v>-776.6</v>
      </c>
      <c r="K1597" s="4">
        <v>768196.08</v>
      </c>
      <c r="L1597" t="s">
        <v>2723</v>
      </c>
      <c r="M1597" s="5">
        <v>-776.6</v>
      </c>
      <c r="N1597" s="3">
        <v>0</v>
      </c>
      <c r="O1597" t="s">
        <v>2785</v>
      </c>
      <c r="P1597" t="s">
        <v>2536</v>
      </c>
      <c r="Q1597" t="s">
        <v>2785</v>
      </c>
      <c r="R1597" t="str">
        <f t="shared" si="49"/>
        <v>Sim</v>
      </c>
      <c r="S1597" t="s">
        <v>2785</v>
      </c>
      <c r="T1597" t="s">
        <v>30</v>
      </c>
      <c r="U1597" t="s">
        <v>93</v>
      </c>
      <c r="V1597" s="3">
        <v>-776.6</v>
      </c>
      <c r="W1597" t="s">
        <v>331</v>
      </c>
      <c r="X1597" s="3">
        <v>-776.6</v>
      </c>
    </row>
    <row r="1598" spans="1:24" s="2" customFormat="1" x14ac:dyDescent="0.2">
      <c r="A1598" s="2">
        <v>1598</v>
      </c>
      <c r="B1598" t="s">
        <v>2632</v>
      </c>
      <c r="C1598" t="s">
        <v>2633</v>
      </c>
      <c r="D1598" t="s">
        <v>2788</v>
      </c>
      <c r="E1598" t="s">
        <v>30</v>
      </c>
      <c r="F1598" t="s">
        <v>24</v>
      </c>
      <c r="G1598" t="s">
        <v>25</v>
      </c>
      <c r="H1598" t="str">
        <f t="shared" si="48"/>
        <v xml:space="preserve">3/4 - RT PEDIDO RE 26071-2023 - FAUSTO BOLDINI E MARIEL  3/5 | Recorrência: | Observações: </v>
      </c>
      <c r="I1598" t="s">
        <v>491</v>
      </c>
      <c r="J1598" s="4">
        <v>552.5</v>
      </c>
      <c r="K1598" s="4">
        <v>768748.58</v>
      </c>
      <c r="L1598" t="s">
        <v>2723</v>
      </c>
      <c r="M1598" s="4">
        <v>552.5</v>
      </c>
      <c r="N1598" s="3">
        <v>0</v>
      </c>
      <c r="O1598" t="s">
        <v>2787</v>
      </c>
      <c r="P1598" t="s">
        <v>2573</v>
      </c>
      <c r="Q1598" t="s">
        <v>2787</v>
      </c>
      <c r="R1598" t="str">
        <f t="shared" si="49"/>
        <v>Sim</v>
      </c>
      <c r="S1598" t="s">
        <v>2787</v>
      </c>
      <c r="T1598" t="s">
        <v>30</v>
      </c>
      <c r="U1598" t="s">
        <v>49</v>
      </c>
      <c r="V1598" s="3">
        <v>552.5</v>
      </c>
      <c r="W1598" t="s">
        <v>494</v>
      </c>
      <c r="X1598" s="3">
        <v>552.5</v>
      </c>
    </row>
    <row r="1599" spans="1:24" s="2" customFormat="1" x14ac:dyDescent="0.2">
      <c r="A1599">
        <v>1599</v>
      </c>
      <c r="B1599" t="s">
        <v>1195</v>
      </c>
      <c r="C1599" t="s">
        <v>1196</v>
      </c>
      <c r="D1599" t="s">
        <v>2789</v>
      </c>
      <c r="E1599" t="s">
        <v>30</v>
      </c>
      <c r="F1599" t="s">
        <v>24</v>
      </c>
      <c r="G1599" t="s">
        <v>25</v>
      </c>
      <c r="H1599" t="str">
        <f t="shared" si="48"/>
        <v xml:space="preserve">RT PEDIDO 033224 - VICTOR PENAZZO | Recorrência: | Observações: </v>
      </c>
      <c r="I1599" t="s">
        <v>491</v>
      </c>
      <c r="J1599" s="4">
        <v>1261</v>
      </c>
      <c r="K1599" s="4">
        <v>770009.58</v>
      </c>
      <c r="L1599" t="s">
        <v>2723</v>
      </c>
      <c r="M1599" s="4">
        <v>1261</v>
      </c>
      <c r="N1599" s="3">
        <v>0</v>
      </c>
      <c r="O1599" t="s">
        <v>2787</v>
      </c>
      <c r="P1599" t="s">
        <v>2694</v>
      </c>
      <c r="Q1599" t="s">
        <v>2787</v>
      </c>
      <c r="R1599" t="str">
        <f t="shared" si="49"/>
        <v>Sim</v>
      </c>
      <c r="S1599" t="s">
        <v>2787</v>
      </c>
      <c r="T1599" t="s">
        <v>30</v>
      </c>
      <c r="U1599" t="s">
        <v>49</v>
      </c>
      <c r="V1599" s="3">
        <v>1261</v>
      </c>
      <c r="W1599" t="s">
        <v>494</v>
      </c>
      <c r="X1599" s="3">
        <v>1261</v>
      </c>
    </row>
    <row r="1600" spans="1:24" s="2" customFormat="1" x14ac:dyDescent="0.2">
      <c r="A1600" s="2">
        <v>1600</v>
      </c>
      <c r="B1600" t="s">
        <v>647</v>
      </c>
      <c r="C1600" t="s">
        <v>648</v>
      </c>
      <c r="D1600" t="s">
        <v>2791</v>
      </c>
      <c r="E1600" t="s">
        <v>30</v>
      </c>
      <c r="F1600" t="s">
        <v>63</v>
      </c>
      <c r="G1600" t="s">
        <v>25</v>
      </c>
      <c r="H1600" t="str">
        <f t="shared" si="48"/>
        <v xml:space="preserve">4/12 - FGTS  4/12 | Recorrência: | Observações: </v>
      </c>
      <c r="I1600" t="s">
        <v>1113</v>
      </c>
      <c r="J1600" s="5">
        <v>-160</v>
      </c>
      <c r="K1600" s="4">
        <v>769849.58</v>
      </c>
      <c r="L1600" t="s">
        <v>2723</v>
      </c>
      <c r="M1600" s="5">
        <v>-160</v>
      </c>
      <c r="N1600" s="3">
        <v>0</v>
      </c>
      <c r="O1600" t="s">
        <v>2790</v>
      </c>
      <c r="P1600" t="s">
        <v>2285</v>
      </c>
      <c r="Q1600" t="s">
        <v>2790</v>
      </c>
      <c r="R1600" t="str">
        <f t="shared" si="49"/>
        <v>Sim</v>
      </c>
      <c r="S1600" t="s">
        <v>2790</v>
      </c>
      <c r="T1600" t="s">
        <v>30</v>
      </c>
      <c r="U1600" t="s">
        <v>1531</v>
      </c>
      <c r="V1600" s="3">
        <v>-160</v>
      </c>
      <c r="W1600" t="s">
        <v>650</v>
      </c>
      <c r="X1600" s="3">
        <v>-160</v>
      </c>
    </row>
    <row r="1601" spans="1:24" s="2" customFormat="1" x14ac:dyDescent="0.2">
      <c r="A1601">
        <v>1601</v>
      </c>
      <c r="B1601" t="s">
        <v>647</v>
      </c>
      <c r="C1601" t="s">
        <v>648</v>
      </c>
      <c r="D1601" t="s">
        <v>1556</v>
      </c>
      <c r="E1601" t="s">
        <v>518</v>
      </c>
      <c r="F1601" t="s">
        <v>63</v>
      </c>
      <c r="G1601" t="s">
        <v>25</v>
      </c>
      <c r="H1601" t="str">
        <f t="shared" si="48"/>
        <v xml:space="preserve">DARF PREVIDÊNCIARIO | Recorrência:4/12 | Observações: </v>
      </c>
      <c r="I1601" t="s">
        <v>26</v>
      </c>
      <c r="J1601" s="5">
        <v>-1500</v>
      </c>
      <c r="K1601" s="4">
        <v>768349.58</v>
      </c>
      <c r="L1601" t="s">
        <v>2723</v>
      </c>
      <c r="M1601" s="5">
        <v>-1500</v>
      </c>
      <c r="N1601" s="3">
        <v>0</v>
      </c>
      <c r="O1601" t="s">
        <v>2792</v>
      </c>
      <c r="P1601" t="s">
        <v>2699</v>
      </c>
      <c r="Q1601" t="s">
        <v>2792</v>
      </c>
      <c r="R1601" t="str">
        <f t="shared" si="49"/>
        <v>Sim</v>
      </c>
      <c r="S1601" t="s">
        <v>2792</v>
      </c>
      <c r="T1601" t="s">
        <v>30</v>
      </c>
      <c r="U1601" t="s">
        <v>601</v>
      </c>
      <c r="V1601" s="3">
        <v>-1500</v>
      </c>
      <c r="W1601" t="s">
        <v>376</v>
      </c>
      <c r="X1601" s="3">
        <v>-1500</v>
      </c>
    </row>
    <row r="1602" spans="1:24" s="2" customFormat="1" x14ac:dyDescent="0.2">
      <c r="A1602" s="2">
        <v>1602</v>
      </c>
      <c r="B1602" t="s">
        <v>1789</v>
      </c>
      <c r="C1602" t="s">
        <v>1790</v>
      </c>
      <c r="D1602" t="s">
        <v>2793</v>
      </c>
      <c r="E1602" t="s">
        <v>30</v>
      </c>
      <c r="F1602" t="s">
        <v>24</v>
      </c>
      <c r="G1602" t="s">
        <v>25</v>
      </c>
      <c r="H1602" t="str">
        <f t="shared" si="48"/>
        <v xml:space="preserve">RT PEDIDO 40471 - VICTOR PENAZZO | Recorrência: | Observações: </v>
      </c>
      <c r="I1602" t="s">
        <v>491</v>
      </c>
      <c r="J1602" s="4">
        <v>580</v>
      </c>
      <c r="K1602" s="4">
        <v>768929.58</v>
      </c>
      <c r="L1602" t="s">
        <v>2723</v>
      </c>
      <c r="M1602" s="4">
        <v>580</v>
      </c>
      <c r="N1602" s="3">
        <v>0</v>
      </c>
      <c r="O1602" t="s">
        <v>2792</v>
      </c>
      <c r="P1602" t="s">
        <v>2672</v>
      </c>
      <c r="Q1602" t="s">
        <v>2792</v>
      </c>
      <c r="R1602" t="str">
        <f t="shared" si="49"/>
        <v>Sim</v>
      </c>
      <c r="S1602" t="s">
        <v>2792</v>
      </c>
      <c r="T1602" t="s">
        <v>30</v>
      </c>
      <c r="U1602" t="s">
        <v>49</v>
      </c>
      <c r="V1602" s="3">
        <v>580</v>
      </c>
      <c r="W1602" t="s">
        <v>494</v>
      </c>
      <c r="X1602" s="3">
        <v>580</v>
      </c>
    </row>
    <row r="1603" spans="1:24" s="2" customFormat="1" x14ac:dyDescent="0.2">
      <c r="A1603">
        <v>1603</v>
      </c>
      <c r="B1603" t="s">
        <v>1789</v>
      </c>
      <c r="C1603" t="s">
        <v>1790</v>
      </c>
      <c r="D1603" t="s">
        <v>2794</v>
      </c>
      <c r="E1603" t="s">
        <v>30</v>
      </c>
      <c r="F1603" t="s">
        <v>24</v>
      </c>
      <c r="G1603" t="s">
        <v>25</v>
      </c>
      <c r="H1603" t="str">
        <f t="shared" ref="H1603:H1666" si="50">D1603&amp;" | "&amp;$E$1&amp;E1603&amp;" | Observações: "&amp;T1603</f>
        <v xml:space="preserve">RT PEDIDO 39643 - MARIO NAJM | Recorrência: | Observações: </v>
      </c>
      <c r="I1603" t="s">
        <v>991</v>
      </c>
      <c r="J1603" s="4">
        <v>5500</v>
      </c>
      <c r="K1603" s="4">
        <v>774429.58</v>
      </c>
      <c r="L1603" t="s">
        <v>2723</v>
      </c>
      <c r="M1603" s="4">
        <v>5500</v>
      </c>
      <c r="N1603" s="3">
        <v>0</v>
      </c>
      <c r="O1603" t="s">
        <v>2792</v>
      </c>
      <c r="P1603" t="s">
        <v>2694</v>
      </c>
      <c r="Q1603" t="s">
        <v>2792</v>
      </c>
      <c r="R1603" t="str">
        <f t="shared" ref="R1603:R1666" si="51">IF(Q1603=S1603,"Sim","nao")</f>
        <v>Sim</v>
      </c>
      <c r="S1603" t="s">
        <v>2792</v>
      </c>
      <c r="T1603" t="s">
        <v>30</v>
      </c>
      <c r="U1603" t="s">
        <v>49</v>
      </c>
      <c r="V1603" s="3">
        <v>5500</v>
      </c>
      <c r="W1603" t="s">
        <v>494</v>
      </c>
      <c r="X1603" s="3">
        <v>5500</v>
      </c>
    </row>
    <row r="1604" spans="1:24" s="2" customFormat="1" x14ac:dyDescent="0.2">
      <c r="A1604" s="2">
        <v>1604</v>
      </c>
      <c r="B1604" t="s">
        <v>2735</v>
      </c>
      <c r="C1604" t="s">
        <v>2736</v>
      </c>
      <c r="D1604" t="s">
        <v>2795</v>
      </c>
      <c r="E1604" t="s">
        <v>30</v>
      </c>
      <c r="F1604" t="s">
        <v>24</v>
      </c>
      <c r="G1604" t="s">
        <v>25</v>
      </c>
      <c r="H1604" t="str">
        <f t="shared" si="50"/>
        <v>2/4 - PROJETO  RICARDO JUAN E LILI 2/4 | Recorrência: | Observações: CPF não pertence ao cliente &gt; foi gerado no site para realização do caadastro 
https://www.geradordecpf.org/</v>
      </c>
      <c r="I1604" t="s">
        <v>491</v>
      </c>
      <c r="J1604" s="4">
        <v>6750</v>
      </c>
      <c r="K1604" s="4">
        <v>781179.58</v>
      </c>
      <c r="L1604" t="s">
        <v>2723</v>
      </c>
      <c r="M1604" s="4">
        <v>6750</v>
      </c>
      <c r="N1604" s="3">
        <v>0</v>
      </c>
      <c r="O1604" t="s">
        <v>2792</v>
      </c>
      <c r="P1604" t="s">
        <v>2707</v>
      </c>
      <c r="Q1604" t="s">
        <v>2792</v>
      </c>
      <c r="R1604" t="str">
        <f t="shared" si="51"/>
        <v>Sim</v>
      </c>
      <c r="S1604" t="s">
        <v>2792</v>
      </c>
      <c r="T1604" t="s">
        <v>2738</v>
      </c>
      <c r="U1604" t="s">
        <v>31</v>
      </c>
      <c r="V1604" s="3">
        <v>6750</v>
      </c>
      <c r="W1604" t="s">
        <v>32</v>
      </c>
      <c r="X1604" s="3">
        <v>6750</v>
      </c>
    </row>
    <row r="1605" spans="1:24" s="2" customFormat="1" x14ac:dyDescent="0.2">
      <c r="A1605">
        <v>1605</v>
      </c>
      <c r="B1605" t="s">
        <v>647</v>
      </c>
      <c r="C1605" t="s">
        <v>648</v>
      </c>
      <c r="D1605" t="s">
        <v>2797</v>
      </c>
      <c r="E1605" t="s">
        <v>30</v>
      </c>
      <c r="F1605" t="s">
        <v>63</v>
      </c>
      <c r="G1605" t="s">
        <v>25</v>
      </c>
      <c r="H1605" t="str">
        <f t="shared" si="50"/>
        <v xml:space="preserve">6/11 - DARF CSLL 6/12 | Recorrência: | Observações: </v>
      </c>
      <c r="I1605" t="s">
        <v>26</v>
      </c>
      <c r="J1605" s="5">
        <v>-1800</v>
      </c>
      <c r="K1605" s="4">
        <v>779379.58</v>
      </c>
      <c r="L1605" t="s">
        <v>2723</v>
      </c>
      <c r="M1605" s="5">
        <v>-1800</v>
      </c>
      <c r="N1605" s="3">
        <v>0</v>
      </c>
      <c r="O1605" t="s">
        <v>2796</v>
      </c>
      <c r="P1605" t="s">
        <v>1391</v>
      </c>
      <c r="Q1605" t="s">
        <v>2796</v>
      </c>
      <c r="R1605" t="str">
        <f t="shared" si="51"/>
        <v>Sim</v>
      </c>
      <c r="S1605" t="s">
        <v>2796</v>
      </c>
      <c r="T1605" t="s">
        <v>30</v>
      </c>
      <c r="U1605" t="s">
        <v>728</v>
      </c>
      <c r="V1605" s="3">
        <v>-1800</v>
      </c>
      <c r="W1605" t="s">
        <v>1115</v>
      </c>
      <c r="X1605" s="3">
        <v>-1800</v>
      </c>
    </row>
    <row r="1606" spans="1:24" s="2" customFormat="1" x14ac:dyDescent="0.2">
      <c r="A1606" s="2">
        <v>1606</v>
      </c>
      <c r="B1606" t="s">
        <v>647</v>
      </c>
      <c r="C1606" t="s">
        <v>648</v>
      </c>
      <c r="D1606" t="s">
        <v>2798</v>
      </c>
      <c r="E1606" t="s">
        <v>30</v>
      </c>
      <c r="F1606" t="s">
        <v>63</v>
      </c>
      <c r="G1606" t="s">
        <v>25</v>
      </c>
      <c r="H1606" t="str">
        <f t="shared" si="50"/>
        <v xml:space="preserve">6/12 - DARF IRPJ 6/12 | Recorrência: | Observações: </v>
      </c>
      <c r="I1606" t="s">
        <v>26</v>
      </c>
      <c r="J1606" s="5">
        <v>-963.67</v>
      </c>
      <c r="K1606" s="4">
        <v>778415.91</v>
      </c>
      <c r="L1606" t="s">
        <v>2723</v>
      </c>
      <c r="M1606" s="5">
        <v>-963.67</v>
      </c>
      <c r="N1606" s="3">
        <v>0</v>
      </c>
      <c r="O1606" t="s">
        <v>2796</v>
      </c>
      <c r="P1606" t="s">
        <v>1392</v>
      </c>
      <c r="Q1606" t="s">
        <v>2796</v>
      </c>
      <c r="R1606" t="str">
        <f t="shared" si="51"/>
        <v>Sim</v>
      </c>
      <c r="S1606" t="s">
        <v>2796</v>
      </c>
      <c r="T1606" t="s">
        <v>30</v>
      </c>
      <c r="U1606" t="s">
        <v>1508</v>
      </c>
      <c r="V1606" s="3">
        <v>-963.67</v>
      </c>
      <c r="W1606" t="s">
        <v>1115</v>
      </c>
      <c r="X1606" s="3">
        <v>-963.67</v>
      </c>
    </row>
    <row r="1607" spans="1:24" s="2" customFormat="1" x14ac:dyDescent="0.2">
      <c r="A1607">
        <v>1607</v>
      </c>
      <c r="B1607" t="s">
        <v>1509</v>
      </c>
      <c r="C1607" t="s">
        <v>1510</v>
      </c>
      <c r="D1607" t="s">
        <v>2799</v>
      </c>
      <c r="E1607" t="s">
        <v>30</v>
      </c>
      <c r="F1607" t="s">
        <v>24</v>
      </c>
      <c r="G1607" t="s">
        <v>25</v>
      </c>
      <c r="H1607" t="str">
        <f t="shared" si="50"/>
        <v xml:space="preserve">4/4 - GERENCIAMENTO &gt; Contrato: Salão de Festa_Churrasqueira_Hall Social  4/4 | Recorrência: | Observações: </v>
      </c>
      <c r="I1607" t="s">
        <v>991</v>
      </c>
      <c r="J1607" s="4">
        <v>2000</v>
      </c>
      <c r="K1607" s="4">
        <v>780415.91</v>
      </c>
      <c r="L1607" t="s">
        <v>2723</v>
      </c>
      <c r="M1607" s="4">
        <v>2000</v>
      </c>
      <c r="N1607" s="3">
        <v>0</v>
      </c>
      <c r="O1607" t="s">
        <v>2796</v>
      </c>
      <c r="P1607" t="s">
        <v>2020</v>
      </c>
      <c r="Q1607" t="s">
        <v>2796</v>
      </c>
      <c r="R1607" t="str">
        <f t="shared" si="51"/>
        <v>Sim</v>
      </c>
      <c r="S1607" t="s">
        <v>2796</v>
      </c>
      <c r="T1607" t="s">
        <v>30</v>
      </c>
      <c r="U1607" t="s">
        <v>274</v>
      </c>
      <c r="V1607" s="3">
        <v>2000</v>
      </c>
      <c r="W1607" t="s">
        <v>166</v>
      </c>
      <c r="X1607" s="3">
        <v>2000</v>
      </c>
    </row>
    <row r="1608" spans="1:24" s="2" customFormat="1" x14ac:dyDescent="0.2">
      <c r="A1608" s="2">
        <v>1608</v>
      </c>
      <c r="B1608" t="s">
        <v>1509</v>
      </c>
      <c r="C1608" t="s">
        <v>1510</v>
      </c>
      <c r="D1608" t="s">
        <v>2801</v>
      </c>
      <c r="E1608" t="s">
        <v>30</v>
      </c>
      <c r="F1608" t="s">
        <v>24</v>
      </c>
      <c r="G1608" t="s">
        <v>25</v>
      </c>
      <c r="H1608" t="str">
        <f t="shared" si="50"/>
        <v xml:space="preserve">2/4 - GERENCIAMENTO &gt; Contrato: Salão de Festa_Churrasqueira_Hall Social  2/4 | Recorrência: | Observações: </v>
      </c>
      <c r="I1608" t="s">
        <v>991</v>
      </c>
      <c r="J1608" s="4">
        <v>2000</v>
      </c>
      <c r="K1608" s="4">
        <v>782415.91</v>
      </c>
      <c r="L1608" t="s">
        <v>2723</v>
      </c>
      <c r="M1608" s="4">
        <v>2000</v>
      </c>
      <c r="N1608" s="3">
        <v>0</v>
      </c>
      <c r="O1608" t="s">
        <v>2800</v>
      </c>
      <c r="P1608" t="s">
        <v>2020</v>
      </c>
      <c r="Q1608" t="s">
        <v>2800</v>
      </c>
      <c r="R1608" t="str">
        <f t="shared" si="51"/>
        <v>Sim</v>
      </c>
      <c r="S1608" t="s">
        <v>2800</v>
      </c>
      <c r="T1608" t="s">
        <v>30</v>
      </c>
      <c r="U1608" t="s">
        <v>274</v>
      </c>
      <c r="V1608" s="3">
        <v>2000</v>
      </c>
      <c r="W1608" t="s">
        <v>166</v>
      </c>
      <c r="X1608" s="3">
        <v>2000</v>
      </c>
    </row>
    <row r="1609" spans="1:24" s="2" customFormat="1" x14ac:dyDescent="0.2">
      <c r="A1609">
        <v>1609</v>
      </c>
      <c r="B1609" t="s">
        <v>1373</v>
      </c>
      <c r="C1609" t="s">
        <v>1374</v>
      </c>
      <c r="D1609" t="s">
        <v>2803</v>
      </c>
      <c r="E1609" t="s">
        <v>30</v>
      </c>
      <c r="F1609" t="s">
        <v>24</v>
      </c>
      <c r="G1609" t="s">
        <v>25</v>
      </c>
      <c r="H1609" t="str">
        <f t="shared" si="50"/>
        <v xml:space="preserve">4/4 - GERENCIAMENTO AIR BROOKLIN - 02 STUDIOS 4/4 | Recorrência: | Observações: </v>
      </c>
      <c r="I1609" t="s">
        <v>491</v>
      </c>
      <c r="J1609" s="4">
        <v>3000</v>
      </c>
      <c r="K1609" s="4">
        <v>785415.91</v>
      </c>
      <c r="L1609" t="s">
        <v>2723</v>
      </c>
      <c r="M1609" s="4">
        <v>3000</v>
      </c>
      <c r="N1609" s="3">
        <v>0</v>
      </c>
      <c r="O1609" t="s">
        <v>2802</v>
      </c>
      <c r="P1609" t="s">
        <v>2268</v>
      </c>
      <c r="Q1609" t="s">
        <v>2802</v>
      </c>
      <c r="R1609" t="str">
        <f t="shared" si="51"/>
        <v>Sim</v>
      </c>
      <c r="S1609" t="s">
        <v>2802</v>
      </c>
      <c r="T1609" t="s">
        <v>30</v>
      </c>
      <c r="U1609" t="s">
        <v>274</v>
      </c>
      <c r="V1609" s="3">
        <v>3000</v>
      </c>
      <c r="W1609" t="s">
        <v>166</v>
      </c>
      <c r="X1609" s="3">
        <v>3000</v>
      </c>
    </row>
    <row r="1610" spans="1:24" s="2" customFormat="1" x14ac:dyDescent="0.2">
      <c r="A1610" s="2">
        <v>1610</v>
      </c>
      <c r="B1610"/>
      <c r="C1610" t="s">
        <v>153</v>
      </c>
      <c r="D1610" t="s">
        <v>2804</v>
      </c>
      <c r="E1610" t="s">
        <v>30</v>
      </c>
      <c r="F1610" t="s">
        <v>63</v>
      </c>
      <c r="G1610" t="s">
        <v>25</v>
      </c>
      <c r="H1610" t="str">
        <f t="shared" si="50"/>
        <v xml:space="preserve">2/4 - DARF COFINS - TRIMESTRAL 2/4 | Recorrência: | Observações: </v>
      </c>
      <c r="I1610" t="s">
        <v>26</v>
      </c>
      <c r="J1610" s="5">
        <v>-1516.77</v>
      </c>
      <c r="K1610" s="4">
        <v>783899.14</v>
      </c>
      <c r="L1610" t="s">
        <v>2723</v>
      </c>
      <c r="M1610" s="5">
        <v>-1516.77</v>
      </c>
      <c r="N1610" s="3">
        <v>0</v>
      </c>
      <c r="O1610" t="s">
        <v>2802</v>
      </c>
      <c r="P1610" t="s">
        <v>2536</v>
      </c>
      <c r="Q1610" t="s">
        <v>2802</v>
      </c>
      <c r="R1610" t="str">
        <f t="shared" si="51"/>
        <v>Sim</v>
      </c>
      <c r="S1610" t="s">
        <v>2802</v>
      </c>
      <c r="T1610" t="s">
        <v>30</v>
      </c>
      <c r="U1610" t="s">
        <v>1508</v>
      </c>
      <c r="V1610" s="3">
        <v>-1516.77</v>
      </c>
      <c r="W1610" t="s">
        <v>2570</v>
      </c>
      <c r="X1610" s="3">
        <v>-1516.77</v>
      </c>
    </row>
    <row r="1611" spans="1:24" s="2" customFormat="1" x14ac:dyDescent="0.2">
      <c r="A1611">
        <v>1611</v>
      </c>
      <c r="B1611" t="s">
        <v>1509</v>
      </c>
      <c r="C1611" t="s">
        <v>1510</v>
      </c>
      <c r="D1611" t="s">
        <v>2805</v>
      </c>
      <c r="E1611" t="s">
        <v>30</v>
      </c>
      <c r="F1611" t="s">
        <v>24</v>
      </c>
      <c r="G1611" t="s">
        <v>25</v>
      </c>
      <c r="H1611" t="str">
        <f t="shared" si="50"/>
        <v xml:space="preserve">2/4 - GERENCIAMENTO &gt; Contrato: Salão de Jogos_Academia 2/4 | Recorrência: | Observações: </v>
      </c>
      <c r="I1611" t="s">
        <v>991</v>
      </c>
      <c r="J1611" s="4">
        <v>500</v>
      </c>
      <c r="K1611" s="4">
        <v>784399.14</v>
      </c>
      <c r="L1611" t="s">
        <v>2723</v>
      </c>
      <c r="M1611" s="4">
        <v>500</v>
      </c>
      <c r="N1611" s="3">
        <v>0</v>
      </c>
      <c r="O1611" t="s">
        <v>2802</v>
      </c>
      <c r="P1611" t="s">
        <v>2020</v>
      </c>
      <c r="Q1611" t="s">
        <v>2802</v>
      </c>
      <c r="R1611" t="str">
        <f t="shared" si="51"/>
        <v>Sim</v>
      </c>
      <c r="S1611" t="s">
        <v>2802</v>
      </c>
      <c r="T1611" t="s">
        <v>30</v>
      </c>
      <c r="U1611" t="s">
        <v>274</v>
      </c>
      <c r="V1611" s="3">
        <v>500</v>
      </c>
      <c r="W1611" t="s">
        <v>166</v>
      </c>
      <c r="X1611" s="3">
        <v>500</v>
      </c>
    </row>
    <row r="1612" spans="1:24" s="2" customFormat="1" x14ac:dyDescent="0.2">
      <c r="A1612" s="2">
        <v>1612</v>
      </c>
      <c r="B1612" t="s">
        <v>1607</v>
      </c>
      <c r="C1612" t="s">
        <v>1608</v>
      </c>
      <c r="D1612" t="s">
        <v>2807</v>
      </c>
      <c r="E1612" t="s">
        <v>30</v>
      </c>
      <c r="F1612" t="s">
        <v>24</v>
      </c>
      <c r="G1612" t="s">
        <v>25</v>
      </c>
      <c r="H1612" t="str">
        <f t="shared" si="50"/>
        <v xml:space="preserve">2/2 - RT - O PARQUE_DIOGO_DIANA 2/2 | Recorrência: | Observações: </v>
      </c>
      <c r="I1612" t="s">
        <v>491</v>
      </c>
      <c r="J1612" s="4">
        <v>125.25</v>
      </c>
      <c r="K1612" s="4">
        <v>784524.39</v>
      </c>
      <c r="L1612" t="s">
        <v>2723</v>
      </c>
      <c r="M1612" s="4">
        <v>125.25</v>
      </c>
      <c r="N1612" s="3">
        <v>0</v>
      </c>
      <c r="O1612" t="s">
        <v>2806</v>
      </c>
      <c r="P1612" t="s">
        <v>2716</v>
      </c>
      <c r="Q1612" t="s">
        <v>2806</v>
      </c>
      <c r="R1612" t="str">
        <f t="shared" si="51"/>
        <v>Sim</v>
      </c>
      <c r="S1612" t="s">
        <v>2806</v>
      </c>
      <c r="T1612" t="s">
        <v>30</v>
      </c>
      <c r="U1612" t="s">
        <v>49</v>
      </c>
      <c r="V1612" s="3">
        <v>125.25</v>
      </c>
      <c r="W1612" t="s">
        <v>494</v>
      </c>
      <c r="X1612" s="3">
        <v>125.25</v>
      </c>
    </row>
    <row r="1613" spans="1:24" s="2" customFormat="1" x14ac:dyDescent="0.2">
      <c r="A1613">
        <v>1613</v>
      </c>
      <c r="B1613" t="s">
        <v>1048</v>
      </c>
      <c r="C1613" t="s">
        <v>1049</v>
      </c>
      <c r="D1613" t="s">
        <v>2809</v>
      </c>
      <c r="E1613" t="s">
        <v>30</v>
      </c>
      <c r="F1613" t="s">
        <v>24</v>
      </c>
      <c r="G1613" t="s">
        <v>25</v>
      </c>
      <c r="H1613" t="str">
        <f t="shared" si="50"/>
        <v>1/3 - RT -  AIR BROOKLIN_DIOGO 1/3 | Recorrência: | Observações: RT Conforme condições do cliente &gt; primeiro pagamento previsto somente em Abril</v>
      </c>
      <c r="I1613" t="s">
        <v>491</v>
      </c>
      <c r="J1613" s="4">
        <v>2000</v>
      </c>
      <c r="K1613" s="4">
        <v>786524.39</v>
      </c>
      <c r="L1613" t="s">
        <v>2723</v>
      </c>
      <c r="M1613" s="4">
        <v>2000</v>
      </c>
      <c r="N1613" s="3">
        <v>0</v>
      </c>
      <c r="O1613" t="s">
        <v>2808</v>
      </c>
      <c r="P1613" t="s">
        <v>2703</v>
      </c>
      <c r="Q1613" t="s">
        <v>2808</v>
      </c>
      <c r="R1613" t="str">
        <f t="shared" si="51"/>
        <v>Sim</v>
      </c>
      <c r="S1613" t="s">
        <v>2808</v>
      </c>
      <c r="T1613" t="s">
        <v>2810</v>
      </c>
      <c r="U1613" t="s">
        <v>49</v>
      </c>
      <c r="V1613" s="3">
        <v>2000</v>
      </c>
      <c r="W1613" t="s">
        <v>494</v>
      </c>
      <c r="X1613" s="3">
        <v>2000</v>
      </c>
    </row>
    <row r="1614" spans="1:24" s="2" customFormat="1" x14ac:dyDescent="0.2">
      <c r="A1614" s="2">
        <v>1614</v>
      </c>
      <c r="B1614"/>
      <c r="C1614" t="s">
        <v>828</v>
      </c>
      <c r="D1614" t="s">
        <v>830</v>
      </c>
      <c r="E1614" t="s">
        <v>2812</v>
      </c>
      <c r="F1614" t="s">
        <v>63</v>
      </c>
      <c r="G1614" t="s">
        <v>25</v>
      </c>
      <c r="H1614" t="str">
        <f t="shared" si="50"/>
        <v xml:space="preserve">PREFEITURA DO MUNICIPIO DE BERTIOGA | Recorrência:26/41 | Observações: REF.02 PAGAMENTOS </v>
      </c>
      <c r="I1614" t="s">
        <v>26</v>
      </c>
      <c r="J1614" s="5">
        <v>-228.16</v>
      </c>
      <c r="K1614" s="4">
        <v>786296.23</v>
      </c>
      <c r="L1614" t="s">
        <v>2723</v>
      </c>
      <c r="M1614" s="5">
        <v>-228.16</v>
      </c>
      <c r="N1614" s="3">
        <v>0</v>
      </c>
      <c r="O1614" t="s">
        <v>2811</v>
      </c>
      <c r="P1614" t="s">
        <v>2813</v>
      </c>
      <c r="Q1614" t="s">
        <v>2811</v>
      </c>
      <c r="R1614" t="str">
        <f t="shared" si="51"/>
        <v>Sim</v>
      </c>
      <c r="S1614" t="s">
        <v>2811</v>
      </c>
      <c r="T1614" t="s">
        <v>831</v>
      </c>
      <c r="U1614" t="s">
        <v>832</v>
      </c>
      <c r="V1614" s="3">
        <v>-228.16</v>
      </c>
    </row>
    <row r="1615" spans="1:24" s="2" customFormat="1" x14ac:dyDescent="0.2">
      <c r="A1615">
        <v>1615</v>
      </c>
      <c r="B1615"/>
      <c r="C1615" t="s">
        <v>153</v>
      </c>
      <c r="D1615" t="s">
        <v>2814</v>
      </c>
      <c r="E1615" t="s">
        <v>30</v>
      </c>
      <c r="F1615" t="s">
        <v>63</v>
      </c>
      <c r="G1615" t="s">
        <v>25</v>
      </c>
      <c r="H1615" t="str">
        <f t="shared" si="50"/>
        <v xml:space="preserve">5/13 - SALÁRIO - JULYA FIGUEIREDO - COORDENADORA 5/13 | Recorrência: | Observações: </v>
      </c>
      <c r="I1615" t="s">
        <v>491</v>
      </c>
      <c r="J1615" s="5">
        <v>-4500</v>
      </c>
      <c r="K1615" s="4">
        <v>781796.23</v>
      </c>
      <c r="L1615" t="s">
        <v>2723</v>
      </c>
      <c r="M1615" s="5">
        <v>-4500</v>
      </c>
      <c r="N1615" s="3">
        <v>0</v>
      </c>
      <c r="O1615" t="s">
        <v>2811</v>
      </c>
      <c r="P1615" t="s">
        <v>2418</v>
      </c>
      <c r="Q1615" t="s">
        <v>2811</v>
      </c>
      <c r="R1615" t="str">
        <f t="shared" si="51"/>
        <v>Sim</v>
      </c>
      <c r="S1615" t="s">
        <v>2811</v>
      </c>
      <c r="T1615" t="s">
        <v>30</v>
      </c>
      <c r="U1615" t="s">
        <v>323</v>
      </c>
      <c r="V1615" s="3">
        <v>-4500</v>
      </c>
      <c r="W1615" t="s">
        <v>1164</v>
      </c>
      <c r="X1615" s="3">
        <v>-4500</v>
      </c>
    </row>
    <row r="1616" spans="1:24" s="2" customFormat="1" x14ac:dyDescent="0.2">
      <c r="A1616" s="2">
        <v>1616</v>
      </c>
      <c r="B1616"/>
      <c r="C1616" t="s">
        <v>153</v>
      </c>
      <c r="D1616" t="s">
        <v>2815</v>
      </c>
      <c r="E1616" t="s">
        <v>30</v>
      </c>
      <c r="F1616" t="s">
        <v>63</v>
      </c>
      <c r="G1616" t="s">
        <v>25</v>
      </c>
      <c r="H1616" t="str">
        <f t="shared" si="50"/>
        <v xml:space="preserve">4/12 - DIÁRIAS JULIANA SOARES  4/12 | Recorrência: | Observações: </v>
      </c>
      <c r="I1616" t="s">
        <v>1113</v>
      </c>
      <c r="J1616" s="5">
        <v>-480</v>
      </c>
      <c r="K1616" s="4">
        <v>781316.23</v>
      </c>
      <c r="L1616" t="s">
        <v>2723</v>
      </c>
      <c r="M1616" s="5">
        <v>-480</v>
      </c>
      <c r="N1616" s="3">
        <v>0</v>
      </c>
      <c r="O1616" t="s">
        <v>2811</v>
      </c>
      <c r="P1616" t="s">
        <v>2481</v>
      </c>
      <c r="Q1616" t="s">
        <v>2811</v>
      </c>
      <c r="R1616" t="str">
        <f t="shared" si="51"/>
        <v>Sim</v>
      </c>
      <c r="S1616" t="s">
        <v>2811</v>
      </c>
      <c r="T1616" t="s">
        <v>30</v>
      </c>
      <c r="U1616" t="s">
        <v>691</v>
      </c>
      <c r="V1616" s="3">
        <v>-480</v>
      </c>
      <c r="W1616" t="s">
        <v>1722</v>
      </c>
      <c r="X1616" s="3">
        <v>-480</v>
      </c>
    </row>
    <row r="1617" spans="1:24" s="2" customFormat="1" x14ac:dyDescent="0.2">
      <c r="A1617">
        <v>1617</v>
      </c>
      <c r="B1617"/>
      <c r="C1617" t="s">
        <v>153</v>
      </c>
      <c r="D1617" t="s">
        <v>2816</v>
      </c>
      <c r="E1617" t="s">
        <v>30</v>
      </c>
      <c r="F1617" t="s">
        <v>63</v>
      </c>
      <c r="G1617" t="s">
        <v>25</v>
      </c>
      <c r="H1617" t="str">
        <f t="shared" si="50"/>
        <v xml:space="preserve">4/12 - ELIANE - VALE TRANSPORTE MÊS DE MAIO 4/12 | Recorrência: | Observações: </v>
      </c>
      <c r="I1617" t="s">
        <v>491</v>
      </c>
      <c r="J1617" s="5">
        <v>-363.33</v>
      </c>
      <c r="K1617" s="4">
        <v>780952.9</v>
      </c>
      <c r="L1617" t="s">
        <v>2723</v>
      </c>
      <c r="M1617" s="5">
        <v>-363.33</v>
      </c>
      <c r="N1617" s="3">
        <v>0</v>
      </c>
      <c r="O1617" t="s">
        <v>2811</v>
      </c>
      <c r="P1617" t="s">
        <v>2578</v>
      </c>
      <c r="Q1617" t="s">
        <v>2811</v>
      </c>
      <c r="R1617" t="str">
        <f t="shared" si="51"/>
        <v>Sim</v>
      </c>
      <c r="S1617" t="s">
        <v>2811</v>
      </c>
      <c r="T1617" t="s">
        <v>30</v>
      </c>
      <c r="U1617" t="s">
        <v>662</v>
      </c>
      <c r="V1617" s="3">
        <v>-363.33</v>
      </c>
      <c r="W1617" t="s">
        <v>698</v>
      </c>
      <c r="X1617" s="3">
        <v>-363.33</v>
      </c>
    </row>
    <row r="1618" spans="1:24" s="2" customFormat="1" x14ac:dyDescent="0.2">
      <c r="A1618" s="2">
        <v>1618</v>
      </c>
      <c r="B1618" t="s">
        <v>2237</v>
      </c>
      <c r="C1618" t="s">
        <v>2238</v>
      </c>
      <c r="D1618" t="s">
        <v>2818</v>
      </c>
      <c r="E1618" t="s">
        <v>30</v>
      </c>
      <c r="F1618" t="s">
        <v>24</v>
      </c>
      <c r="G1618" t="s">
        <v>25</v>
      </c>
      <c r="H1618" t="str">
        <f t="shared" si="50"/>
        <v xml:space="preserve">3/5 - GERENCIAMENTO  3/5 | Recorrência: | Observações: </v>
      </c>
      <c r="I1618" t="s">
        <v>491</v>
      </c>
      <c r="J1618" s="4">
        <v>4000</v>
      </c>
      <c r="K1618" s="4">
        <v>784952.9</v>
      </c>
      <c r="L1618" t="s">
        <v>2723</v>
      </c>
      <c r="M1618" s="4">
        <v>4000</v>
      </c>
      <c r="N1618" s="3">
        <v>0</v>
      </c>
      <c r="O1618" t="s">
        <v>2817</v>
      </c>
      <c r="P1618" t="s">
        <v>2212</v>
      </c>
      <c r="Q1618" t="s">
        <v>2817</v>
      </c>
      <c r="R1618" t="str">
        <f t="shared" si="51"/>
        <v>Sim</v>
      </c>
      <c r="S1618" t="s">
        <v>2817</v>
      </c>
      <c r="T1618" t="s">
        <v>30</v>
      </c>
      <c r="U1618" t="s">
        <v>274</v>
      </c>
      <c r="V1618" s="3">
        <v>4000</v>
      </c>
      <c r="W1618" t="s">
        <v>166</v>
      </c>
      <c r="X1618" s="3">
        <v>4000</v>
      </c>
    </row>
    <row r="1619" spans="1:24" s="2" customFormat="1" x14ac:dyDescent="0.2">
      <c r="A1619">
        <v>1619</v>
      </c>
      <c r="B1619"/>
      <c r="C1619" t="s">
        <v>153</v>
      </c>
      <c r="D1619" t="s">
        <v>2819</v>
      </c>
      <c r="E1619" t="s">
        <v>30</v>
      </c>
      <c r="F1619" t="s">
        <v>63</v>
      </c>
      <c r="G1619" t="s">
        <v>25</v>
      </c>
      <c r="H1619" t="str">
        <f t="shared" si="50"/>
        <v xml:space="preserve">5/12 - PRÓ LABORE MAYARA CLA 5/13 | Recorrência: | Observações: </v>
      </c>
      <c r="I1619" t="s">
        <v>991</v>
      </c>
      <c r="J1619" s="5">
        <v>-20000</v>
      </c>
      <c r="K1619" s="4">
        <v>764952.9</v>
      </c>
      <c r="L1619" t="s">
        <v>2723</v>
      </c>
      <c r="M1619" s="5">
        <v>-20000</v>
      </c>
      <c r="N1619" s="3">
        <v>0</v>
      </c>
      <c r="O1619" t="s">
        <v>2817</v>
      </c>
      <c r="P1619" t="s">
        <v>2261</v>
      </c>
      <c r="Q1619" t="s">
        <v>2817</v>
      </c>
      <c r="R1619" t="str">
        <f t="shared" si="51"/>
        <v>Sim</v>
      </c>
      <c r="S1619" t="s">
        <v>2817</v>
      </c>
      <c r="T1619" t="s">
        <v>30</v>
      </c>
      <c r="U1619" t="s">
        <v>323</v>
      </c>
      <c r="V1619" s="3">
        <v>-20000</v>
      </c>
      <c r="W1619" t="s">
        <v>1164</v>
      </c>
      <c r="X1619" s="3">
        <v>-20000</v>
      </c>
    </row>
    <row r="1620" spans="1:24" s="2" customFormat="1" x14ac:dyDescent="0.2">
      <c r="A1620" s="2">
        <v>1620</v>
      </c>
      <c r="B1620"/>
      <c r="C1620" t="s">
        <v>153</v>
      </c>
      <c r="D1620" t="s">
        <v>2820</v>
      </c>
      <c r="E1620" t="s">
        <v>30</v>
      </c>
      <c r="F1620" t="s">
        <v>63</v>
      </c>
      <c r="G1620" t="s">
        <v>25</v>
      </c>
      <c r="H1620" t="str">
        <f t="shared" si="50"/>
        <v xml:space="preserve">5/12 - PRÓ LABORE NATASHA  5/13 | Recorrência: | Observações: </v>
      </c>
      <c r="I1620" t="s">
        <v>991</v>
      </c>
      <c r="J1620" s="5">
        <v>-20000</v>
      </c>
      <c r="K1620" s="4">
        <v>744952.9</v>
      </c>
      <c r="L1620" t="s">
        <v>2723</v>
      </c>
      <c r="M1620" s="5">
        <v>-20000</v>
      </c>
      <c r="N1620" s="3">
        <v>0</v>
      </c>
      <c r="O1620" t="s">
        <v>2817</v>
      </c>
      <c r="P1620" t="s">
        <v>2261</v>
      </c>
      <c r="Q1620" t="s">
        <v>2817</v>
      </c>
      <c r="R1620" t="str">
        <f t="shared" si="51"/>
        <v>Sim</v>
      </c>
      <c r="S1620" t="s">
        <v>2817</v>
      </c>
      <c r="T1620" t="s">
        <v>30</v>
      </c>
      <c r="U1620" t="s">
        <v>323</v>
      </c>
      <c r="V1620" s="3">
        <v>-20000</v>
      </c>
      <c r="W1620" t="s">
        <v>1164</v>
      </c>
      <c r="X1620" s="3">
        <v>-20000</v>
      </c>
    </row>
    <row r="1621" spans="1:24" s="2" customFormat="1" x14ac:dyDescent="0.2">
      <c r="A1621">
        <v>1621</v>
      </c>
      <c r="B1621"/>
      <c r="C1621" t="s">
        <v>153</v>
      </c>
      <c r="D1621" t="s">
        <v>2821</v>
      </c>
      <c r="E1621" t="s">
        <v>30</v>
      </c>
      <c r="F1621" t="s">
        <v>63</v>
      </c>
      <c r="G1621" t="s">
        <v>25</v>
      </c>
      <c r="H1621" t="str">
        <f t="shared" si="50"/>
        <v xml:space="preserve">5/12 - SALÁRIO ELIANE  5/12 | Recorrência: | Observações: </v>
      </c>
      <c r="I1621" t="s">
        <v>491</v>
      </c>
      <c r="J1621" s="5">
        <v>-1700</v>
      </c>
      <c r="K1621" s="4">
        <v>743252.9</v>
      </c>
      <c r="L1621" t="s">
        <v>2723</v>
      </c>
      <c r="M1621" s="5">
        <v>-1700</v>
      </c>
      <c r="N1621" s="3">
        <v>0</v>
      </c>
      <c r="O1621" t="s">
        <v>2817</v>
      </c>
      <c r="P1621" t="s">
        <v>2261</v>
      </c>
      <c r="Q1621" t="s">
        <v>2817</v>
      </c>
      <c r="R1621" t="str">
        <f t="shared" si="51"/>
        <v>Sim</v>
      </c>
      <c r="S1621" t="s">
        <v>2817</v>
      </c>
      <c r="T1621" t="s">
        <v>30</v>
      </c>
      <c r="U1621" t="s">
        <v>323</v>
      </c>
      <c r="V1621" s="3">
        <v>-1700</v>
      </c>
      <c r="W1621" t="s">
        <v>1164</v>
      </c>
      <c r="X1621" s="3">
        <v>-1700</v>
      </c>
    </row>
    <row r="1622" spans="1:24" s="2" customFormat="1" x14ac:dyDescent="0.2">
      <c r="A1622" s="2">
        <v>1622</v>
      </c>
      <c r="B1622"/>
      <c r="C1622" t="s">
        <v>153</v>
      </c>
      <c r="D1622" t="s">
        <v>2822</v>
      </c>
      <c r="E1622" t="s">
        <v>30</v>
      </c>
      <c r="F1622" t="s">
        <v>63</v>
      </c>
      <c r="G1622" t="s">
        <v>25</v>
      </c>
      <c r="H1622" t="str">
        <f t="shared" si="50"/>
        <v xml:space="preserve">5/12 - SALÁRIO MAYARA OLIVEIRA  5/12 | Recorrência: | Observações: </v>
      </c>
      <c r="I1622" t="s">
        <v>491</v>
      </c>
      <c r="J1622" s="5">
        <v>-3200</v>
      </c>
      <c r="K1622" s="4">
        <v>740052.9</v>
      </c>
      <c r="L1622" t="s">
        <v>2723</v>
      </c>
      <c r="M1622" s="5">
        <v>-3200</v>
      </c>
      <c r="N1622" s="3">
        <v>0</v>
      </c>
      <c r="O1622" t="s">
        <v>2817</v>
      </c>
      <c r="P1622" t="s">
        <v>2261</v>
      </c>
      <c r="Q1622" t="s">
        <v>2817</v>
      </c>
      <c r="R1622" t="str">
        <f t="shared" si="51"/>
        <v>Sim</v>
      </c>
      <c r="S1622" t="s">
        <v>2817</v>
      </c>
      <c r="T1622" t="s">
        <v>30</v>
      </c>
      <c r="U1622" t="s">
        <v>323</v>
      </c>
      <c r="V1622" s="3">
        <v>-3200</v>
      </c>
      <c r="W1622" t="s">
        <v>1164</v>
      </c>
      <c r="X1622" s="3">
        <v>-3200</v>
      </c>
    </row>
    <row r="1623" spans="1:24" s="2" customFormat="1" x14ac:dyDescent="0.2">
      <c r="A1623">
        <v>1623</v>
      </c>
      <c r="B1623" t="s">
        <v>2265</v>
      </c>
      <c r="C1623" t="s">
        <v>2266</v>
      </c>
      <c r="D1623" t="s">
        <v>2823</v>
      </c>
      <c r="E1623" t="s">
        <v>30</v>
      </c>
      <c r="F1623" t="s">
        <v>24</v>
      </c>
      <c r="G1623" t="s">
        <v>25</v>
      </c>
      <c r="H1623" t="str">
        <f t="shared" si="50"/>
        <v xml:space="preserve">4/5 - GERENCIAMENTO - GABRIELA BROSCO E DANIEL  4/5 | Recorrência: | Observações: </v>
      </c>
      <c r="I1623" t="s">
        <v>991</v>
      </c>
      <c r="J1623" s="4">
        <v>3000</v>
      </c>
      <c r="K1623" s="4">
        <v>743052.9</v>
      </c>
      <c r="L1623" t="s">
        <v>2723</v>
      </c>
      <c r="M1623" s="4">
        <v>3000</v>
      </c>
      <c r="N1623" s="3">
        <v>0</v>
      </c>
      <c r="O1623" t="s">
        <v>2817</v>
      </c>
      <c r="P1623" t="s">
        <v>2268</v>
      </c>
      <c r="Q1623" t="s">
        <v>2817</v>
      </c>
      <c r="R1623" t="str">
        <f t="shared" si="51"/>
        <v>Sim</v>
      </c>
      <c r="S1623" t="s">
        <v>2817</v>
      </c>
      <c r="T1623" t="s">
        <v>30</v>
      </c>
      <c r="U1623" t="s">
        <v>274</v>
      </c>
      <c r="V1623" s="3">
        <v>3000</v>
      </c>
      <c r="W1623" t="s">
        <v>166</v>
      </c>
      <c r="X1623" s="3">
        <v>3000</v>
      </c>
    </row>
    <row r="1624" spans="1:24" s="2" customFormat="1" x14ac:dyDescent="0.2">
      <c r="A1624" s="2">
        <v>1624</v>
      </c>
      <c r="B1624"/>
      <c r="C1624" t="s">
        <v>710</v>
      </c>
      <c r="D1624" t="s">
        <v>2824</v>
      </c>
      <c r="E1624" t="s">
        <v>30</v>
      </c>
      <c r="F1624" t="s">
        <v>63</v>
      </c>
      <c r="G1624" t="s">
        <v>25</v>
      </c>
      <c r="H1624" t="str">
        <f t="shared" si="50"/>
        <v xml:space="preserve">5/12 - ENEL - ENERGIA ELÉTRICA referente a janeiro 5/12 | Recorrência: | Observações: </v>
      </c>
      <c r="I1624" t="s">
        <v>26</v>
      </c>
      <c r="J1624" s="5">
        <v>-384.62</v>
      </c>
      <c r="K1624" s="4">
        <v>742668.28</v>
      </c>
      <c r="L1624" t="s">
        <v>2723</v>
      </c>
      <c r="M1624" s="5">
        <v>-384.62</v>
      </c>
      <c r="N1624" s="3">
        <v>0</v>
      </c>
      <c r="O1624" t="s">
        <v>2817</v>
      </c>
      <c r="P1624" t="s">
        <v>2577</v>
      </c>
      <c r="Q1624" t="s">
        <v>2817</v>
      </c>
      <c r="R1624" t="str">
        <f t="shared" si="51"/>
        <v>Sim</v>
      </c>
      <c r="S1624" t="s">
        <v>2817</v>
      </c>
      <c r="T1624" t="s">
        <v>30</v>
      </c>
      <c r="U1624" t="s">
        <v>125</v>
      </c>
      <c r="V1624" s="3">
        <v>-384.62</v>
      </c>
      <c r="W1624" t="s">
        <v>125</v>
      </c>
      <c r="X1624" s="3">
        <v>-384.62</v>
      </c>
    </row>
    <row r="1625" spans="1:24" s="2" customFormat="1" x14ac:dyDescent="0.2">
      <c r="A1625">
        <v>1625</v>
      </c>
      <c r="B1625"/>
      <c r="C1625" t="s">
        <v>153</v>
      </c>
      <c r="D1625" t="s">
        <v>2825</v>
      </c>
      <c r="E1625" t="s">
        <v>30</v>
      </c>
      <c r="F1625" t="s">
        <v>63</v>
      </c>
      <c r="G1625" t="s">
        <v>25</v>
      </c>
      <c r="H1625" t="str">
        <f t="shared" si="50"/>
        <v xml:space="preserve">3/11 - SALÁRIO - MANU_ESTAGIÁRIA  3/11 | Recorrência: | Observações: </v>
      </c>
      <c r="I1625" t="s">
        <v>491</v>
      </c>
      <c r="J1625" s="5">
        <v>-960</v>
      </c>
      <c r="K1625" s="4">
        <v>741708.28</v>
      </c>
      <c r="L1625" t="s">
        <v>2723</v>
      </c>
      <c r="M1625" s="5">
        <v>-960</v>
      </c>
      <c r="N1625" s="3">
        <v>0</v>
      </c>
      <c r="O1625" t="s">
        <v>2817</v>
      </c>
      <c r="P1625" t="s">
        <v>2658</v>
      </c>
      <c r="Q1625" t="s">
        <v>2817</v>
      </c>
      <c r="R1625" t="str">
        <f t="shared" si="51"/>
        <v>Sim</v>
      </c>
      <c r="S1625" t="s">
        <v>2817</v>
      </c>
      <c r="T1625" t="s">
        <v>30</v>
      </c>
      <c r="U1625" t="s">
        <v>323</v>
      </c>
      <c r="V1625" s="3">
        <v>-960</v>
      </c>
      <c r="W1625" t="s">
        <v>323</v>
      </c>
      <c r="X1625" s="3">
        <v>-960</v>
      </c>
    </row>
    <row r="1626" spans="1:24" s="2" customFormat="1" x14ac:dyDescent="0.2">
      <c r="A1626" s="2">
        <v>1626</v>
      </c>
      <c r="B1626"/>
      <c r="C1626" t="s">
        <v>153</v>
      </c>
      <c r="D1626" t="s">
        <v>2826</v>
      </c>
      <c r="E1626" t="s">
        <v>30</v>
      </c>
      <c r="F1626" t="s">
        <v>63</v>
      </c>
      <c r="G1626" t="s">
        <v>25</v>
      </c>
      <c r="H1626" t="str">
        <f t="shared" si="50"/>
        <v xml:space="preserve">3/10 - SALÁRIO KARINA ESTAGIARIA 3/10 | Recorrência: | Observações: </v>
      </c>
      <c r="I1626" t="s">
        <v>491</v>
      </c>
      <c r="J1626" s="5">
        <v>-2200</v>
      </c>
      <c r="K1626" s="4">
        <v>739508.28</v>
      </c>
      <c r="L1626" t="s">
        <v>2723</v>
      </c>
      <c r="M1626" s="5">
        <v>-2200</v>
      </c>
      <c r="N1626" s="3">
        <v>0</v>
      </c>
      <c r="O1626" t="s">
        <v>2817</v>
      </c>
      <c r="P1626" t="s">
        <v>2616</v>
      </c>
      <c r="Q1626" t="s">
        <v>2817</v>
      </c>
      <c r="R1626" t="str">
        <f t="shared" si="51"/>
        <v>Sim</v>
      </c>
      <c r="S1626" t="s">
        <v>2817</v>
      </c>
      <c r="T1626" t="s">
        <v>30</v>
      </c>
      <c r="U1626" t="s">
        <v>323</v>
      </c>
      <c r="V1626" s="3">
        <v>-2200</v>
      </c>
      <c r="W1626" t="s">
        <v>323</v>
      </c>
      <c r="X1626" s="3">
        <v>-2200</v>
      </c>
    </row>
    <row r="1627" spans="1:24" s="2" customFormat="1" x14ac:dyDescent="0.2">
      <c r="A1627">
        <v>1627</v>
      </c>
      <c r="B1627"/>
      <c r="C1627" t="s">
        <v>574</v>
      </c>
      <c r="D1627" t="s">
        <v>2828</v>
      </c>
      <c r="E1627" t="s">
        <v>30</v>
      </c>
      <c r="F1627" t="s">
        <v>63</v>
      </c>
      <c r="G1627" t="s">
        <v>25</v>
      </c>
      <c r="H1627" t="str">
        <f t="shared" si="50"/>
        <v xml:space="preserve">5/12 - CONDOMINIO+ALUGUEL  5/12 | Recorrência: | Observações: </v>
      </c>
      <c r="I1627" t="s">
        <v>491</v>
      </c>
      <c r="J1627" s="5">
        <v>-6083.33</v>
      </c>
      <c r="K1627" s="4">
        <v>733424.95</v>
      </c>
      <c r="L1627" t="s">
        <v>2723</v>
      </c>
      <c r="M1627" s="5">
        <v>-6083.33</v>
      </c>
      <c r="N1627" s="3">
        <v>0</v>
      </c>
      <c r="O1627" t="s">
        <v>2827</v>
      </c>
      <c r="P1627" t="s">
        <v>2472</v>
      </c>
      <c r="Q1627" t="s">
        <v>2827</v>
      </c>
      <c r="R1627" t="str">
        <f t="shared" si="51"/>
        <v>Sim</v>
      </c>
      <c r="S1627" t="s">
        <v>2827</v>
      </c>
      <c r="T1627" t="s">
        <v>30</v>
      </c>
      <c r="U1627" t="s">
        <v>571</v>
      </c>
      <c r="V1627" s="3">
        <v>-6083.33</v>
      </c>
      <c r="W1627" t="s">
        <v>570</v>
      </c>
      <c r="X1627" s="3">
        <v>-6083.33</v>
      </c>
    </row>
    <row r="1628" spans="1:24" s="2" customFormat="1" x14ac:dyDescent="0.2">
      <c r="A1628" s="2">
        <v>1628</v>
      </c>
      <c r="B1628" t="s">
        <v>1373</v>
      </c>
      <c r="C1628" t="s">
        <v>1374</v>
      </c>
      <c r="D1628" t="s">
        <v>2830</v>
      </c>
      <c r="E1628" t="s">
        <v>30</v>
      </c>
      <c r="F1628" t="s">
        <v>24</v>
      </c>
      <c r="G1628" t="s">
        <v>25</v>
      </c>
      <c r="H1628" t="str">
        <f t="shared" si="50"/>
        <v xml:space="preserve">3/3 - PROJETO GRAND VITALI _ DIANA E DIOGO  3/3 | Recorrência: | Observações: </v>
      </c>
      <c r="I1628" t="s">
        <v>491</v>
      </c>
      <c r="J1628" s="4">
        <v>2240</v>
      </c>
      <c r="K1628" s="4">
        <v>735664.95</v>
      </c>
      <c r="L1628" t="s">
        <v>2723</v>
      </c>
      <c r="M1628" s="4">
        <v>2240</v>
      </c>
      <c r="N1628" s="3">
        <v>0</v>
      </c>
      <c r="O1628" t="s">
        <v>2829</v>
      </c>
      <c r="P1628" t="s">
        <v>2655</v>
      </c>
      <c r="Q1628" t="s">
        <v>2829</v>
      </c>
      <c r="R1628" t="str">
        <f t="shared" si="51"/>
        <v>Sim</v>
      </c>
      <c r="S1628" t="s">
        <v>2829</v>
      </c>
      <c r="T1628" t="s">
        <v>30</v>
      </c>
      <c r="U1628" t="s">
        <v>31</v>
      </c>
      <c r="V1628" s="3">
        <v>2240</v>
      </c>
      <c r="W1628" t="s">
        <v>32</v>
      </c>
      <c r="X1628" s="3">
        <v>2240</v>
      </c>
    </row>
    <row r="1629" spans="1:24" s="2" customFormat="1" x14ac:dyDescent="0.2">
      <c r="A1629">
        <v>1629</v>
      </c>
      <c r="B1629" t="s">
        <v>647</v>
      </c>
      <c r="C1629" t="s">
        <v>648</v>
      </c>
      <c r="D1629" t="s">
        <v>2832</v>
      </c>
      <c r="E1629" t="s">
        <v>30</v>
      </c>
      <c r="F1629" t="s">
        <v>63</v>
      </c>
      <c r="G1629" t="s">
        <v>25</v>
      </c>
      <c r="H1629" t="str">
        <f t="shared" si="50"/>
        <v xml:space="preserve">5/12 - HONORÁRIOS CONTÁBEIS  5/12 | Recorrência: | Observações: </v>
      </c>
      <c r="I1629" t="s">
        <v>755</v>
      </c>
      <c r="J1629" s="5">
        <v>-1217.5</v>
      </c>
      <c r="K1629" s="4">
        <v>734447.45</v>
      </c>
      <c r="L1629" t="s">
        <v>2723</v>
      </c>
      <c r="M1629" s="5">
        <v>-1217.5</v>
      </c>
      <c r="N1629" s="3">
        <v>0</v>
      </c>
      <c r="O1629" t="s">
        <v>2831</v>
      </c>
      <c r="P1629" t="s">
        <v>2536</v>
      </c>
      <c r="Q1629" t="s">
        <v>2831</v>
      </c>
      <c r="R1629" t="str">
        <f t="shared" si="51"/>
        <v>Sim</v>
      </c>
      <c r="S1629" t="s">
        <v>2831</v>
      </c>
      <c r="T1629" t="s">
        <v>30</v>
      </c>
      <c r="U1629" t="s">
        <v>608</v>
      </c>
      <c r="V1629" s="3">
        <v>-1217.5</v>
      </c>
      <c r="W1629" t="s">
        <v>1722</v>
      </c>
      <c r="X1629" s="3">
        <v>-1217.5</v>
      </c>
    </row>
    <row r="1630" spans="1:24" s="2" customFormat="1" x14ac:dyDescent="0.2">
      <c r="A1630" s="2">
        <v>1630</v>
      </c>
      <c r="B1630"/>
      <c r="C1630" t="s">
        <v>153</v>
      </c>
      <c r="D1630" t="s">
        <v>2834</v>
      </c>
      <c r="E1630" t="s">
        <v>30</v>
      </c>
      <c r="F1630" t="s">
        <v>63</v>
      </c>
      <c r="G1630" t="s">
        <v>25</v>
      </c>
      <c r="H1630" t="str">
        <f t="shared" si="50"/>
        <v xml:space="preserve">5/11 - SODEXO - ELIANE 5/12 | Recorrência: | Observações: </v>
      </c>
      <c r="I1630" t="s">
        <v>755</v>
      </c>
      <c r="J1630" s="5">
        <v>-776.6</v>
      </c>
      <c r="K1630" s="4">
        <v>733670.85</v>
      </c>
      <c r="L1630" t="s">
        <v>2723</v>
      </c>
      <c r="M1630" s="5">
        <v>-776.6</v>
      </c>
      <c r="N1630" s="3">
        <v>0</v>
      </c>
      <c r="O1630" t="s">
        <v>2833</v>
      </c>
      <c r="P1630" t="s">
        <v>2536</v>
      </c>
      <c r="Q1630" t="s">
        <v>2833</v>
      </c>
      <c r="R1630" t="str">
        <f t="shared" si="51"/>
        <v>Sim</v>
      </c>
      <c r="S1630" t="s">
        <v>2833</v>
      </c>
      <c r="T1630" t="s">
        <v>30</v>
      </c>
      <c r="U1630" t="s">
        <v>93</v>
      </c>
      <c r="V1630" s="3">
        <v>-776.6</v>
      </c>
      <c r="W1630" t="s">
        <v>331</v>
      </c>
      <c r="X1630" s="3">
        <v>-776.6</v>
      </c>
    </row>
    <row r="1631" spans="1:24" s="2" customFormat="1" x14ac:dyDescent="0.2">
      <c r="A1631">
        <v>1631</v>
      </c>
      <c r="B1631" t="s">
        <v>2632</v>
      </c>
      <c r="C1631" t="s">
        <v>2633</v>
      </c>
      <c r="D1631" t="s">
        <v>2836</v>
      </c>
      <c r="E1631" t="s">
        <v>30</v>
      </c>
      <c r="F1631" t="s">
        <v>24</v>
      </c>
      <c r="G1631" t="s">
        <v>25</v>
      </c>
      <c r="H1631" t="str">
        <f t="shared" si="50"/>
        <v xml:space="preserve">4/4 - RT PEDIDO RE 26071-2023 - FAUSTO BOLDINI E MARIEL  4/5 | Recorrência: | Observações: </v>
      </c>
      <c r="I1631" t="s">
        <v>491</v>
      </c>
      <c r="J1631" s="4">
        <v>552.5</v>
      </c>
      <c r="K1631" s="4">
        <v>734223.35</v>
      </c>
      <c r="L1631" t="s">
        <v>2723</v>
      </c>
      <c r="M1631" s="4">
        <v>552.5</v>
      </c>
      <c r="N1631" s="3">
        <v>0</v>
      </c>
      <c r="O1631" t="s">
        <v>2835</v>
      </c>
      <c r="P1631" t="s">
        <v>2573</v>
      </c>
      <c r="Q1631" t="s">
        <v>2835</v>
      </c>
      <c r="R1631" t="str">
        <f t="shared" si="51"/>
        <v>Sim</v>
      </c>
      <c r="S1631" t="s">
        <v>2835</v>
      </c>
      <c r="T1631" t="s">
        <v>30</v>
      </c>
      <c r="U1631" t="s">
        <v>49</v>
      </c>
      <c r="V1631" s="3">
        <v>552.5</v>
      </c>
      <c r="W1631" t="s">
        <v>494</v>
      </c>
      <c r="X1631" s="3">
        <v>552.5</v>
      </c>
    </row>
    <row r="1632" spans="1:24" s="2" customFormat="1" x14ac:dyDescent="0.2">
      <c r="A1632" s="2">
        <v>1632</v>
      </c>
      <c r="B1632" t="s">
        <v>647</v>
      </c>
      <c r="C1632" t="s">
        <v>648</v>
      </c>
      <c r="D1632" t="s">
        <v>2838</v>
      </c>
      <c r="E1632" t="s">
        <v>30</v>
      </c>
      <c r="F1632" t="s">
        <v>63</v>
      </c>
      <c r="G1632" t="s">
        <v>25</v>
      </c>
      <c r="H1632" t="str">
        <f t="shared" si="50"/>
        <v xml:space="preserve">5/12 - FGTS  5/12 | Recorrência: | Observações: </v>
      </c>
      <c r="I1632" t="s">
        <v>1113</v>
      </c>
      <c r="J1632" s="5">
        <v>-160</v>
      </c>
      <c r="K1632" s="4">
        <v>734063.35</v>
      </c>
      <c r="L1632" t="s">
        <v>2723</v>
      </c>
      <c r="M1632" s="5">
        <v>-160</v>
      </c>
      <c r="N1632" s="3">
        <v>0</v>
      </c>
      <c r="O1632" t="s">
        <v>2837</v>
      </c>
      <c r="P1632" t="s">
        <v>2285</v>
      </c>
      <c r="Q1632" t="s">
        <v>2837</v>
      </c>
      <c r="R1632" t="str">
        <f t="shared" si="51"/>
        <v>Sim</v>
      </c>
      <c r="S1632" t="s">
        <v>2837</v>
      </c>
      <c r="T1632" t="s">
        <v>30</v>
      </c>
      <c r="U1632" t="s">
        <v>1531</v>
      </c>
      <c r="V1632" s="3">
        <v>-160</v>
      </c>
      <c r="W1632" t="s">
        <v>650</v>
      </c>
      <c r="X1632" s="3">
        <v>-160</v>
      </c>
    </row>
    <row r="1633" spans="1:24" s="2" customFormat="1" x14ac:dyDescent="0.2">
      <c r="A1633">
        <v>1633</v>
      </c>
      <c r="B1633" t="s">
        <v>647</v>
      </c>
      <c r="C1633" t="s">
        <v>648</v>
      </c>
      <c r="D1633" t="s">
        <v>1556</v>
      </c>
      <c r="E1633" t="s">
        <v>566</v>
      </c>
      <c r="F1633" t="s">
        <v>63</v>
      </c>
      <c r="G1633" t="s">
        <v>25</v>
      </c>
      <c r="H1633" t="str">
        <f t="shared" si="50"/>
        <v xml:space="preserve">DARF PREVIDÊNCIARIO | Recorrência:5/12 | Observações: </v>
      </c>
      <c r="I1633" t="s">
        <v>26</v>
      </c>
      <c r="J1633" s="5">
        <v>-1500</v>
      </c>
      <c r="K1633" s="4">
        <v>732563.35</v>
      </c>
      <c r="L1633" t="s">
        <v>2723</v>
      </c>
      <c r="M1633" s="5">
        <v>-1500</v>
      </c>
      <c r="N1633" s="3">
        <v>0</v>
      </c>
      <c r="O1633" t="s">
        <v>2839</v>
      </c>
      <c r="P1633" t="s">
        <v>2792</v>
      </c>
      <c r="Q1633" t="s">
        <v>2839</v>
      </c>
      <c r="R1633" t="str">
        <f t="shared" si="51"/>
        <v>Sim</v>
      </c>
      <c r="S1633" t="s">
        <v>2839</v>
      </c>
      <c r="T1633" t="s">
        <v>30</v>
      </c>
      <c r="U1633" t="s">
        <v>601</v>
      </c>
      <c r="V1633" s="3">
        <v>-1500</v>
      </c>
      <c r="W1633" t="s">
        <v>376</v>
      </c>
      <c r="X1633" s="3">
        <v>-1500</v>
      </c>
    </row>
    <row r="1634" spans="1:24" s="2" customFormat="1" x14ac:dyDescent="0.2">
      <c r="A1634" s="2">
        <v>1634</v>
      </c>
      <c r="B1634" t="s">
        <v>2735</v>
      </c>
      <c r="C1634" t="s">
        <v>2736</v>
      </c>
      <c r="D1634" t="s">
        <v>2840</v>
      </c>
      <c r="E1634" t="s">
        <v>30</v>
      </c>
      <c r="F1634" t="s">
        <v>24</v>
      </c>
      <c r="G1634" t="s">
        <v>25</v>
      </c>
      <c r="H1634" t="str">
        <f t="shared" si="50"/>
        <v>3/4 - PROJETO  RICARDO JUAN E LILI 3/4 | Recorrência: | Observações: CPF não pertence ao cliente &gt; foi gerado no site para realização do caadastro 
https://www.geradordecpf.org/</v>
      </c>
      <c r="I1634" t="s">
        <v>491</v>
      </c>
      <c r="J1634" s="4">
        <v>6750</v>
      </c>
      <c r="K1634" s="4">
        <v>739313.35</v>
      </c>
      <c r="L1634" t="s">
        <v>2723</v>
      </c>
      <c r="M1634" s="4">
        <v>6750</v>
      </c>
      <c r="N1634" s="3">
        <v>0</v>
      </c>
      <c r="O1634" t="s">
        <v>2839</v>
      </c>
      <c r="P1634" t="s">
        <v>2707</v>
      </c>
      <c r="Q1634" t="s">
        <v>2839</v>
      </c>
      <c r="R1634" t="str">
        <f t="shared" si="51"/>
        <v>Sim</v>
      </c>
      <c r="S1634" t="s">
        <v>2839</v>
      </c>
      <c r="T1634" t="s">
        <v>2738</v>
      </c>
      <c r="U1634" t="s">
        <v>31</v>
      </c>
      <c r="V1634" s="3">
        <v>6750</v>
      </c>
      <c r="W1634" t="s">
        <v>32</v>
      </c>
      <c r="X1634" s="3">
        <v>6750</v>
      </c>
    </row>
    <row r="1635" spans="1:24" s="2" customFormat="1" x14ac:dyDescent="0.2">
      <c r="A1635">
        <v>1635</v>
      </c>
      <c r="B1635" t="s">
        <v>1509</v>
      </c>
      <c r="C1635" t="s">
        <v>1510</v>
      </c>
      <c r="D1635" t="s">
        <v>2842</v>
      </c>
      <c r="E1635" t="s">
        <v>30</v>
      </c>
      <c r="F1635" t="s">
        <v>24</v>
      </c>
      <c r="G1635" t="s">
        <v>25</v>
      </c>
      <c r="H1635" t="str">
        <f t="shared" si="50"/>
        <v xml:space="preserve">3/4 - GERENCIAMENTO &gt; Contrato: Salão de Jogos_Academia 3/4 | Recorrência: | Observações: </v>
      </c>
      <c r="I1635" t="s">
        <v>991</v>
      </c>
      <c r="J1635" s="4">
        <v>500</v>
      </c>
      <c r="K1635" s="4">
        <v>739813.35</v>
      </c>
      <c r="L1635" t="s">
        <v>2723</v>
      </c>
      <c r="M1635" s="4">
        <v>500</v>
      </c>
      <c r="N1635" s="3">
        <v>0</v>
      </c>
      <c r="O1635" t="s">
        <v>2841</v>
      </c>
      <c r="P1635" t="s">
        <v>2020</v>
      </c>
      <c r="Q1635" t="s">
        <v>2841</v>
      </c>
      <c r="R1635" t="str">
        <f t="shared" si="51"/>
        <v>Sim</v>
      </c>
      <c r="S1635" t="s">
        <v>2841</v>
      </c>
      <c r="T1635" t="s">
        <v>30</v>
      </c>
      <c r="U1635" t="s">
        <v>274</v>
      </c>
      <c r="V1635" s="3">
        <v>500</v>
      </c>
      <c r="W1635" t="s">
        <v>166</v>
      </c>
      <c r="X1635" s="3">
        <v>500</v>
      </c>
    </row>
    <row r="1636" spans="1:24" s="2" customFormat="1" x14ac:dyDescent="0.2">
      <c r="A1636" s="2">
        <v>1636</v>
      </c>
      <c r="B1636" t="s">
        <v>647</v>
      </c>
      <c r="C1636" t="s">
        <v>648</v>
      </c>
      <c r="D1636" t="s">
        <v>2844</v>
      </c>
      <c r="E1636" t="s">
        <v>30</v>
      </c>
      <c r="F1636" t="s">
        <v>63</v>
      </c>
      <c r="G1636" t="s">
        <v>25</v>
      </c>
      <c r="H1636" t="str">
        <f t="shared" si="50"/>
        <v xml:space="preserve">18/35 - DARF ISS 18/36 | Recorrência: | Observações: </v>
      </c>
      <c r="I1636" t="s">
        <v>26</v>
      </c>
      <c r="J1636" s="5">
        <v>-671.87</v>
      </c>
      <c r="K1636" s="4">
        <v>739141.48</v>
      </c>
      <c r="L1636" t="s">
        <v>2723</v>
      </c>
      <c r="M1636" s="5">
        <v>-671.87</v>
      </c>
      <c r="N1636" s="3">
        <v>0</v>
      </c>
      <c r="O1636" t="s">
        <v>2843</v>
      </c>
      <c r="P1636" t="s">
        <v>1474</v>
      </c>
      <c r="Q1636" t="s">
        <v>2843</v>
      </c>
      <c r="R1636" t="str">
        <f t="shared" si="51"/>
        <v>Sim</v>
      </c>
      <c r="S1636" t="s">
        <v>2843</v>
      </c>
      <c r="T1636" t="s">
        <v>30</v>
      </c>
      <c r="U1636" t="s">
        <v>1098</v>
      </c>
      <c r="V1636" s="3">
        <v>-671.87</v>
      </c>
      <c r="W1636" t="s">
        <v>324</v>
      </c>
      <c r="X1636" s="3">
        <v>-671.87</v>
      </c>
    </row>
    <row r="1637" spans="1:24" s="2" customFormat="1" x14ac:dyDescent="0.2">
      <c r="A1637">
        <v>1637</v>
      </c>
      <c r="B1637" t="s">
        <v>1048</v>
      </c>
      <c r="C1637" t="s">
        <v>1049</v>
      </c>
      <c r="D1637" t="s">
        <v>2845</v>
      </c>
      <c r="E1637" t="s">
        <v>30</v>
      </c>
      <c r="F1637" t="s">
        <v>24</v>
      </c>
      <c r="G1637" t="s">
        <v>25</v>
      </c>
      <c r="H1637" t="str">
        <f t="shared" si="50"/>
        <v xml:space="preserve">2/3 - RT -  AIR BROOKLIN_DIOGO 2/3 | Recorrência: | Observações: </v>
      </c>
      <c r="I1637" t="s">
        <v>491</v>
      </c>
      <c r="J1637" s="4">
        <v>1500</v>
      </c>
      <c r="K1637" s="4">
        <v>740641.48</v>
      </c>
      <c r="L1637" t="s">
        <v>2723</v>
      </c>
      <c r="M1637" s="4">
        <v>1500</v>
      </c>
      <c r="N1637" s="3">
        <v>0</v>
      </c>
      <c r="O1637" t="s">
        <v>2843</v>
      </c>
      <c r="P1637" t="s">
        <v>2703</v>
      </c>
      <c r="Q1637" t="s">
        <v>2843</v>
      </c>
      <c r="R1637" t="str">
        <f t="shared" si="51"/>
        <v>Sim</v>
      </c>
      <c r="S1637" t="s">
        <v>2843</v>
      </c>
      <c r="T1637" t="s">
        <v>30</v>
      </c>
      <c r="U1637" t="s">
        <v>49</v>
      </c>
      <c r="V1637" s="3">
        <v>1500</v>
      </c>
      <c r="W1637" t="s">
        <v>494</v>
      </c>
      <c r="X1637" s="3">
        <v>1500</v>
      </c>
    </row>
    <row r="1638" spans="1:24" s="2" customFormat="1" x14ac:dyDescent="0.2">
      <c r="A1638" s="2">
        <v>1638</v>
      </c>
      <c r="B1638"/>
      <c r="C1638" t="s">
        <v>153</v>
      </c>
      <c r="D1638" t="s">
        <v>2847</v>
      </c>
      <c r="E1638" t="s">
        <v>30</v>
      </c>
      <c r="F1638" t="s">
        <v>63</v>
      </c>
      <c r="G1638" t="s">
        <v>25</v>
      </c>
      <c r="H1638" t="str">
        <f t="shared" si="50"/>
        <v xml:space="preserve">6/13 - SALÁRIO - JULYA FIGUEIREDO - COORDENADORA 6/13 | Recorrência: | Observações: </v>
      </c>
      <c r="I1638" t="s">
        <v>491</v>
      </c>
      <c r="J1638" s="5">
        <v>-4500</v>
      </c>
      <c r="K1638" s="4">
        <v>736141.48</v>
      </c>
      <c r="L1638" t="s">
        <v>2723</v>
      </c>
      <c r="M1638" s="5">
        <v>-4500</v>
      </c>
      <c r="N1638" s="3">
        <v>0</v>
      </c>
      <c r="O1638" t="s">
        <v>2846</v>
      </c>
      <c r="P1638" t="s">
        <v>2418</v>
      </c>
      <c r="Q1638" t="s">
        <v>2846</v>
      </c>
      <c r="R1638" t="str">
        <f t="shared" si="51"/>
        <v>Sim</v>
      </c>
      <c r="S1638" t="s">
        <v>2846</v>
      </c>
      <c r="T1638" t="s">
        <v>30</v>
      </c>
      <c r="U1638" t="s">
        <v>323</v>
      </c>
      <c r="V1638" s="3">
        <v>-4500</v>
      </c>
      <c r="W1638" t="s">
        <v>1164</v>
      </c>
      <c r="X1638" s="3">
        <v>-4500</v>
      </c>
    </row>
    <row r="1639" spans="1:24" s="2" customFormat="1" x14ac:dyDescent="0.2">
      <c r="A1639">
        <v>1639</v>
      </c>
      <c r="B1639"/>
      <c r="C1639" t="s">
        <v>153</v>
      </c>
      <c r="D1639" t="s">
        <v>2848</v>
      </c>
      <c r="E1639" t="s">
        <v>30</v>
      </c>
      <c r="F1639" t="s">
        <v>63</v>
      </c>
      <c r="G1639" t="s">
        <v>25</v>
      </c>
      <c r="H1639" t="str">
        <f t="shared" si="50"/>
        <v xml:space="preserve">5/12 - DIÁRIAS JULIANA SOARES  5/12 | Recorrência: | Observações: </v>
      </c>
      <c r="I1639" t="s">
        <v>1113</v>
      </c>
      <c r="J1639" s="5">
        <v>-600</v>
      </c>
      <c r="K1639" s="4">
        <v>735541.48</v>
      </c>
      <c r="L1639" t="s">
        <v>2723</v>
      </c>
      <c r="M1639" s="5">
        <v>-600</v>
      </c>
      <c r="N1639" s="3">
        <v>0</v>
      </c>
      <c r="O1639" t="s">
        <v>2846</v>
      </c>
      <c r="P1639" t="s">
        <v>2481</v>
      </c>
      <c r="Q1639" t="s">
        <v>2846</v>
      </c>
      <c r="R1639" t="str">
        <f t="shared" si="51"/>
        <v>Sim</v>
      </c>
      <c r="S1639" t="s">
        <v>2846</v>
      </c>
      <c r="T1639" t="s">
        <v>30</v>
      </c>
      <c r="U1639" t="s">
        <v>691</v>
      </c>
      <c r="V1639" s="3">
        <v>-600</v>
      </c>
      <c r="W1639" t="s">
        <v>1722</v>
      </c>
      <c r="X1639" s="3">
        <v>-600</v>
      </c>
    </row>
    <row r="1640" spans="1:24" s="2" customFormat="1" x14ac:dyDescent="0.2">
      <c r="A1640" s="2">
        <v>1640</v>
      </c>
      <c r="B1640"/>
      <c r="C1640" t="s">
        <v>153</v>
      </c>
      <c r="D1640" t="s">
        <v>2849</v>
      </c>
      <c r="E1640" t="s">
        <v>30</v>
      </c>
      <c r="F1640" t="s">
        <v>63</v>
      </c>
      <c r="G1640" t="s">
        <v>25</v>
      </c>
      <c r="H1640" t="str">
        <f t="shared" si="50"/>
        <v xml:space="preserve">5/12 - ELIANE - VALE TRANSPORTE MÊS DE JUNHO 5/12 | Recorrência: | Observações: </v>
      </c>
      <c r="I1640" t="s">
        <v>491</v>
      </c>
      <c r="J1640" s="5">
        <v>-363.33</v>
      </c>
      <c r="K1640" s="4">
        <v>735178.15</v>
      </c>
      <c r="L1640" t="s">
        <v>2723</v>
      </c>
      <c r="M1640" s="5">
        <v>-363.33</v>
      </c>
      <c r="N1640" s="3">
        <v>0</v>
      </c>
      <c r="O1640" t="s">
        <v>2846</v>
      </c>
      <c r="P1640" t="s">
        <v>2578</v>
      </c>
      <c r="Q1640" t="s">
        <v>2846</v>
      </c>
      <c r="R1640" t="str">
        <f t="shared" si="51"/>
        <v>Sim</v>
      </c>
      <c r="S1640" t="s">
        <v>2846</v>
      </c>
      <c r="T1640" t="s">
        <v>30</v>
      </c>
      <c r="U1640" t="s">
        <v>662</v>
      </c>
      <c r="V1640" s="3">
        <v>-363.33</v>
      </c>
      <c r="W1640" t="s">
        <v>698</v>
      </c>
      <c r="X1640" s="3">
        <v>-363.33</v>
      </c>
    </row>
    <row r="1641" spans="1:24" s="2" customFormat="1" x14ac:dyDescent="0.2">
      <c r="A1641">
        <v>1641</v>
      </c>
      <c r="B1641"/>
      <c r="C1641" t="s">
        <v>828</v>
      </c>
      <c r="D1641" t="s">
        <v>830</v>
      </c>
      <c r="E1641" t="s">
        <v>2851</v>
      </c>
      <c r="F1641" t="s">
        <v>63</v>
      </c>
      <c r="G1641" t="s">
        <v>25</v>
      </c>
      <c r="H1641" t="str">
        <f t="shared" si="50"/>
        <v xml:space="preserve">PREFEITURA DO MUNICIPIO DE BERTIOGA | Recorrência:27/41 | Observações: REF.02 PAGAMENTOS </v>
      </c>
      <c r="I1641" t="s">
        <v>26</v>
      </c>
      <c r="J1641" s="5">
        <v>-228.16</v>
      </c>
      <c r="K1641" s="4">
        <v>734949.99</v>
      </c>
      <c r="L1641" t="s">
        <v>2723</v>
      </c>
      <c r="M1641" s="5">
        <v>-228.16</v>
      </c>
      <c r="N1641" s="3">
        <v>0</v>
      </c>
      <c r="O1641" t="s">
        <v>2850</v>
      </c>
      <c r="P1641" t="s">
        <v>2852</v>
      </c>
      <c r="Q1641" t="s">
        <v>2850</v>
      </c>
      <c r="R1641" t="str">
        <f t="shared" si="51"/>
        <v>Sim</v>
      </c>
      <c r="S1641" t="s">
        <v>2850</v>
      </c>
      <c r="T1641" t="s">
        <v>831</v>
      </c>
      <c r="U1641" t="s">
        <v>832</v>
      </c>
      <c r="V1641" s="3">
        <v>-228.16</v>
      </c>
    </row>
    <row r="1642" spans="1:24" s="2" customFormat="1" x14ac:dyDescent="0.2">
      <c r="A1642" s="2">
        <v>1642</v>
      </c>
      <c r="B1642" t="s">
        <v>2265</v>
      </c>
      <c r="C1642" t="s">
        <v>2266</v>
      </c>
      <c r="D1642" t="s">
        <v>2853</v>
      </c>
      <c r="E1642" t="s">
        <v>30</v>
      </c>
      <c r="F1642" t="s">
        <v>24</v>
      </c>
      <c r="G1642" t="s">
        <v>25</v>
      </c>
      <c r="H1642" t="str">
        <f t="shared" si="50"/>
        <v xml:space="preserve">5/5 - GERENCIAMENTO - GABRIELA BROSCO E DANIEL  5/5 | Recorrência: | Observações: </v>
      </c>
      <c r="I1642" t="s">
        <v>991</v>
      </c>
      <c r="J1642" s="4">
        <v>3000</v>
      </c>
      <c r="K1642" s="4">
        <v>737949.99</v>
      </c>
      <c r="L1642" t="s">
        <v>2723</v>
      </c>
      <c r="M1642" s="4">
        <v>3000</v>
      </c>
      <c r="N1642" s="3">
        <v>0</v>
      </c>
      <c r="O1642" t="s">
        <v>2850</v>
      </c>
      <c r="P1642" t="s">
        <v>2268</v>
      </c>
      <c r="Q1642" t="s">
        <v>2850</v>
      </c>
      <c r="R1642" t="str">
        <f t="shared" si="51"/>
        <v>Sim</v>
      </c>
      <c r="S1642" t="s">
        <v>2850</v>
      </c>
      <c r="T1642" t="s">
        <v>30</v>
      </c>
      <c r="U1642" t="s">
        <v>274</v>
      </c>
      <c r="V1642" s="3">
        <v>3000</v>
      </c>
      <c r="W1642" t="s">
        <v>166</v>
      </c>
      <c r="X1642" s="3">
        <v>3000</v>
      </c>
    </row>
    <row r="1643" spans="1:24" s="2" customFormat="1" x14ac:dyDescent="0.2">
      <c r="A1643">
        <v>1643</v>
      </c>
      <c r="B1643" t="s">
        <v>2237</v>
      </c>
      <c r="C1643" t="s">
        <v>2238</v>
      </c>
      <c r="D1643" t="s">
        <v>2855</v>
      </c>
      <c r="E1643" t="s">
        <v>30</v>
      </c>
      <c r="F1643" t="s">
        <v>24</v>
      </c>
      <c r="G1643" t="s">
        <v>25</v>
      </c>
      <c r="H1643" t="str">
        <f t="shared" si="50"/>
        <v xml:space="preserve">4/5 - GERENCIAMENTO  4/5 | Recorrência: | Observações: </v>
      </c>
      <c r="I1643" t="s">
        <v>491</v>
      </c>
      <c r="J1643" s="4">
        <v>4000</v>
      </c>
      <c r="K1643" s="4">
        <v>741949.99</v>
      </c>
      <c r="L1643" t="s">
        <v>2723</v>
      </c>
      <c r="M1643" s="4">
        <v>4000</v>
      </c>
      <c r="N1643" s="3">
        <v>0</v>
      </c>
      <c r="O1643" t="s">
        <v>2854</v>
      </c>
      <c r="P1643" t="s">
        <v>2212</v>
      </c>
      <c r="Q1643" t="s">
        <v>2854</v>
      </c>
      <c r="R1643" t="str">
        <f t="shared" si="51"/>
        <v>Sim</v>
      </c>
      <c r="S1643" t="s">
        <v>2854</v>
      </c>
      <c r="T1643" t="s">
        <v>30</v>
      </c>
      <c r="U1643" t="s">
        <v>274</v>
      </c>
      <c r="V1643" s="3">
        <v>4000</v>
      </c>
      <c r="W1643" t="s">
        <v>166</v>
      </c>
      <c r="X1643" s="3">
        <v>4000</v>
      </c>
    </row>
    <row r="1644" spans="1:24" s="2" customFormat="1" x14ac:dyDescent="0.2">
      <c r="A1644" s="2">
        <v>1644</v>
      </c>
      <c r="B1644"/>
      <c r="C1644" t="s">
        <v>153</v>
      </c>
      <c r="D1644" t="s">
        <v>2856</v>
      </c>
      <c r="E1644" t="s">
        <v>30</v>
      </c>
      <c r="F1644" t="s">
        <v>63</v>
      </c>
      <c r="G1644" t="s">
        <v>25</v>
      </c>
      <c r="H1644" t="str">
        <f t="shared" si="50"/>
        <v xml:space="preserve">4/11 - SALÁRIO - MANU_ESTAGIÁRIA  4/11 | Recorrência: | Observações: </v>
      </c>
      <c r="I1644" t="s">
        <v>491</v>
      </c>
      <c r="J1644" s="5">
        <v>-960</v>
      </c>
      <c r="K1644" s="4">
        <v>740989.99</v>
      </c>
      <c r="L1644" t="s">
        <v>2723</v>
      </c>
      <c r="M1644" s="5">
        <v>-960</v>
      </c>
      <c r="N1644" s="3">
        <v>0</v>
      </c>
      <c r="O1644" t="s">
        <v>2854</v>
      </c>
      <c r="P1644" t="s">
        <v>2658</v>
      </c>
      <c r="Q1644" t="s">
        <v>2854</v>
      </c>
      <c r="R1644" t="str">
        <f t="shared" si="51"/>
        <v>Sim</v>
      </c>
      <c r="S1644" t="s">
        <v>2854</v>
      </c>
      <c r="T1644" t="s">
        <v>30</v>
      </c>
      <c r="U1644" t="s">
        <v>323</v>
      </c>
      <c r="V1644" s="3">
        <v>-960</v>
      </c>
      <c r="W1644" t="s">
        <v>323</v>
      </c>
      <c r="X1644" s="3">
        <v>-960</v>
      </c>
    </row>
    <row r="1645" spans="1:24" s="2" customFormat="1" x14ac:dyDescent="0.2">
      <c r="A1645">
        <v>1645</v>
      </c>
      <c r="B1645"/>
      <c r="C1645" t="s">
        <v>153</v>
      </c>
      <c r="D1645" t="s">
        <v>2857</v>
      </c>
      <c r="E1645" t="s">
        <v>30</v>
      </c>
      <c r="F1645" t="s">
        <v>63</v>
      </c>
      <c r="G1645" t="s">
        <v>25</v>
      </c>
      <c r="H1645" t="str">
        <f t="shared" si="50"/>
        <v xml:space="preserve">4/10 - SALÁRIO KARINA ESTAGIARIA 4/10 | Recorrência: | Observações: </v>
      </c>
      <c r="I1645" t="s">
        <v>491</v>
      </c>
      <c r="J1645" s="5">
        <v>-2200</v>
      </c>
      <c r="K1645" s="4">
        <v>738789.99</v>
      </c>
      <c r="L1645" t="s">
        <v>2723</v>
      </c>
      <c r="M1645" s="5">
        <v>-2200</v>
      </c>
      <c r="N1645" s="3">
        <v>0</v>
      </c>
      <c r="O1645" t="s">
        <v>2854</v>
      </c>
      <c r="P1645" t="s">
        <v>2616</v>
      </c>
      <c r="Q1645" t="s">
        <v>2854</v>
      </c>
      <c r="R1645" t="str">
        <f t="shared" si="51"/>
        <v>Sim</v>
      </c>
      <c r="S1645" t="s">
        <v>2854</v>
      </c>
      <c r="T1645" t="s">
        <v>30</v>
      </c>
      <c r="U1645" t="s">
        <v>323</v>
      </c>
      <c r="V1645" s="3">
        <v>-2200</v>
      </c>
      <c r="W1645" t="s">
        <v>323</v>
      </c>
      <c r="X1645" s="3">
        <v>-2200</v>
      </c>
    </row>
    <row r="1646" spans="1:24" s="2" customFormat="1" x14ac:dyDescent="0.2">
      <c r="A1646" s="2">
        <v>1646</v>
      </c>
      <c r="B1646"/>
      <c r="C1646" t="s">
        <v>153</v>
      </c>
      <c r="D1646" t="s">
        <v>2859</v>
      </c>
      <c r="E1646" t="s">
        <v>30</v>
      </c>
      <c r="F1646" t="s">
        <v>63</v>
      </c>
      <c r="G1646" t="s">
        <v>25</v>
      </c>
      <c r="H1646" t="str">
        <f t="shared" si="50"/>
        <v xml:space="preserve">6/12 - PRÓ LABORE MAYARA CLA 6/13 | Recorrência: | Observações: </v>
      </c>
      <c r="I1646" t="s">
        <v>991</v>
      </c>
      <c r="J1646" s="5">
        <v>-20000</v>
      </c>
      <c r="K1646" s="4">
        <v>718789.99</v>
      </c>
      <c r="L1646" t="s">
        <v>2723</v>
      </c>
      <c r="M1646" s="5">
        <v>-20000</v>
      </c>
      <c r="N1646" s="3">
        <v>0</v>
      </c>
      <c r="O1646" t="s">
        <v>2858</v>
      </c>
      <c r="P1646" t="s">
        <v>2261</v>
      </c>
      <c r="Q1646" t="s">
        <v>2858</v>
      </c>
      <c r="R1646" t="str">
        <f t="shared" si="51"/>
        <v>Sim</v>
      </c>
      <c r="S1646" t="s">
        <v>2858</v>
      </c>
      <c r="T1646" t="s">
        <v>30</v>
      </c>
      <c r="U1646" t="s">
        <v>323</v>
      </c>
      <c r="V1646" s="3">
        <v>-20000</v>
      </c>
      <c r="W1646" t="s">
        <v>1164</v>
      </c>
      <c r="X1646" s="3">
        <v>-20000</v>
      </c>
    </row>
    <row r="1647" spans="1:24" s="2" customFormat="1" x14ac:dyDescent="0.2">
      <c r="A1647">
        <v>1647</v>
      </c>
      <c r="B1647"/>
      <c r="C1647" t="s">
        <v>153</v>
      </c>
      <c r="D1647" t="s">
        <v>2860</v>
      </c>
      <c r="E1647" t="s">
        <v>30</v>
      </c>
      <c r="F1647" t="s">
        <v>63</v>
      </c>
      <c r="G1647" t="s">
        <v>25</v>
      </c>
      <c r="H1647" t="str">
        <f t="shared" si="50"/>
        <v xml:space="preserve">6/12 - PRÓ LABORE NATASHA  6/13 | Recorrência: | Observações: </v>
      </c>
      <c r="I1647" t="s">
        <v>991</v>
      </c>
      <c r="J1647" s="5">
        <v>-20000</v>
      </c>
      <c r="K1647" s="4">
        <v>698789.99</v>
      </c>
      <c r="L1647" t="s">
        <v>2723</v>
      </c>
      <c r="M1647" s="5">
        <v>-20000</v>
      </c>
      <c r="N1647" s="3">
        <v>0</v>
      </c>
      <c r="O1647" t="s">
        <v>2858</v>
      </c>
      <c r="P1647" t="s">
        <v>2261</v>
      </c>
      <c r="Q1647" t="s">
        <v>2858</v>
      </c>
      <c r="R1647" t="str">
        <f t="shared" si="51"/>
        <v>Sim</v>
      </c>
      <c r="S1647" t="s">
        <v>2858</v>
      </c>
      <c r="T1647" t="s">
        <v>30</v>
      </c>
      <c r="U1647" t="s">
        <v>323</v>
      </c>
      <c r="V1647" s="3">
        <v>-20000</v>
      </c>
      <c r="W1647" t="s">
        <v>1164</v>
      </c>
      <c r="X1647" s="3">
        <v>-20000</v>
      </c>
    </row>
    <row r="1648" spans="1:24" s="2" customFormat="1" x14ac:dyDescent="0.2">
      <c r="A1648" s="2">
        <v>1648</v>
      </c>
      <c r="B1648"/>
      <c r="C1648" t="s">
        <v>153</v>
      </c>
      <c r="D1648" t="s">
        <v>2861</v>
      </c>
      <c r="E1648" t="s">
        <v>30</v>
      </c>
      <c r="F1648" t="s">
        <v>63</v>
      </c>
      <c r="G1648" t="s">
        <v>25</v>
      </c>
      <c r="H1648" t="str">
        <f t="shared" si="50"/>
        <v xml:space="preserve">6/12 - SALÁRIO ELIANE  6/12 | Recorrência: | Observações: </v>
      </c>
      <c r="I1648" t="s">
        <v>491</v>
      </c>
      <c r="J1648" s="5">
        <v>-1700</v>
      </c>
      <c r="K1648" s="4">
        <v>697089.99</v>
      </c>
      <c r="L1648" t="s">
        <v>2723</v>
      </c>
      <c r="M1648" s="5">
        <v>-1700</v>
      </c>
      <c r="N1648" s="3">
        <v>0</v>
      </c>
      <c r="O1648" t="s">
        <v>2858</v>
      </c>
      <c r="P1648" t="s">
        <v>2261</v>
      </c>
      <c r="Q1648" t="s">
        <v>2858</v>
      </c>
      <c r="R1648" t="str">
        <f t="shared" si="51"/>
        <v>Sim</v>
      </c>
      <c r="S1648" t="s">
        <v>2858</v>
      </c>
      <c r="T1648" t="s">
        <v>30</v>
      </c>
      <c r="U1648" t="s">
        <v>323</v>
      </c>
      <c r="V1648" s="3">
        <v>-1700</v>
      </c>
      <c r="W1648" t="s">
        <v>1164</v>
      </c>
      <c r="X1648" s="3">
        <v>-1700</v>
      </c>
    </row>
    <row r="1649" spans="1:24" s="2" customFormat="1" x14ac:dyDescent="0.2">
      <c r="A1649">
        <v>1649</v>
      </c>
      <c r="B1649"/>
      <c r="C1649" t="s">
        <v>153</v>
      </c>
      <c r="D1649" t="s">
        <v>2862</v>
      </c>
      <c r="E1649" t="s">
        <v>30</v>
      </c>
      <c r="F1649" t="s">
        <v>63</v>
      </c>
      <c r="G1649" t="s">
        <v>25</v>
      </c>
      <c r="H1649" t="str">
        <f t="shared" si="50"/>
        <v xml:space="preserve">6/12 - SALÁRIO MAYARA OLIVEIRA  6/12 | Recorrência: | Observações: </v>
      </c>
      <c r="I1649" t="s">
        <v>491</v>
      </c>
      <c r="J1649" s="5">
        <v>-3200</v>
      </c>
      <c r="K1649" s="4">
        <v>693889.99</v>
      </c>
      <c r="L1649" t="s">
        <v>2723</v>
      </c>
      <c r="M1649" s="5">
        <v>-3200</v>
      </c>
      <c r="N1649" s="3">
        <v>0</v>
      </c>
      <c r="O1649" t="s">
        <v>2858</v>
      </c>
      <c r="P1649" t="s">
        <v>2261</v>
      </c>
      <c r="Q1649" t="s">
        <v>2858</v>
      </c>
      <c r="R1649" t="str">
        <f t="shared" si="51"/>
        <v>Sim</v>
      </c>
      <c r="S1649" t="s">
        <v>2858</v>
      </c>
      <c r="T1649" t="s">
        <v>30</v>
      </c>
      <c r="U1649" t="s">
        <v>323</v>
      </c>
      <c r="V1649" s="3">
        <v>-3200</v>
      </c>
      <c r="W1649" t="s">
        <v>1164</v>
      </c>
      <c r="X1649" s="3">
        <v>-3200</v>
      </c>
    </row>
    <row r="1650" spans="1:24" s="2" customFormat="1" x14ac:dyDescent="0.2">
      <c r="A1650" s="2">
        <v>1650</v>
      </c>
      <c r="B1650"/>
      <c r="C1650" t="s">
        <v>710</v>
      </c>
      <c r="D1650" t="s">
        <v>2863</v>
      </c>
      <c r="E1650" t="s">
        <v>30</v>
      </c>
      <c r="F1650" t="s">
        <v>63</v>
      </c>
      <c r="G1650" t="s">
        <v>25</v>
      </c>
      <c r="H1650" t="str">
        <f t="shared" si="50"/>
        <v xml:space="preserve">6/12 - ENEL - ENERGIA ELÉTRICA referente a janeiro 6/12 | Recorrência: | Observações: </v>
      </c>
      <c r="I1650" t="s">
        <v>26</v>
      </c>
      <c r="J1650" s="5">
        <v>-384.62</v>
      </c>
      <c r="K1650" s="4">
        <v>693505.37</v>
      </c>
      <c r="L1650" t="s">
        <v>2723</v>
      </c>
      <c r="M1650" s="5">
        <v>-384.62</v>
      </c>
      <c r="N1650" s="3">
        <v>0</v>
      </c>
      <c r="O1650" t="s">
        <v>2858</v>
      </c>
      <c r="P1650" t="s">
        <v>2577</v>
      </c>
      <c r="Q1650" t="s">
        <v>2858</v>
      </c>
      <c r="R1650" t="str">
        <f t="shared" si="51"/>
        <v>Sim</v>
      </c>
      <c r="S1650" t="s">
        <v>2858</v>
      </c>
      <c r="T1650" t="s">
        <v>30</v>
      </c>
      <c r="U1650" t="s">
        <v>125</v>
      </c>
      <c r="V1650" s="3">
        <v>-384.62</v>
      </c>
      <c r="W1650" t="s">
        <v>125</v>
      </c>
      <c r="X1650" s="3">
        <v>-384.62</v>
      </c>
    </row>
    <row r="1651" spans="1:24" s="2" customFormat="1" x14ac:dyDescent="0.2">
      <c r="A1651">
        <v>1651</v>
      </c>
      <c r="B1651"/>
      <c r="C1651" t="s">
        <v>574</v>
      </c>
      <c r="D1651" t="s">
        <v>2865</v>
      </c>
      <c r="E1651" t="s">
        <v>30</v>
      </c>
      <c r="F1651" t="s">
        <v>63</v>
      </c>
      <c r="G1651" t="s">
        <v>25</v>
      </c>
      <c r="H1651" t="str">
        <f t="shared" si="50"/>
        <v xml:space="preserve">6/12 - CONDOMINIO+ALUGUEL  6/12 | Recorrência: | Observações: </v>
      </c>
      <c r="I1651" t="s">
        <v>491</v>
      </c>
      <c r="J1651" s="5">
        <v>-6083.33</v>
      </c>
      <c r="K1651" s="4">
        <v>687422.04</v>
      </c>
      <c r="L1651" t="s">
        <v>2723</v>
      </c>
      <c r="M1651" s="5">
        <v>-6083.33</v>
      </c>
      <c r="N1651" s="3">
        <v>0</v>
      </c>
      <c r="O1651" t="s">
        <v>2864</v>
      </c>
      <c r="P1651" t="s">
        <v>2472</v>
      </c>
      <c r="Q1651" t="s">
        <v>2864</v>
      </c>
      <c r="R1651" t="str">
        <f t="shared" si="51"/>
        <v>Sim</v>
      </c>
      <c r="S1651" t="s">
        <v>2864</v>
      </c>
      <c r="T1651" t="s">
        <v>30</v>
      </c>
      <c r="U1651" t="s">
        <v>571</v>
      </c>
      <c r="V1651" s="3">
        <v>-6083.33</v>
      </c>
      <c r="W1651" t="s">
        <v>570</v>
      </c>
      <c r="X1651" s="3">
        <v>-6083.33</v>
      </c>
    </row>
    <row r="1652" spans="1:24" s="2" customFormat="1" x14ac:dyDescent="0.2">
      <c r="A1652" s="2">
        <v>1652</v>
      </c>
      <c r="B1652" t="s">
        <v>647</v>
      </c>
      <c r="C1652" t="s">
        <v>648</v>
      </c>
      <c r="D1652" t="s">
        <v>2867</v>
      </c>
      <c r="E1652" t="s">
        <v>30</v>
      </c>
      <c r="F1652" t="s">
        <v>63</v>
      </c>
      <c r="G1652" t="s">
        <v>25</v>
      </c>
      <c r="H1652" t="str">
        <f t="shared" si="50"/>
        <v xml:space="preserve">6/12 - HONORÁRIOS CONTÁBEIS  6/12 | Recorrência: | Observações: </v>
      </c>
      <c r="I1652" t="s">
        <v>755</v>
      </c>
      <c r="J1652" s="5">
        <v>-1217.5</v>
      </c>
      <c r="K1652" s="4">
        <v>686204.54</v>
      </c>
      <c r="L1652" t="s">
        <v>2723</v>
      </c>
      <c r="M1652" s="5">
        <v>-1217.5</v>
      </c>
      <c r="N1652" s="3">
        <v>0</v>
      </c>
      <c r="O1652" t="s">
        <v>2866</v>
      </c>
      <c r="P1652" t="s">
        <v>2536</v>
      </c>
      <c r="Q1652" t="s">
        <v>2866</v>
      </c>
      <c r="R1652" t="str">
        <f t="shared" si="51"/>
        <v>Sim</v>
      </c>
      <c r="S1652" t="s">
        <v>2866</v>
      </c>
      <c r="T1652" t="s">
        <v>30</v>
      </c>
      <c r="U1652" t="s">
        <v>608</v>
      </c>
      <c r="V1652" s="3">
        <v>-1217.5</v>
      </c>
      <c r="W1652" t="s">
        <v>1722</v>
      </c>
      <c r="X1652" s="3">
        <v>-1217.5</v>
      </c>
    </row>
    <row r="1653" spans="1:24" s="2" customFormat="1" x14ac:dyDescent="0.2">
      <c r="A1653">
        <v>1653</v>
      </c>
      <c r="B1653"/>
      <c r="C1653" t="s">
        <v>153</v>
      </c>
      <c r="D1653" t="s">
        <v>2869</v>
      </c>
      <c r="E1653" t="s">
        <v>30</v>
      </c>
      <c r="F1653" t="s">
        <v>63</v>
      </c>
      <c r="G1653" t="s">
        <v>25</v>
      </c>
      <c r="H1653" t="str">
        <f t="shared" si="50"/>
        <v xml:space="preserve">6/11 - SODEXO - ELIANE 6/12 | Recorrência: | Observações: </v>
      </c>
      <c r="I1653" t="s">
        <v>755</v>
      </c>
      <c r="J1653" s="5">
        <v>-776.6</v>
      </c>
      <c r="K1653" s="4">
        <v>685427.94</v>
      </c>
      <c r="L1653" t="s">
        <v>2723</v>
      </c>
      <c r="M1653" s="5">
        <v>-776.6</v>
      </c>
      <c r="N1653" s="3">
        <v>0</v>
      </c>
      <c r="O1653" t="s">
        <v>2868</v>
      </c>
      <c r="P1653" t="s">
        <v>2536</v>
      </c>
      <c r="Q1653" t="s">
        <v>2868</v>
      </c>
      <c r="R1653" t="str">
        <f t="shared" si="51"/>
        <v>Sim</v>
      </c>
      <c r="S1653" t="s">
        <v>2868</v>
      </c>
      <c r="T1653" t="s">
        <v>30</v>
      </c>
      <c r="U1653" t="s">
        <v>93</v>
      </c>
      <c r="V1653" s="3">
        <v>-776.6</v>
      </c>
      <c r="W1653" t="s">
        <v>331</v>
      </c>
      <c r="X1653" s="3">
        <v>-776.6</v>
      </c>
    </row>
    <row r="1654" spans="1:24" s="2" customFormat="1" x14ac:dyDescent="0.2">
      <c r="A1654" s="2">
        <v>1654</v>
      </c>
      <c r="B1654" t="s">
        <v>647</v>
      </c>
      <c r="C1654" t="s">
        <v>648</v>
      </c>
      <c r="D1654" t="s">
        <v>2871</v>
      </c>
      <c r="E1654" t="s">
        <v>30</v>
      </c>
      <c r="F1654" t="s">
        <v>63</v>
      </c>
      <c r="G1654" t="s">
        <v>25</v>
      </c>
      <c r="H1654" t="str">
        <f t="shared" si="50"/>
        <v xml:space="preserve">6/12 - FGTS  6/12 | Recorrência: | Observações: </v>
      </c>
      <c r="I1654" t="s">
        <v>1113</v>
      </c>
      <c r="J1654" s="5">
        <v>-160</v>
      </c>
      <c r="K1654" s="4">
        <v>685267.94</v>
      </c>
      <c r="L1654" t="s">
        <v>2723</v>
      </c>
      <c r="M1654" s="5">
        <v>-160</v>
      </c>
      <c r="N1654" s="3">
        <v>0</v>
      </c>
      <c r="O1654" t="s">
        <v>2870</v>
      </c>
      <c r="P1654" t="s">
        <v>2285</v>
      </c>
      <c r="Q1654" t="s">
        <v>2870</v>
      </c>
      <c r="R1654" t="str">
        <f t="shared" si="51"/>
        <v>Sim</v>
      </c>
      <c r="S1654" t="s">
        <v>2870</v>
      </c>
      <c r="T1654" t="s">
        <v>30</v>
      </c>
      <c r="U1654" t="s">
        <v>1531</v>
      </c>
      <c r="V1654" s="3">
        <v>-160</v>
      </c>
      <c r="W1654" t="s">
        <v>650</v>
      </c>
      <c r="X1654" s="3">
        <v>-160</v>
      </c>
    </row>
    <row r="1655" spans="1:24" s="2" customFormat="1" x14ac:dyDescent="0.2">
      <c r="A1655">
        <v>1655</v>
      </c>
      <c r="B1655" t="s">
        <v>647</v>
      </c>
      <c r="C1655" t="s">
        <v>648</v>
      </c>
      <c r="D1655" t="s">
        <v>1556</v>
      </c>
      <c r="E1655" t="s">
        <v>634</v>
      </c>
      <c r="F1655" t="s">
        <v>63</v>
      </c>
      <c r="G1655" t="s">
        <v>25</v>
      </c>
      <c r="H1655" t="str">
        <f t="shared" si="50"/>
        <v xml:space="preserve">DARF PREVIDÊNCIARIO | Recorrência:6/12 | Observações: </v>
      </c>
      <c r="I1655" t="s">
        <v>26</v>
      </c>
      <c r="J1655" s="5">
        <v>-1500</v>
      </c>
      <c r="K1655" s="4">
        <v>683767.94</v>
      </c>
      <c r="L1655" t="s">
        <v>2723</v>
      </c>
      <c r="M1655" s="5">
        <v>-1500</v>
      </c>
      <c r="N1655" s="3">
        <v>0</v>
      </c>
      <c r="O1655" t="s">
        <v>2872</v>
      </c>
      <c r="P1655" t="s">
        <v>2839</v>
      </c>
      <c r="Q1655" t="s">
        <v>2872</v>
      </c>
      <c r="R1655" t="str">
        <f t="shared" si="51"/>
        <v>Sim</v>
      </c>
      <c r="S1655" t="s">
        <v>2872</v>
      </c>
      <c r="T1655" t="s">
        <v>30</v>
      </c>
      <c r="U1655" t="s">
        <v>601</v>
      </c>
      <c r="V1655" s="3">
        <v>-1500</v>
      </c>
      <c r="W1655" t="s">
        <v>376</v>
      </c>
      <c r="X1655" s="3">
        <v>-1500</v>
      </c>
    </row>
    <row r="1656" spans="1:24" s="2" customFormat="1" x14ac:dyDescent="0.2">
      <c r="A1656" s="2">
        <v>1656</v>
      </c>
      <c r="B1656" t="s">
        <v>2735</v>
      </c>
      <c r="C1656" t="s">
        <v>2736</v>
      </c>
      <c r="D1656" t="s">
        <v>2873</v>
      </c>
      <c r="E1656" t="s">
        <v>30</v>
      </c>
      <c r="F1656" t="s">
        <v>24</v>
      </c>
      <c r="G1656" t="s">
        <v>25</v>
      </c>
      <c r="H1656" t="str">
        <f t="shared" si="50"/>
        <v>4/4 - PROJETO  RICARDO JUAN E LILI 4/4 | Recorrência: | Observações: CPF não pertence ao cliente &gt; foi gerado no site para realização do caadastro 
https://www.geradordecpf.org/</v>
      </c>
      <c r="I1656" t="s">
        <v>491</v>
      </c>
      <c r="J1656" s="4">
        <v>6750</v>
      </c>
      <c r="K1656" s="4">
        <v>690517.94</v>
      </c>
      <c r="L1656" t="s">
        <v>2723</v>
      </c>
      <c r="M1656" s="4">
        <v>6750</v>
      </c>
      <c r="N1656" s="3">
        <v>0</v>
      </c>
      <c r="O1656" t="s">
        <v>2872</v>
      </c>
      <c r="P1656" t="s">
        <v>2707</v>
      </c>
      <c r="Q1656" t="s">
        <v>2872</v>
      </c>
      <c r="R1656" t="str">
        <f t="shared" si="51"/>
        <v>Sim</v>
      </c>
      <c r="S1656" t="s">
        <v>2872</v>
      </c>
      <c r="T1656" t="s">
        <v>2738</v>
      </c>
      <c r="U1656" t="s">
        <v>31</v>
      </c>
      <c r="V1656" s="3">
        <v>6750</v>
      </c>
      <c r="W1656" t="s">
        <v>32</v>
      </c>
      <c r="X1656" s="3">
        <v>6750</v>
      </c>
    </row>
    <row r="1657" spans="1:24" s="2" customFormat="1" x14ac:dyDescent="0.2">
      <c r="A1657">
        <v>1657</v>
      </c>
      <c r="B1657" t="s">
        <v>1509</v>
      </c>
      <c r="C1657" t="s">
        <v>1510</v>
      </c>
      <c r="D1657" t="s">
        <v>2875</v>
      </c>
      <c r="E1657" t="s">
        <v>30</v>
      </c>
      <c r="F1657" t="s">
        <v>24</v>
      </c>
      <c r="G1657" t="s">
        <v>25</v>
      </c>
      <c r="H1657" t="str">
        <f t="shared" si="50"/>
        <v xml:space="preserve">4/4 - GERENCIAMENTO &gt; Contrato: Salão de Jogos_Academia 4/4 | Recorrência: | Observações: </v>
      </c>
      <c r="I1657" t="s">
        <v>991</v>
      </c>
      <c r="J1657" s="4">
        <v>500</v>
      </c>
      <c r="K1657" s="4">
        <v>691017.94</v>
      </c>
      <c r="L1657" t="s">
        <v>2723</v>
      </c>
      <c r="M1657" s="4">
        <v>500</v>
      </c>
      <c r="N1657" s="3">
        <v>0</v>
      </c>
      <c r="O1657" t="s">
        <v>2874</v>
      </c>
      <c r="P1657" t="s">
        <v>2020</v>
      </c>
      <c r="Q1657" t="s">
        <v>2874</v>
      </c>
      <c r="R1657" t="str">
        <f t="shared" si="51"/>
        <v>Sim</v>
      </c>
      <c r="S1657" t="s">
        <v>2874</v>
      </c>
      <c r="T1657" t="s">
        <v>30</v>
      </c>
      <c r="U1657" t="s">
        <v>274</v>
      </c>
      <c r="V1657" s="3">
        <v>500</v>
      </c>
      <c r="W1657" t="s">
        <v>166</v>
      </c>
      <c r="X1657" s="3">
        <v>500</v>
      </c>
    </row>
    <row r="1658" spans="1:24" s="2" customFormat="1" x14ac:dyDescent="0.2">
      <c r="A1658" s="2">
        <v>1658</v>
      </c>
      <c r="B1658" t="s">
        <v>647</v>
      </c>
      <c r="C1658" t="s">
        <v>648</v>
      </c>
      <c r="D1658" t="s">
        <v>2877</v>
      </c>
      <c r="E1658" t="s">
        <v>30</v>
      </c>
      <c r="F1658" t="s">
        <v>63</v>
      </c>
      <c r="G1658" t="s">
        <v>25</v>
      </c>
      <c r="H1658" t="str">
        <f t="shared" si="50"/>
        <v xml:space="preserve">19/35 - DARF ISS 19/36 | Recorrência: | Observações: </v>
      </c>
      <c r="I1658" t="s">
        <v>26</v>
      </c>
      <c r="J1658" s="5">
        <v>-671.87</v>
      </c>
      <c r="K1658" s="4">
        <v>690346.07</v>
      </c>
      <c r="L1658" t="s">
        <v>2723</v>
      </c>
      <c r="M1658" s="5">
        <v>-671.87</v>
      </c>
      <c r="N1658" s="3">
        <v>0</v>
      </c>
      <c r="O1658" t="s">
        <v>2876</v>
      </c>
      <c r="P1658" t="s">
        <v>1474</v>
      </c>
      <c r="Q1658" t="s">
        <v>2876</v>
      </c>
      <c r="R1658" t="str">
        <f t="shared" si="51"/>
        <v>Sim</v>
      </c>
      <c r="S1658" t="s">
        <v>2876</v>
      </c>
      <c r="T1658" t="s">
        <v>30</v>
      </c>
      <c r="U1658" t="s">
        <v>1098</v>
      </c>
      <c r="V1658" s="3">
        <v>-671.87</v>
      </c>
      <c r="W1658" t="s">
        <v>324</v>
      </c>
      <c r="X1658" s="3">
        <v>-671.87</v>
      </c>
    </row>
    <row r="1659" spans="1:24" s="2" customFormat="1" x14ac:dyDescent="0.2">
      <c r="A1659">
        <v>1659</v>
      </c>
      <c r="B1659"/>
      <c r="C1659" t="s">
        <v>153</v>
      </c>
      <c r="D1659" t="s">
        <v>2879</v>
      </c>
      <c r="E1659" t="s">
        <v>30</v>
      </c>
      <c r="F1659" t="s">
        <v>63</v>
      </c>
      <c r="G1659" t="s">
        <v>25</v>
      </c>
      <c r="H1659" t="str">
        <f t="shared" si="50"/>
        <v xml:space="preserve">7/13 - SALÁRIO - JULYA FIGUEIREDO - COORDENADORA 7/13 | Recorrência: | Observações: </v>
      </c>
      <c r="I1659" t="s">
        <v>491</v>
      </c>
      <c r="J1659" s="5">
        <v>-4500</v>
      </c>
      <c r="K1659" s="4">
        <v>685846.07</v>
      </c>
      <c r="L1659" t="s">
        <v>2723</v>
      </c>
      <c r="M1659" s="5">
        <v>-4500</v>
      </c>
      <c r="N1659" s="3">
        <v>0</v>
      </c>
      <c r="O1659" t="s">
        <v>2878</v>
      </c>
      <c r="P1659" t="s">
        <v>2418</v>
      </c>
      <c r="Q1659" t="s">
        <v>2878</v>
      </c>
      <c r="R1659" t="str">
        <f t="shared" si="51"/>
        <v>Sim</v>
      </c>
      <c r="S1659" t="s">
        <v>2878</v>
      </c>
      <c r="T1659" t="s">
        <v>30</v>
      </c>
      <c r="U1659" t="s">
        <v>323</v>
      </c>
      <c r="V1659" s="3">
        <v>-4500</v>
      </c>
      <c r="W1659" t="s">
        <v>1164</v>
      </c>
      <c r="X1659" s="3">
        <v>-4500</v>
      </c>
    </row>
    <row r="1660" spans="1:24" s="2" customFormat="1" x14ac:dyDescent="0.2">
      <c r="A1660" s="2">
        <v>1660</v>
      </c>
      <c r="B1660"/>
      <c r="C1660" t="s">
        <v>153</v>
      </c>
      <c r="D1660" t="s">
        <v>2880</v>
      </c>
      <c r="E1660" t="s">
        <v>30</v>
      </c>
      <c r="F1660" t="s">
        <v>63</v>
      </c>
      <c r="G1660" t="s">
        <v>25</v>
      </c>
      <c r="H1660" t="str">
        <f t="shared" si="50"/>
        <v xml:space="preserve">6/12 - DIÁRIAS JULIANA SOARES  6/12 | Recorrência: | Observações: </v>
      </c>
      <c r="I1660" t="s">
        <v>1113</v>
      </c>
      <c r="J1660" s="5">
        <v>-480</v>
      </c>
      <c r="K1660" s="4">
        <v>685366.07</v>
      </c>
      <c r="L1660" t="s">
        <v>2723</v>
      </c>
      <c r="M1660" s="5">
        <v>-480</v>
      </c>
      <c r="N1660" s="3">
        <v>0</v>
      </c>
      <c r="O1660" t="s">
        <v>2878</v>
      </c>
      <c r="P1660" t="s">
        <v>2481</v>
      </c>
      <c r="Q1660" t="s">
        <v>2878</v>
      </c>
      <c r="R1660" t="str">
        <f t="shared" si="51"/>
        <v>Sim</v>
      </c>
      <c r="S1660" t="s">
        <v>2878</v>
      </c>
      <c r="T1660" t="s">
        <v>30</v>
      </c>
      <c r="U1660" t="s">
        <v>691</v>
      </c>
      <c r="V1660" s="3">
        <v>-480</v>
      </c>
      <c r="W1660" t="s">
        <v>1722</v>
      </c>
      <c r="X1660" s="3">
        <v>-480</v>
      </c>
    </row>
    <row r="1661" spans="1:24" s="2" customFormat="1" x14ac:dyDescent="0.2">
      <c r="A1661">
        <v>1661</v>
      </c>
      <c r="B1661"/>
      <c r="C1661" t="s">
        <v>153</v>
      </c>
      <c r="D1661" t="s">
        <v>2881</v>
      </c>
      <c r="E1661" t="s">
        <v>30</v>
      </c>
      <c r="F1661" t="s">
        <v>63</v>
      </c>
      <c r="G1661" t="s">
        <v>25</v>
      </c>
      <c r="H1661" t="str">
        <f t="shared" si="50"/>
        <v xml:space="preserve">6/12 - ELIANE - VALE TRANSPORTE MÊS DEJULHO 6/12 | Recorrência: | Observações: </v>
      </c>
      <c r="I1661" t="s">
        <v>491</v>
      </c>
      <c r="J1661" s="5">
        <v>-363.33</v>
      </c>
      <c r="K1661" s="4">
        <v>685002.74</v>
      </c>
      <c r="L1661" t="s">
        <v>2723</v>
      </c>
      <c r="M1661" s="5">
        <v>-363.33</v>
      </c>
      <c r="N1661" s="3">
        <v>0</v>
      </c>
      <c r="O1661" t="s">
        <v>2878</v>
      </c>
      <c r="P1661" t="s">
        <v>2578</v>
      </c>
      <c r="Q1661" t="s">
        <v>2878</v>
      </c>
      <c r="R1661" t="str">
        <f t="shared" si="51"/>
        <v>Sim</v>
      </c>
      <c r="S1661" t="s">
        <v>2878</v>
      </c>
      <c r="T1661" t="s">
        <v>30</v>
      </c>
      <c r="U1661" t="s">
        <v>662</v>
      </c>
      <c r="V1661" s="3">
        <v>-363.33</v>
      </c>
      <c r="W1661" t="s">
        <v>698</v>
      </c>
      <c r="X1661" s="3">
        <v>-363.33</v>
      </c>
    </row>
    <row r="1662" spans="1:24" s="2" customFormat="1" x14ac:dyDescent="0.2">
      <c r="A1662" s="2">
        <v>1662</v>
      </c>
      <c r="B1662" t="s">
        <v>1048</v>
      </c>
      <c r="C1662" t="s">
        <v>1049</v>
      </c>
      <c r="D1662" t="s">
        <v>2882</v>
      </c>
      <c r="E1662" t="s">
        <v>30</v>
      </c>
      <c r="F1662" t="s">
        <v>24</v>
      </c>
      <c r="G1662" t="s">
        <v>25</v>
      </c>
      <c r="H1662" t="str">
        <f t="shared" si="50"/>
        <v xml:space="preserve">3/3 - RT -  AIR BROOKLIN_DIOGO 3/3 | Recorrência: | Observações: </v>
      </c>
      <c r="I1662" t="s">
        <v>491</v>
      </c>
      <c r="J1662" s="4">
        <v>1500</v>
      </c>
      <c r="K1662" s="4">
        <v>686502.74</v>
      </c>
      <c r="L1662" t="s">
        <v>2723</v>
      </c>
      <c r="M1662" s="4">
        <v>1500</v>
      </c>
      <c r="N1662" s="3">
        <v>0</v>
      </c>
      <c r="O1662" t="s">
        <v>2878</v>
      </c>
      <c r="P1662" t="s">
        <v>2703</v>
      </c>
      <c r="Q1662" t="s">
        <v>2878</v>
      </c>
      <c r="R1662" t="str">
        <f t="shared" si="51"/>
        <v>Sim</v>
      </c>
      <c r="S1662" t="s">
        <v>2878</v>
      </c>
      <c r="T1662" t="s">
        <v>30</v>
      </c>
      <c r="U1662" t="s">
        <v>49</v>
      </c>
      <c r="V1662" s="3">
        <v>1500</v>
      </c>
      <c r="W1662" t="s">
        <v>494</v>
      </c>
      <c r="X1662" s="3">
        <v>1500</v>
      </c>
    </row>
    <row r="1663" spans="1:24" s="2" customFormat="1" x14ac:dyDescent="0.2">
      <c r="A1663">
        <v>1663</v>
      </c>
      <c r="B1663"/>
      <c r="C1663" t="s">
        <v>828</v>
      </c>
      <c r="D1663" t="s">
        <v>830</v>
      </c>
      <c r="E1663" t="s">
        <v>2884</v>
      </c>
      <c r="F1663" t="s">
        <v>63</v>
      </c>
      <c r="G1663" t="s">
        <v>25</v>
      </c>
      <c r="H1663" t="str">
        <f t="shared" si="50"/>
        <v xml:space="preserve">PREFEITURA DO MUNICIPIO DE BERTIOGA | Recorrência:28/41 | Observações: REF.02 PAGAMENTOS </v>
      </c>
      <c r="I1663" t="s">
        <v>26</v>
      </c>
      <c r="J1663" s="5">
        <v>-228.16</v>
      </c>
      <c r="K1663" s="4">
        <v>686274.58</v>
      </c>
      <c r="L1663" t="s">
        <v>2723</v>
      </c>
      <c r="M1663" s="5">
        <v>-228.16</v>
      </c>
      <c r="N1663" s="3">
        <v>0</v>
      </c>
      <c r="O1663" t="s">
        <v>2883</v>
      </c>
      <c r="P1663" t="s">
        <v>2870</v>
      </c>
      <c r="Q1663" t="s">
        <v>2883</v>
      </c>
      <c r="R1663" t="str">
        <f t="shared" si="51"/>
        <v>Sim</v>
      </c>
      <c r="S1663" t="s">
        <v>2883</v>
      </c>
      <c r="T1663" t="s">
        <v>831</v>
      </c>
      <c r="U1663" t="s">
        <v>832</v>
      </c>
      <c r="V1663" s="3">
        <v>-228.16</v>
      </c>
    </row>
    <row r="1664" spans="1:24" s="2" customFormat="1" x14ac:dyDescent="0.2">
      <c r="A1664" s="2">
        <v>1664</v>
      </c>
      <c r="B1664" t="s">
        <v>2237</v>
      </c>
      <c r="C1664" t="s">
        <v>2238</v>
      </c>
      <c r="D1664" t="s">
        <v>2886</v>
      </c>
      <c r="E1664" t="s">
        <v>30</v>
      </c>
      <c r="F1664" t="s">
        <v>24</v>
      </c>
      <c r="G1664" t="s">
        <v>25</v>
      </c>
      <c r="H1664" t="str">
        <f t="shared" si="50"/>
        <v xml:space="preserve">5/5 - GERENCIAMENTO  5/5 | Recorrência: | Observações: </v>
      </c>
      <c r="I1664" t="s">
        <v>491</v>
      </c>
      <c r="J1664" s="4">
        <v>4000</v>
      </c>
      <c r="K1664" s="4">
        <v>690274.58</v>
      </c>
      <c r="L1664" t="s">
        <v>2723</v>
      </c>
      <c r="M1664" s="4">
        <v>4000</v>
      </c>
      <c r="N1664" s="3">
        <v>0</v>
      </c>
      <c r="O1664" t="s">
        <v>2885</v>
      </c>
      <c r="P1664" t="s">
        <v>2212</v>
      </c>
      <c r="Q1664" t="s">
        <v>2885</v>
      </c>
      <c r="R1664" t="str">
        <f t="shared" si="51"/>
        <v>Sim</v>
      </c>
      <c r="S1664" t="s">
        <v>2885</v>
      </c>
      <c r="T1664" t="s">
        <v>30</v>
      </c>
      <c r="U1664" t="s">
        <v>274</v>
      </c>
      <c r="V1664" s="3">
        <v>4000</v>
      </c>
      <c r="W1664" t="s">
        <v>166</v>
      </c>
      <c r="X1664" s="3">
        <v>4000</v>
      </c>
    </row>
    <row r="1665" spans="1:24" s="2" customFormat="1" x14ac:dyDescent="0.2">
      <c r="A1665">
        <v>1665</v>
      </c>
      <c r="B1665"/>
      <c r="C1665" t="s">
        <v>153</v>
      </c>
      <c r="D1665" t="s">
        <v>2887</v>
      </c>
      <c r="E1665" t="s">
        <v>30</v>
      </c>
      <c r="F1665" t="s">
        <v>63</v>
      </c>
      <c r="G1665" t="s">
        <v>25</v>
      </c>
      <c r="H1665" t="str">
        <f t="shared" si="50"/>
        <v xml:space="preserve">7/12 - PRÓ LABORE MAYARA CLA 7/13 | Recorrência: | Observações: </v>
      </c>
      <c r="I1665" t="s">
        <v>991</v>
      </c>
      <c r="J1665" s="5">
        <v>-20000</v>
      </c>
      <c r="K1665" s="4">
        <v>670274.57999999996</v>
      </c>
      <c r="L1665" t="s">
        <v>2723</v>
      </c>
      <c r="M1665" s="5">
        <v>-20000</v>
      </c>
      <c r="N1665" s="3">
        <v>0</v>
      </c>
      <c r="O1665" t="s">
        <v>2885</v>
      </c>
      <c r="P1665" t="s">
        <v>2261</v>
      </c>
      <c r="Q1665" t="s">
        <v>2885</v>
      </c>
      <c r="R1665" t="str">
        <f t="shared" si="51"/>
        <v>Sim</v>
      </c>
      <c r="S1665" t="s">
        <v>2885</v>
      </c>
      <c r="T1665" t="s">
        <v>30</v>
      </c>
      <c r="U1665" t="s">
        <v>323</v>
      </c>
      <c r="V1665" s="3">
        <v>-20000</v>
      </c>
      <c r="W1665" t="s">
        <v>1164</v>
      </c>
      <c r="X1665" s="3">
        <v>-20000</v>
      </c>
    </row>
    <row r="1666" spans="1:24" s="2" customFormat="1" x14ac:dyDescent="0.2">
      <c r="A1666" s="2">
        <v>1666</v>
      </c>
      <c r="B1666"/>
      <c r="C1666" t="s">
        <v>153</v>
      </c>
      <c r="D1666" t="s">
        <v>2888</v>
      </c>
      <c r="E1666" t="s">
        <v>30</v>
      </c>
      <c r="F1666" t="s">
        <v>63</v>
      </c>
      <c r="G1666" t="s">
        <v>25</v>
      </c>
      <c r="H1666" t="str">
        <f t="shared" si="50"/>
        <v xml:space="preserve">7/12 - PRÓ LABORE NATASHA  7/13 | Recorrência: | Observações: </v>
      </c>
      <c r="I1666" t="s">
        <v>991</v>
      </c>
      <c r="J1666" s="5">
        <v>-20000</v>
      </c>
      <c r="K1666" s="4">
        <v>650274.57999999996</v>
      </c>
      <c r="L1666" t="s">
        <v>2723</v>
      </c>
      <c r="M1666" s="5">
        <v>-20000</v>
      </c>
      <c r="N1666" s="3">
        <v>0</v>
      </c>
      <c r="O1666" t="s">
        <v>2885</v>
      </c>
      <c r="P1666" t="s">
        <v>2261</v>
      </c>
      <c r="Q1666" t="s">
        <v>2885</v>
      </c>
      <c r="R1666" t="str">
        <f t="shared" si="51"/>
        <v>Sim</v>
      </c>
      <c r="S1666" t="s">
        <v>2885</v>
      </c>
      <c r="T1666" t="s">
        <v>30</v>
      </c>
      <c r="U1666" t="s">
        <v>323</v>
      </c>
      <c r="V1666" s="3">
        <v>-20000</v>
      </c>
      <c r="W1666" t="s">
        <v>1164</v>
      </c>
      <c r="X1666" s="3">
        <v>-20000</v>
      </c>
    </row>
    <row r="1667" spans="1:24" s="2" customFormat="1" x14ac:dyDescent="0.2">
      <c r="A1667">
        <v>1667</v>
      </c>
      <c r="B1667"/>
      <c r="C1667" t="s">
        <v>153</v>
      </c>
      <c r="D1667" t="s">
        <v>2889</v>
      </c>
      <c r="E1667" t="s">
        <v>30</v>
      </c>
      <c r="F1667" t="s">
        <v>63</v>
      </c>
      <c r="G1667" t="s">
        <v>25</v>
      </c>
      <c r="H1667" t="str">
        <f t="shared" ref="H1667:H1730" si="52">D1667&amp;" | "&amp;$E$1&amp;E1667&amp;" | Observações: "&amp;T1667</f>
        <v xml:space="preserve">7/12 - SALÁRIO ELIANE  7/12 | Recorrência: | Observações: </v>
      </c>
      <c r="I1667" t="s">
        <v>491</v>
      </c>
      <c r="J1667" s="5">
        <v>-1700</v>
      </c>
      <c r="K1667" s="4">
        <v>648574.57999999996</v>
      </c>
      <c r="L1667" t="s">
        <v>2723</v>
      </c>
      <c r="M1667" s="5">
        <v>-1700</v>
      </c>
      <c r="N1667" s="3">
        <v>0</v>
      </c>
      <c r="O1667" t="s">
        <v>2885</v>
      </c>
      <c r="P1667" t="s">
        <v>2261</v>
      </c>
      <c r="Q1667" t="s">
        <v>2885</v>
      </c>
      <c r="R1667" t="str">
        <f t="shared" ref="R1667:R1730" si="53">IF(Q1667=S1667,"Sim","nao")</f>
        <v>Sim</v>
      </c>
      <c r="S1667" t="s">
        <v>2885</v>
      </c>
      <c r="T1667" t="s">
        <v>30</v>
      </c>
      <c r="U1667" t="s">
        <v>323</v>
      </c>
      <c r="V1667" s="3">
        <v>-1700</v>
      </c>
      <c r="W1667" t="s">
        <v>1164</v>
      </c>
      <c r="X1667" s="3">
        <v>-1700</v>
      </c>
    </row>
    <row r="1668" spans="1:24" s="2" customFormat="1" x14ac:dyDescent="0.2">
      <c r="A1668" s="2">
        <v>1668</v>
      </c>
      <c r="B1668"/>
      <c r="C1668" t="s">
        <v>153</v>
      </c>
      <c r="D1668" t="s">
        <v>2890</v>
      </c>
      <c r="E1668" t="s">
        <v>30</v>
      </c>
      <c r="F1668" t="s">
        <v>63</v>
      </c>
      <c r="G1668" t="s">
        <v>25</v>
      </c>
      <c r="H1668" t="str">
        <f t="shared" si="52"/>
        <v xml:space="preserve">7/12 - SALÁRIO MAYARA OLIVEIRA  7/12 | Recorrência: | Observações: </v>
      </c>
      <c r="I1668" t="s">
        <v>491</v>
      </c>
      <c r="J1668" s="5">
        <v>-3200</v>
      </c>
      <c r="K1668" s="4">
        <v>645374.57999999996</v>
      </c>
      <c r="L1668" t="s">
        <v>2723</v>
      </c>
      <c r="M1668" s="5">
        <v>-3200</v>
      </c>
      <c r="N1668" s="3">
        <v>0</v>
      </c>
      <c r="O1668" t="s">
        <v>2885</v>
      </c>
      <c r="P1668" t="s">
        <v>2261</v>
      </c>
      <c r="Q1668" t="s">
        <v>2885</v>
      </c>
      <c r="R1668" t="str">
        <f t="shared" si="53"/>
        <v>Sim</v>
      </c>
      <c r="S1668" t="s">
        <v>2885</v>
      </c>
      <c r="T1668" t="s">
        <v>30</v>
      </c>
      <c r="U1668" t="s">
        <v>323</v>
      </c>
      <c r="V1668" s="3">
        <v>-3200</v>
      </c>
      <c r="W1668" t="s">
        <v>1164</v>
      </c>
      <c r="X1668" s="3">
        <v>-3200</v>
      </c>
    </row>
    <row r="1669" spans="1:24" s="2" customFormat="1" x14ac:dyDescent="0.2">
      <c r="A1669">
        <v>1669</v>
      </c>
      <c r="B1669"/>
      <c r="C1669" t="s">
        <v>710</v>
      </c>
      <c r="D1669" t="s">
        <v>2891</v>
      </c>
      <c r="E1669" t="s">
        <v>30</v>
      </c>
      <c r="F1669" t="s">
        <v>63</v>
      </c>
      <c r="G1669" t="s">
        <v>25</v>
      </c>
      <c r="H1669" t="str">
        <f t="shared" si="52"/>
        <v xml:space="preserve">7/12 - ENEL - ENERGIA ELÉTRICA referente a janeiro 7/12 | Recorrência: | Observações: </v>
      </c>
      <c r="I1669" t="s">
        <v>26</v>
      </c>
      <c r="J1669" s="5">
        <v>-384.62</v>
      </c>
      <c r="K1669" s="4">
        <v>644989.96</v>
      </c>
      <c r="L1669" t="s">
        <v>2723</v>
      </c>
      <c r="M1669" s="5">
        <v>-384.62</v>
      </c>
      <c r="N1669" s="3">
        <v>0</v>
      </c>
      <c r="O1669" t="s">
        <v>2885</v>
      </c>
      <c r="P1669" t="s">
        <v>2577</v>
      </c>
      <c r="Q1669" t="s">
        <v>2885</v>
      </c>
      <c r="R1669" t="str">
        <f t="shared" si="53"/>
        <v>Sim</v>
      </c>
      <c r="S1669" t="s">
        <v>2885</v>
      </c>
      <c r="T1669" t="s">
        <v>30</v>
      </c>
      <c r="U1669" t="s">
        <v>125</v>
      </c>
      <c r="V1669" s="3">
        <v>-384.62</v>
      </c>
      <c r="W1669" t="s">
        <v>125</v>
      </c>
      <c r="X1669" s="3">
        <v>-384.62</v>
      </c>
    </row>
    <row r="1670" spans="1:24" s="2" customFormat="1" x14ac:dyDescent="0.2">
      <c r="A1670" s="2">
        <v>1670</v>
      </c>
      <c r="B1670"/>
      <c r="C1670" t="s">
        <v>153</v>
      </c>
      <c r="D1670" t="s">
        <v>2892</v>
      </c>
      <c r="E1670" t="s">
        <v>30</v>
      </c>
      <c r="F1670" t="s">
        <v>63</v>
      </c>
      <c r="G1670" t="s">
        <v>25</v>
      </c>
      <c r="H1670" t="str">
        <f t="shared" si="52"/>
        <v xml:space="preserve">5/11 - SALÁRIO - MANU_ESTAGIÁRIA  5/11 | Recorrência: | Observações: </v>
      </c>
      <c r="I1670" t="s">
        <v>491</v>
      </c>
      <c r="J1670" s="5">
        <v>-960</v>
      </c>
      <c r="K1670" s="4">
        <v>644029.96</v>
      </c>
      <c r="L1670" t="s">
        <v>2723</v>
      </c>
      <c r="M1670" s="5">
        <v>-960</v>
      </c>
      <c r="N1670" s="3">
        <v>0</v>
      </c>
      <c r="O1670" t="s">
        <v>2885</v>
      </c>
      <c r="P1670" t="s">
        <v>2658</v>
      </c>
      <c r="Q1670" t="s">
        <v>2885</v>
      </c>
      <c r="R1670" t="str">
        <f t="shared" si="53"/>
        <v>Sim</v>
      </c>
      <c r="S1670" t="s">
        <v>2885</v>
      </c>
      <c r="T1670" t="s">
        <v>30</v>
      </c>
      <c r="U1670" t="s">
        <v>323</v>
      </c>
      <c r="V1670" s="3">
        <v>-960</v>
      </c>
      <c r="W1670" t="s">
        <v>323</v>
      </c>
      <c r="X1670" s="3">
        <v>-960</v>
      </c>
    </row>
    <row r="1671" spans="1:24" s="2" customFormat="1" x14ac:dyDescent="0.2">
      <c r="A1671">
        <v>1671</v>
      </c>
      <c r="B1671"/>
      <c r="C1671" t="s">
        <v>153</v>
      </c>
      <c r="D1671" t="s">
        <v>2893</v>
      </c>
      <c r="E1671" t="s">
        <v>30</v>
      </c>
      <c r="F1671" t="s">
        <v>63</v>
      </c>
      <c r="G1671" t="s">
        <v>25</v>
      </c>
      <c r="H1671" t="str">
        <f t="shared" si="52"/>
        <v xml:space="preserve">5/10 - SALÁRIO KARINA ESTAGIARIA 5/10 | Recorrência: | Observações: </v>
      </c>
      <c r="I1671" t="s">
        <v>491</v>
      </c>
      <c r="J1671" s="5">
        <v>-2200</v>
      </c>
      <c r="K1671" s="4">
        <v>641829.96</v>
      </c>
      <c r="L1671" t="s">
        <v>2723</v>
      </c>
      <c r="M1671" s="5">
        <v>-2200</v>
      </c>
      <c r="N1671" s="3">
        <v>0</v>
      </c>
      <c r="O1671" t="s">
        <v>2885</v>
      </c>
      <c r="P1671" t="s">
        <v>2616</v>
      </c>
      <c r="Q1671" t="s">
        <v>2885</v>
      </c>
      <c r="R1671" t="str">
        <f t="shared" si="53"/>
        <v>Sim</v>
      </c>
      <c r="S1671" t="s">
        <v>2885</v>
      </c>
      <c r="T1671" t="s">
        <v>30</v>
      </c>
      <c r="U1671" t="s">
        <v>323</v>
      </c>
      <c r="V1671" s="3">
        <v>-2200</v>
      </c>
      <c r="W1671" t="s">
        <v>323</v>
      </c>
      <c r="X1671" s="3">
        <v>-2200</v>
      </c>
    </row>
    <row r="1672" spans="1:24" s="2" customFormat="1" x14ac:dyDescent="0.2">
      <c r="A1672" s="2">
        <v>1672</v>
      </c>
      <c r="B1672"/>
      <c r="C1672" t="s">
        <v>574</v>
      </c>
      <c r="D1672" t="s">
        <v>2895</v>
      </c>
      <c r="E1672" t="s">
        <v>30</v>
      </c>
      <c r="F1672" t="s">
        <v>63</v>
      </c>
      <c r="G1672" t="s">
        <v>25</v>
      </c>
      <c r="H1672" t="str">
        <f t="shared" si="52"/>
        <v xml:space="preserve">7/12 - CONDOMINIO+ALUGUEL  7/12 | Recorrência: | Observações: </v>
      </c>
      <c r="I1672" t="s">
        <v>491</v>
      </c>
      <c r="J1672" s="5">
        <v>-6083.33</v>
      </c>
      <c r="K1672" s="4">
        <v>635746.63</v>
      </c>
      <c r="L1672" t="s">
        <v>2723</v>
      </c>
      <c r="M1672" s="5">
        <v>-6083.33</v>
      </c>
      <c r="N1672" s="3">
        <v>0</v>
      </c>
      <c r="O1672" t="s">
        <v>2894</v>
      </c>
      <c r="P1672" t="s">
        <v>2472</v>
      </c>
      <c r="Q1672" t="s">
        <v>2894</v>
      </c>
      <c r="R1672" t="str">
        <f t="shared" si="53"/>
        <v>Sim</v>
      </c>
      <c r="S1672" t="s">
        <v>2894</v>
      </c>
      <c r="T1672" t="s">
        <v>30</v>
      </c>
      <c r="U1672" t="s">
        <v>571</v>
      </c>
      <c r="V1672" s="3">
        <v>-6083.33</v>
      </c>
      <c r="W1672" t="s">
        <v>570</v>
      </c>
      <c r="X1672" s="3">
        <v>-6083.33</v>
      </c>
    </row>
    <row r="1673" spans="1:24" s="2" customFormat="1" x14ac:dyDescent="0.2">
      <c r="A1673">
        <v>1673</v>
      </c>
      <c r="B1673" t="s">
        <v>647</v>
      </c>
      <c r="C1673" t="s">
        <v>648</v>
      </c>
      <c r="D1673" t="s">
        <v>2897</v>
      </c>
      <c r="E1673" t="s">
        <v>30</v>
      </c>
      <c r="F1673" t="s">
        <v>63</v>
      </c>
      <c r="G1673" t="s">
        <v>25</v>
      </c>
      <c r="H1673" t="str">
        <f t="shared" si="52"/>
        <v xml:space="preserve">7/12 - HONORÁRIOS CONTÁBEIS  7/12 | Recorrência: | Observações: </v>
      </c>
      <c r="I1673" t="s">
        <v>755</v>
      </c>
      <c r="J1673" s="5">
        <v>-1217.5</v>
      </c>
      <c r="K1673" s="4">
        <v>634529.13</v>
      </c>
      <c r="L1673" t="s">
        <v>2723</v>
      </c>
      <c r="M1673" s="5">
        <v>-1217.5</v>
      </c>
      <c r="N1673" s="3">
        <v>0</v>
      </c>
      <c r="O1673" t="s">
        <v>2896</v>
      </c>
      <c r="P1673" t="s">
        <v>2536</v>
      </c>
      <c r="Q1673" t="s">
        <v>2896</v>
      </c>
      <c r="R1673" t="str">
        <f t="shared" si="53"/>
        <v>Sim</v>
      </c>
      <c r="S1673" t="s">
        <v>2896</v>
      </c>
      <c r="T1673" t="s">
        <v>30</v>
      </c>
      <c r="U1673" t="s">
        <v>608</v>
      </c>
      <c r="V1673" s="3">
        <v>-1217.5</v>
      </c>
      <c r="W1673" t="s">
        <v>1722</v>
      </c>
      <c r="X1673" s="3">
        <v>-1217.5</v>
      </c>
    </row>
    <row r="1674" spans="1:24" s="2" customFormat="1" x14ac:dyDescent="0.2">
      <c r="A1674" s="2">
        <v>1674</v>
      </c>
      <c r="B1674"/>
      <c r="C1674" t="s">
        <v>153</v>
      </c>
      <c r="D1674" t="s">
        <v>2899</v>
      </c>
      <c r="E1674" t="s">
        <v>30</v>
      </c>
      <c r="F1674" t="s">
        <v>63</v>
      </c>
      <c r="G1674" t="s">
        <v>25</v>
      </c>
      <c r="H1674" t="str">
        <f t="shared" si="52"/>
        <v xml:space="preserve">7/11 - SODEXO - ELIANE 7/12 | Recorrência: | Observações: </v>
      </c>
      <c r="I1674" t="s">
        <v>755</v>
      </c>
      <c r="J1674" s="5">
        <v>-776.6</v>
      </c>
      <c r="K1674" s="4">
        <v>633752.53</v>
      </c>
      <c r="L1674" t="s">
        <v>2723</v>
      </c>
      <c r="M1674" s="5">
        <v>-776.6</v>
      </c>
      <c r="N1674" s="3">
        <v>0</v>
      </c>
      <c r="O1674" t="s">
        <v>2898</v>
      </c>
      <c r="P1674" t="s">
        <v>2536</v>
      </c>
      <c r="Q1674" t="s">
        <v>2898</v>
      </c>
      <c r="R1674" t="str">
        <f t="shared" si="53"/>
        <v>Sim</v>
      </c>
      <c r="S1674" t="s">
        <v>2898</v>
      </c>
      <c r="T1674" t="s">
        <v>30</v>
      </c>
      <c r="U1674" t="s">
        <v>93</v>
      </c>
      <c r="V1674" s="3">
        <v>-776.6</v>
      </c>
      <c r="W1674" t="s">
        <v>331</v>
      </c>
      <c r="X1674" s="3">
        <v>-776.6</v>
      </c>
    </row>
    <row r="1675" spans="1:24" s="2" customFormat="1" x14ac:dyDescent="0.2">
      <c r="A1675">
        <v>1675</v>
      </c>
      <c r="B1675" t="s">
        <v>647</v>
      </c>
      <c r="C1675" t="s">
        <v>648</v>
      </c>
      <c r="D1675" t="s">
        <v>2901</v>
      </c>
      <c r="E1675" t="s">
        <v>30</v>
      </c>
      <c r="F1675" t="s">
        <v>63</v>
      </c>
      <c r="G1675" t="s">
        <v>25</v>
      </c>
      <c r="H1675" t="str">
        <f t="shared" si="52"/>
        <v xml:space="preserve">7/12 - FGTS  7/12 | Recorrência: | Observações: </v>
      </c>
      <c r="I1675" t="s">
        <v>1113</v>
      </c>
      <c r="J1675" s="5">
        <v>-160</v>
      </c>
      <c r="K1675" s="4">
        <v>633592.53</v>
      </c>
      <c r="L1675" t="s">
        <v>2723</v>
      </c>
      <c r="M1675" s="5">
        <v>-160</v>
      </c>
      <c r="N1675" s="3">
        <v>0</v>
      </c>
      <c r="O1675" t="s">
        <v>2900</v>
      </c>
      <c r="P1675" t="s">
        <v>2285</v>
      </c>
      <c r="Q1675" t="s">
        <v>2900</v>
      </c>
      <c r="R1675" t="str">
        <f t="shared" si="53"/>
        <v>Sim</v>
      </c>
      <c r="S1675" t="s">
        <v>2900</v>
      </c>
      <c r="T1675" t="s">
        <v>30</v>
      </c>
      <c r="U1675" t="s">
        <v>1531</v>
      </c>
      <c r="V1675" s="3">
        <v>-160</v>
      </c>
      <c r="W1675" t="s">
        <v>650</v>
      </c>
      <c r="X1675" s="3">
        <v>-160</v>
      </c>
    </row>
    <row r="1676" spans="1:24" s="2" customFormat="1" x14ac:dyDescent="0.2">
      <c r="A1676" s="2">
        <v>1676</v>
      </c>
      <c r="B1676" t="s">
        <v>647</v>
      </c>
      <c r="C1676" t="s">
        <v>648</v>
      </c>
      <c r="D1676" t="s">
        <v>2903</v>
      </c>
      <c r="E1676" t="s">
        <v>30</v>
      </c>
      <c r="F1676" t="s">
        <v>63</v>
      </c>
      <c r="G1676" t="s">
        <v>25</v>
      </c>
      <c r="H1676" t="str">
        <f t="shared" si="52"/>
        <v xml:space="preserve">7/11 - DARF CSLL 7/12 | Recorrência: | Observações: </v>
      </c>
      <c r="I1676" t="s">
        <v>26</v>
      </c>
      <c r="J1676" s="5">
        <v>-1800</v>
      </c>
      <c r="K1676" s="4">
        <v>631792.53</v>
      </c>
      <c r="L1676" t="s">
        <v>2723</v>
      </c>
      <c r="M1676" s="5">
        <v>-1800</v>
      </c>
      <c r="N1676" s="3">
        <v>0</v>
      </c>
      <c r="O1676" t="s">
        <v>2902</v>
      </c>
      <c r="P1676" t="s">
        <v>1391</v>
      </c>
      <c r="Q1676" t="s">
        <v>2902</v>
      </c>
      <c r="R1676" t="str">
        <f t="shared" si="53"/>
        <v>Sim</v>
      </c>
      <c r="S1676" t="s">
        <v>2902</v>
      </c>
      <c r="T1676" t="s">
        <v>30</v>
      </c>
      <c r="U1676" t="s">
        <v>728</v>
      </c>
      <c r="V1676" s="3">
        <v>-1800</v>
      </c>
      <c r="W1676" t="s">
        <v>1115</v>
      </c>
      <c r="X1676" s="3">
        <v>-1800</v>
      </c>
    </row>
    <row r="1677" spans="1:24" s="2" customFormat="1" x14ac:dyDescent="0.2">
      <c r="A1677">
        <v>1677</v>
      </c>
      <c r="B1677" t="s">
        <v>647</v>
      </c>
      <c r="C1677" t="s">
        <v>648</v>
      </c>
      <c r="D1677" t="s">
        <v>2904</v>
      </c>
      <c r="E1677" t="s">
        <v>30</v>
      </c>
      <c r="F1677" t="s">
        <v>63</v>
      </c>
      <c r="G1677" t="s">
        <v>25</v>
      </c>
      <c r="H1677" t="str">
        <f t="shared" si="52"/>
        <v xml:space="preserve">7/12 - DARF IRPJ 7/12 | Recorrência: | Observações: </v>
      </c>
      <c r="I1677" t="s">
        <v>26</v>
      </c>
      <c r="J1677" s="5">
        <v>-963.67</v>
      </c>
      <c r="K1677" s="4">
        <v>630828.86</v>
      </c>
      <c r="L1677" t="s">
        <v>2723</v>
      </c>
      <c r="M1677" s="5">
        <v>-963.67</v>
      </c>
      <c r="N1677" s="3">
        <v>0</v>
      </c>
      <c r="O1677" t="s">
        <v>2902</v>
      </c>
      <c r="P1677" t="s">
        <v>1392</v>
      </c>
      <c r="Q1677" t="s">
        <v>2902</v>
      </c>
      <c r="R1677" t="str">
        <f t="shared" si="53"/>
        <v>Sim</v>
      </c>
      <c r="S1677" t="s">
        <v>2902</v>
      </c>
      <c r="T1677" t="s">
        <v>30</v>
      </c>
      <c r="U1677" t="s">
        <v>1508</v>
      </c>
      <c r="V1677" s="3">
        <v>-963.67</v>
      </c>
      <c r="W1677" t="s">
        <v>1115</v>
      </c>
      <c r="X1677" s="3">
        <v>-963.67</v>
      </c>
    </row>
    <row r="1678" spans="1:24" s="2" customFormat="1" x14ac:dyDescent="0.2">
      <c r="A1678" s="2">
        <v>1678</v>
      </c>
      <c r="B1678" t="s">
        <v>647</v>
      </c>
      <c r="C1678" t="s">
        <v>648</v>
      </c>
      <c r="D1678" t="s">
        <v>1556</v>
      </c>
      <c r="E1678" t="s">
        <v>730</v>
      </c>
      <c r="F1678" t="s">
        <v>63</v>
      </c>
      <c r="G1678" t="s">
        <v>25</v>
      </c>
      <c r="H1678" t="str">
        <f t="shared" si="52"/>
        <v xml:space="preserve">DARF PREVIDÊNCIARIO | Recorrência:7/12 | Observações: </v>
      </c>
      <c r="I1678" t="s">
        <v>26</v>
      </c>
      <c r="J1678" s="5">
        <v>-1500</v>
      </c>
      <c r="K1678" s="4">
        <v>629328.86</v>
      </c>
      <c r="L1678" t="s">
        <v>2723</v>
      </c>
      <c r="M1678" s="5">
        <v>-1500</v>
      </c>
      <c r="N1678" s="3">
        <v>0</v>
      </c>
      <c r="O1678" t="s">
        <v>2902</v>
      </c>
      <c r="P1678" t="s">
        <v>2872</v>
      </c>
      <c r="Q1678" t="s">
        <v>2902</v>
      </c>
      <c r="R1678" t="str">
        <f t="shared" si="53"/>
        <v>Sim</v>
      </c>
      <c r="S1678" t="s">
        <v>2902</v>
      </c>
      <c r="T1678" t="s">
        <v>30</v>
      </c>
      <c r="U1678" t="s">
        <v>601</v>
      </c>
      <c r="V1678" s="3">
        <v>-1500</v>
      </c>
      <c r="W1678" t="s">
        <v>376</v>
      </c>
      <c r="X1678" s="3">
        <v>-1500</v>
      </c>
    </row>
    <row r="1679" spans="1:24" s="2" customFormat="1" x14ac:dyDescent="0.2">
      <c r="A1679">
        <v>1679</v>
      </c>
      <c r="B1679" t="s">
        <v>2735</v>
      </c>
      <c r="C1679" t="s">
        <v>2736</v>
      </c>
      <c r="D1679" t="s">
        <v>2905</v>
      </c>
      <c r="E1679" t="s">
        <v>30</v>
      </c>
      <c r="F1679" t="s">
        <v>24</v>
      </c>
      <c r="G1679" t="s">
        <v>25</v>
      </c>
      <c r="H1679" t="str">
        <f t="shared" si="52"/>
        <v>1/4 - GERENCIAMENTO RICARDO JUAN E LILI 1/4 | Recorrência: | Observações: Gerado CPF somente para realização de cadastro CPF 841.063.563-17
https://www.geradordecpf.org/</v>
      </c>
      <c r="I1679" t="s">
        <v>491</v>
      </c>
      <c r="J1679" s="4">
        <v>4000</v>
      </c>
      <c r="K1679" s="4">
        <v>633328.86</v>
      </c>
      <c r="L1679" t="s">
        <v>2723</v>
      </c>
      <c r="M1679" s="4">
        <v>4000</v>
      </c>
      <c r="N1679" s="3">
        <v>0</v>
      </c>
      <c r="O1679" t="s">
        <v>2902</v>
      </c>
      <c r="P1679" t="s">
        <v>2707</v>
      </c>
      <c r="Q1679" t="s">
        <v>2902</v>
      </c>
      <c r="R1679" t="str">
        <f t="shared" si="53"/>
        <v>Sim</v>
      </c>
      <c r="S1679" t="s">
        <v>2902</v>
      </c>
      <c r="T1679" t="s">
        <v>2906</v>
      </c>
      <c r="U1679" t="s">
        <v>274</v>
      </c>
      <c r="V1679" s="3">
        <v>4000</v>
      </c>
      <c r="W1679" t="s">
        <v>166</v>
      </c>
      <c r="X1679" s="3">
        <v>4000</v>
      </c>
    </row>
    <row r="1680" spans="1:24" s="2" customFormat="1" x14ac:dyDescent="0.2">
      <c r="A1680" s="2">
        <v>1680</v>
      </c>
      <c r="B1680"/>
      <c r="C1680" t="s">
        <v>153</v>
      </c>
      <c r="D1680" t="s">
        <v>2908</v>
      </c>
      <c r="E1680" t="s">
        <v>30</v>
      </c>
      <c r="F1680" t="s">
        <v>63</v>
      </c>
      <c r="G1680" t="s">
        <v>25</v>
      </c>
      <c r="H1680" t="str">
        <f t="shared" si="52"/>
        <v xml:space="preserve">3/4 - DARF COFINS - TRIMESTRAL 3/4 | Recorrência: | Observações: </v>
      </c>
      <c r="I1680" t="s">
        <v>26</v>
      </c>
      <c r="J1680" s="5">
        <v>-1516.77</v>
      </c>
      <c r="K1680" s="4">
        <v>631812.09</v>
      </c>
      <c r="L1680" t="s">
        <v>2723</v>
      </c>
      <c r="M1680" s="5">
        <v>-1516.77</v>
      </c>
      <c r="N1680" s="3">
        <v>0</v>
      </c>
      <c r="O1680" t="s">
        <v>2907</v>
      </c>
      <c r="P1680" t="s">
        <v>2536</v>
      </c>
      <c r="Q1680" t="s">
        <v>2907</v>
      </c>
      <c r="R1680" t="str">
        <f t="shared" si="53"/>
        <v>Sim</v>
      </c>
      <c r="S1680" t="s">
        <v>2907</v>
      </c>
      <c r="T1680" t="s">
        <v>30</v>
      </c>
      <c r="U1680" t="s">
        <v>1508</v>
      </c>
      <c r="V1680" s="3">
        <v>-1516.77</v>
      </c>
      <c r="W1680" t="s">
        <v>2570</v>
      </c>
      <c r="X1680" s="3">
        <v>-1516.77</v>
      </c>
    </row>
    <row r="1681" spans="1:24" s="2" customFormat="1" x14ac:dyDescent="0.2">
      <c r="A1681">
        <v>1681</v>
      </c>
      <c r="B1681" t="s">
        <v>647</v>
      </c>
      <c r="C1681" t="s">
        <v>648</v>
      </c>
      <c r="D1681" t="s">
        <v>2910</v>
      </c>
      <c r="E1681" t="s">
        <v>30</v>
      </c>
      <c r="F1681" t="s">
        <v>63</v>
      </c>
      <c r="G1681" t="s">
        <v>25</v>
      </c>
      <c r="H1681" t="str">
        <f t="shared" si="52"/>
        <v xml:space="preserve">20/35 - DARF ISS 20/36 | Recorrência: | Observações: </v>
      </c>
      <c r="I1681" t="s">
        <v>26</v>
      </c>
      <c r="J1681" s="5">
        <v>-671.87</v>
      </c>
      <c r="K1681" s="4">
        <v>631140.22</v>
      </c>
      <c r="L1681" t="s">
        <v>2723</v>
      </c>
      <c r="M1681" s="5">
        <v>-671.87</v>
      </c>
      <c r="N1681" s="3">
        <v>0</v>
      </c>
      <c r="O1681" t="s">
        <v>2909</v>
      </c>
      <c r="P1681" t="s">
        <v>1474</v>
      </c>
      <c r="Q1681" t="s">
        <v>2909</v>
      </c>
      <c r="R1681" t="str">
        <f t="shared" si="53"/>
        <v>Sim</v>
      </c>
      <c r="S1681" t="s">
        <v>2909</v>
      </c>
      <c r="T1681" t="s">
        <v>30</v>
      </c>
      <c r="U1681" t="s">
        <v>1098</v>
      </c>
      <c r="V1681" s="3">
        <v>-671.87</v>
      </c>
      <c r="W1681" t="s">
        <v>324</v>
      </c>
      <c r="X1681" s="3">
        <v>-671.87</v>
      </c>
    </row>
    <row r="1682" spans="1:24" s="2" customFormat="1" x14ac:dyDescent="0.2">
      <c r="A1682" s="2">
        <v>1682</v>
      </c>
      <c r="B1682"/>
      <c r="C1682" t="s">
        <v>153</v>
      </c>
      <c r="D1682" t="s">
        <v>2912</v>
      </c>
      <c r="E1682" t="s">
        <v>30</v>
      </c>
      <c r="F1682" t="s">
        <v>63</v>
      </c>
      <c r="G1682" t="s">
        <v>25</v>
      </c>
      <c r="H1682" t="str">
        <f t="shared" si="52"/>
        <v xml:space="preserve">8/12 - SALÁRIO ELIANE  8/12 | Recorrência: | Observações: </v>
      </c>
      <c r="I1682" t="s">
        <v>491</v>
      </c>
      <c r="J1682" s="5">
        <v>-1700</v>
      </c>
      <c r="K1682" s="4">
        <v>629440.22</v>
      </c>
      <c r="L1682" t="s">
        <v>2723</v>
      </c>
      <c r="M1682" s="5">
        <v>-1700</v>
      </c>
      <c r="N1682" s="3">
        <v>0</v>
      </c>
      <c r="O1682" t="s">
        <v>2911</v>
      </c>
      <c r="P1682" t="s">
        <v>2261</v>
      </c>
      <c r="Q1682" t="s">
        <v>2911</v>
      </c>
      <c r="R1682" t="str">
        <f t="shared" si="53"/>
        <v>Sim</v>
      </c>
      <c r="S1682" t="s">
        <v>2911</v>
      </c>
      <c r="T1682" t="s">
        <v>30</v>
      </c>
      <c r="U1682" t="s">
        <v>323</v>
      </c>
      <c r="V1682" s="3">
        <v>-1700</v>
      </c>
      <c r="W1682" t="s">
        <v>1164</v>
      </c>
      <c r="X1682" s="3">
        <v>-1700</v>
      </c>
    </row>
    <row r="1683" spans="1:24" s="2" customFormat="1" x14ac:dyDescent="0.2">
      <c r="A1683">
        <v>1683</v>
      </c>
      <c r="B1683"/>
      <c r="C1683" t="s">
        <v>153</v>
      </c>
      <c r="D1683" t="s">
        <v>2913</v>
      </c>
      <c r="E1683" t="s">
        <v>30</v>
      </c>
      <c r="F1683" t="s">
        <v>63</v>
      </c>
      <c r="G1683" t="s">
        <v>25</v>
      </c>
      <c r="H1683" t="str">
        <f t="shared" si="52"/>
        <v xml:space="preserve">8/13 - SALÁRIO - JULYA FIGUEIREDO - COORDENADORA 8/13 | Recorrência: | Observações: </v>
      </c>
      <c r="I1683" t="s">
        <v>491</v>
      </c>
      <c r="J1683" s="5">
        <v>-4500</v>
      </c>
      <c r="K1683" s="4">
        <v>624940.22</v>
      </c>
      <c r="L1683" t="s">
        <v>2723</v>
      </c>
      <c r="M1683" s="5">
        <v>-4500</v>
      </c>
      <c r="N1683" s="3">
        <v>0</v>
      </c>
      <c r="O1683" t="s">
        <v>2911</v>
      </c>
      <c r="P1683" t="s">
        <v>2418</v>
      </c>
      <c r="Q1683" t="s">
        <v>2911</v>
      </c>
      <c r="R1683" t="str">
        <f t="shared" si="53"/>
        <v>Sim</v>
      </c>
      <c r="S1683" t="s">
        <v>2911</v>
      </c>
      <c r="T1683" t="s">
        <v>30</v>
      </c>
      <c r="U1683" t="s">
        <v>323</v>
      </c>
      <c r="V1683" s="3">
        <v>-4500</v>
      </c>
      <c r="W1683" t="s">
        <v>1164</v>
      </c>
      <c r="X1683" s="3">
        <v>-4500</v>
      </c>
    </row>
    <row r="1684" spans="1:24" s="2" customFormat="1" x14ac:dyDescent="0.2">
      <c r="A1684" s="2">
        <v>1684</v>
      </c>
      <c r="B1684"/>
      <c r="C1684" t="s">
        <v>153</v>
      </c>
      <c r="D1684" t="s">
        <v>2914</v>
      </c>
      <c r="E1684" t="s">
        <v>30</v>
      </c>
      <c r="F1684" t="s">
        <v>63</v>
      </c>
      <c r="G1684" t="s">
        <v>25</v>
      </c>
      <c r="H1684" t="str">
        <f t="shared" si="52"/>
        <v xml:space="preserve">7/12 - ELIANE - VALE TRANSPORTE MÊS DE AGOSTO 7/12 | Recorrência: | Observações: </v>
      </c>
      <c r="I1684" t="s">
        <v>491</v>
      </c>
      <c r="J1684" s="5">
        <v>-363.33</v>
      </c>
      <c r="K1684" s="4">
        <v>624576.89</v>
      </c>
      <c r="L1684" t="s">
        <v>2723</v>
      </c>
      <c r="M1684" s="5">
        <v>-363.33</v>
      </c>
      <c r="N1684" s="3">
        <v>0</v>
      </c>
      <c r="O1684" t="s">
        <v>2911</v>
      </c>
      <c r="P1684" t="s">
        <v>2578</v>
      </c>
      <c r="Q1684" t="s">
        <v>2911</v>
      </c>
      <c r="R1684" t="str">
        <f t="shared" si="53"/>
        <v>Sim</v>
      </c>
      <c r="S1684" t="s">
        <v>2911</v>
      </c>
      <c r="T1684" t="s">
        <v>30</v>
      </c>
      <c r="U1684" t="s">
        <v>662</v>
      </c>
      <c r="V1684" s="3">
        <v>-363.33</v>
      </c>
      <c r="W1684" t="s">
        <v>698</v>
      </c>
      <c r="X1684" s="3">
        <v>-363.33</v>
      </c>
    </row>
    <row r="1685" spans="1:24" s="2" customFormat="1" x14ac:dyDescent="0.2">
      <c r="A1685">
        <v>1685</v>
      </c>
      <c r="B1685"/>
      <c r="C1685" t="s">
        <v>828</v>
      </c>
      <c r="D1685" t="s">
        <v>830</v>
      </c>
      <c r="E1685" t="s">
        <v>2916</v>
      </c>
      <c r="F1685" t="s">
        <v>63</v>
      </c>
      <c r="G1685" t="s">
        <v>25</v>
      </c>
      <c r="H1685" t="str">
        <f t="shared" si="52"/>
        <v xml:space="preserve">PREFEITURA DO MUNICIPIO DE BERTIOGA | Recorrência:29/41 | Observações: REF.02 PAGAMENTOS </v>
      </c>
      <c r="I1685" t="s">
        <v>26</v>
      </c>
      <c r="J1685" s="5">
        <v>-228.16</v>
      </c>
      <c r="K1685" s="4">
        <v>624348.73</v>
      </c>
      <c r="L1685" t="s">
        <v>2723</v>
      </c>
      <c r="M1685" s="5">
        <v>-228.16</v>
      </c>
      <c r="N1685" s="3">
        <v>0</v>
      </c>
      <c r="O1685" t="s">
        <v>2915</v>
      </c>
      <c r="P1685" t="s">
        <v>2900</v>
      </c>
      <c r="Q1685" t="s">
        <v>2915</v>
      </c>
      <c r="R1685" t="str">
        <f t="shared" si="53"/>
        <v>Sim</v>
      </c>
      <c r="S1685" t="s">
        <v>2915</v>
      </c>
      <c r="T1685" t="s">
        <v>831</v>
      </c>
      <c r="U1685" t="s">
        <v>832</v>
      </c>
      <c r="V1685" s="3">
        <v>-228.16</v>
      </c>
    </row>
    <row r="1686" spans="1:24" s="2" customFormat="1" x14ac:dyDescent="0.2">
      <c r="A1686" s="2">
        <v>1686</v>
      </c>
      <c r="B1686"/>
      <c r="C1686" t="s">
        <v>153</v>
      </c>
      <c r="D1686" t="s">
        <v>2917</v>
      </c>
      <c r="E1686" t="s">
        <v>30</v>
      </c>
      <c r="F1686" t="s">
        <v>63</v>
      </c>
      <c r="G1686" t="s">
        <v>25</v>
      </c>
      <c r="H1686" t="str">
        <f t="shared" si="52"/>
        <v xml:space="preserve">7/12 - DIÁRIAS JULIANA SOARES  7/12 | Recorrência: | Observações: </v>
      </c>
      <c r="I1686" t="s">
        <v>1113</v>
      </c>
      <c r="J1686" s="5">
        <v>-600</v>
      </c>
      <c r="K1686" s="4">
        <v>623748.73</v>
      </c>
      <c r="L1686" t="s">
        <v>2723</v>
      </c>
      <c r="M1686" s="5">
        <v>-600</v>
      </c>
      <c r="N1686" s="3">
        <v>0</v>
      </c>
      <c r="O1686" t="s">
        <v>2915</v>
      </c>
      <c r="P1686" t="s">
        <v>2481</v>
      </c>
      <c r="Q1686" t="s">
        <v>2911</v>
      </c>
      <c r="R1686" t="str">
        <f t="shared" si="53"/>
        <v>nao</v>
      </c>
      <c r="S1686" t="s">
        <v>2915</v>
      </c>
      <c r="T1686" t="s">
        <v>30</v>
      </c>
      <c r="U1686" t="s">
        <v>691</v>
      </c>
      <c r="V1686" s="3">
        <v>-600</v>
      </c>
      <c r="W1686" t="s">
        <v>1722</v>
      </c>
      <c r="X1686" s="3">
        <v>-600</v>
      </c>
    </row>
    <row r="1687" spans="1:24" s="2" customFormat="1" x14ac:dyDescent="0.2">
      <c r="A1687">
        <v>1687</v>
      </c>
      <c r="B1687"/>
      <c r="C1687" t="s">
        <v>153</v>
      </c>
      <c r="D1687" t="s">
        <v>2919</v>
      </c>
      <c r="E1687" t="s">
        <v>30</v>
      </c>
      <c r="F1687" t="s">
        <v>63</v>
      </c>
      <c r="G1687" t="s">
        <v>25</v>
      </c>
      <c r="H1687" t="str">
        <f t="shared" si="52"/>
        <v xml:space="preserve">8/12 - PRÓ LABORE MAYARA CLA 8/13 | Recorrência: | Observações: </v>
      </c>
      <c r="I1687" t="s">
        <v>991</v>
      </c>
      <c r="J1687" s="5">
        <v>-20000</v>
      </c>
      <c r="K1687" s="4">
        <v>603748.73</v>
      </c>
      <c r="L1687" t="s">
        <v>2723</v>
      </c>
      <c r="M1687" s="5">
        <v>-20000</v>
      </c>
      <c r="N1687" s="3">
        <v>0</v>
      </c>
      <c r="O1687" t="s">
        <v>2918</v>
      </c>
      <c r="P1687" t="s">
        <v>2261</v>
      </c>
      <c r="Q1687" t="s">
        <v>2918</v>
      </c>
      <c r="R1687" t="str">
        <f t="shared" si="53"/>
        <v>Sim</v>
      </c>
      <c r="S1687" t="s">
        <v>2918</v>
      </c>
      <c r="T1687" t="s">
        <v>30</v>
      </c>
      <c r="U1687" t="s">
        <v>323</v>
      </c>
      <c r="V1687" s="3">
        <v>-20000</v>
      </c>
      <c r="W1687" t="s">
        <v>1164</v>
      </c>
      <c r="X1687" s="3">
        <v>-20000</v>
      </c>
    </row>
    <row r="1688" spans="1:24" s="2" customFormat="1" x14ac:dyDescent="0.2">
      <c r="A1688" s="2">
        <v>1688</v>
      </c>
      <c r="B1688"/>
      <c r="C1688" t="s">
        <v>153</v>
      </c>
      <c r="D1688" t="s">
        <v>2920</v>
      </c>
      <c r="E1688" t="s">
        <v>30</v>
      </c>
      <c r="F1688" t="s">
        <v>63</v>
      </c>
      <c r="G1688" t="s">
        <v>25</v>
      </c>
      <c r="H1688" t="str">
        <f t="shared" si="52"/>
        <v xml:space="preserve">8/12 - PRÓ LABORE NATASHA  8/13 | Recorrência: | Observações: </v>
      </c>
      <c r="I1688" t="s">
        <v>991</v>
      </c>
      <c r="J1688" s="5">
        <v>-20000</v>
      </c>
      <c r="K1688" s="4">
        <v>583748.73</v>
      </c>
      <c r="L1688" t="s">
        <v>2723</v>
      </c>
      <c r="M1688" s="5">
        <v>-20000</v>
      </c>
      <c r="N1688" s="3">
        <v>0</v>
      </c>
      <c r="O1688" t="s">
        <v>2918</v>
      </c>
      <c r="P1688" t="s">
        <v>2261</v>
      </c>
      <c r="Q1688" t="s">
        <v>2918</v>
      </c>
      <c r="R1688" t="str">
        <f t="shared" si="53"/>
        <v>Sim</v>
      </c>
      <c r="S1688" t="s">
        <v>2918</v>
      </c>
      <c r="T1688" t="s">
        <v>30</v>
      </c>
      <c r="U1688" t="s">
        <v>323</v>
      </c>
      <c r="V1688" s="3">
        <v>-20000</v>
      </c>
      <c r="W1688" t="s">
        <v>1164</v>
      </c>
      <c r="X1688" s="3">
        <v>-20000</v>
      </c>
    </row>
    <row r="1689" spans="1:24" s="2" customFormat="1" x14ac:dyDescent="0.2">
      <c r="A1689">
        <v>1689</v>
      </c>
      <c r="B1689"/>
      <c r="C1689" t="s">
        <v>153</v>
      </c>
      <c r="D1689" t="s">
        <v>2921</v>
      </c>
      <c r="E1689" t="s">
        <v>30</v>
      </c>
      <c r="F1689" t="s">
        <v>63</v>
      </c>
      <c r="G1689" t="s">
        <v>25</v>
      </c>
      <c r="H1689" t="str">
        <f t="shared" si="52"/>
        <v xml:space="preserve">8/12 - SALÁRIO MAYARA OLIVEIRA  8/12 | Recorrência: | Observações: </v>
      </c>
      <c r="I1689" t="s">
        <v>491</v>
      </c>
      <c r="J1689" s="5">
        <v>-3200</v>
      </c>
      <c r="K1689" s="4">
        <v>580548.73</v>
      </c>
      <c r="L1689" t="s">
        <v>2723</v>
      </c>
      <c r="M1689" s="5">
        <v>-3200</v>
      </c>
      <c r="N1689" s="3">
        <v>0</v>
      </c>
      <c r="O1689" t="s">
        <v>2918</v>
      </c>
      <c r="P1689" t="s">
        <v>2261</v>
      </c>
      <c r="Q1689" t="s">
        <v>2918</v>
      </c>
      <c r="R1689" t="str">
        <f t="shared" si="53"/>
        <v>Sim</v>
      </c>
      <c r="S1689" t="s">
        <v>2918</v>
      </c>
      <c r="T1689" t="s">
        <v>30</v>
      </c>
      <c r="U1689" t="s">
        <v>323</v>
      </c>
      <c r="V1689" s="3">
        <v>-3200</v>
      </c>
      <c r="W1689" t="s">
        <v>1164</v>
      </c>
      <c r="X1689" s="3">
        <v>-3200</v>
      </c>
    </row>
    <row r="1690" spans="1:24" s="2" customFormat="1" x14ac:dyDescent="0.2">
      <c r="A1690" s="2">
        <v>1690</v>
      </c>
      <c r="B1690"/>
      <c r="C1690" t="s">
        <v>710</v>
      </c>
      <c r="D1690" t="s">
        <v>2922</v>
      </c>
      <c r="E1690" t="s">
        <v>30</v>
      </c>
      <c r="F1690" t="s">
        <v>63</v>
      </c>
      <c r="G1690" t="s">
        <v>25</v>
      </c>
      <c r="H1690" t="str">
        <f t="shared" si="52"/>
        <v xml:space="preserve">8/12 - ENEL - ENERGIA ELÉTRICA referente a janeiro 8/12 | Recorrência: | Observações: </v>
      </c>
      <c r="I1690" t="s">
        <v>26</v>
      </c>
      <c r="J1690" s="5">
        <v>-384.62</v>
      </c>
      <c r="K1690" s="4">
        <v>580164.11</v>
      </c>
      <c r="L1690" t="s">
        <v>2723</v>
      </c>
      <c r="M1690" s="5">
        <v>-384.62</v>
      </c>
      <c r="N1690" s="3">
        <v>0</v>
      </c>
      <c r="O1690" t="s">
        <v>2918</v>
      </c>
      <c r="P1690" t="s">
        <v>2577</v>
      </c>
      <c r="Q1690" t="s">
        <v>2918</v>
      </c>
      <c r="R1690" t="str">
        <f t="shared" si="53"/>
        <v>Sim</v>
      </c>
      <c r="S1690" t="s">
        <v>2918</v>
      </c>
      <c r="T1690" t="s">
        <v>30</v>
      </c>
      <c r="U1690" t="s">
        <v>125</v>
      </c>
      <c r="V1690" s="3">
        <v>-384.62</v>
      </c>
      <c r="W1690" t="s">
        <v>125</v>
      </c>
      <c r="X1690" s="3">
        <v>-384.62</v>
      </c>
    </row>
    <row r="1691" spans="1:24" s="2" customFormat="1" x14ac:dyDescent="0.2">
      <c r="A1691">
        <v>1691</v>
      </c>
      <c r="B1691"/>
      <c r="C1691" t="s">
        <v>153</v>
      </c>
      <c r="D1691" t="s">
        <v>2923</v>
      </c>
      <c r="E1691" t="s">
        <v>30</v>
      </c>
      <c r="F1691" t="s">
        <v>63</v>
      </c>
      <c r="G1691" t="s">
        <v>25</v>
      </c>
      <c r="H1691" t="str">
        <f t="shared" si="52"/>
        <v xml:space="preserve">6/11 - SALÁRIO - MANU_ESTAGIÁRIA  6/11 | Recorrência: | Observações: </v>
      </c>
      <c r="I1691" t="s">
        <v>491</v>
      </c>
      <c r="J1691" s="5">
        <v>-960</v>
      </c>
      <c r="K1691" s="4">
        <v>579204.11</v>
      </c>
      <c r="L1691" t="s">
        <v>2723</v>
      </c>
      <c r="M1691" s="5">
        <v>-960</v>
      </c>
      <c r="N1691" s="3">
        <v>0</v>
      </c>
      <c r="O1691" t="s">
        <v>2918</v>
      </c>
      <c r="P1691" t="s">
        <v>2658</v>
      </c>
      <c r="Q1691" t="s">
        <v>2918</v>
      </c>
      <c r="R1691" t="str">
        <f t="shared" si="53"/>
        <v>Sim</v>
      </c>
      <c r="S1691" t="s">
        <v>2918</v>
      </c>
      <c r="T1691" t="s">
        <v>30</v>
      </c>
      <c r="U1691" t="s">
        <v>323</v>
      </c>
      <c r="V1691" s="3">
        <v>-960</v>
      </c>
      <c r="W1691" t="s">
        <v>323</v>
      </c>
      <c r="X1691" s="3">
        <v>-960</v>
      </c>
    </row>
    <row r="1692" spans="1:24" s="2" customFormat="1" x14ac:dyDescent="0.2">
      <c r="A1692" s="2">
        <v>1692</v>
      </c>
      <c r="B1692"/>
      <c r="C1692" t="s">
        <v>153</v>
      </c>
      <c r="D1692" t="s">
        <v>2924</v>
      </c>
      <c r="E1692" t="s">
        <v>30</v>
      </c>
      <c r="F1692" t="s">
        <v>63</v>
      </c>
      <c r="G1692" t="s">
        <v>25</v>
      </c>
      <c r="H1692" t="str">
        <f t="shared" si="52"/>
        <v xml:space="preserve">6/10 - SALÁRIO KARINA ESTAGIARIA 6/10 | Recorrência: | Observações: </v>
      </c>
      <c r="I1692" t="s">
        <v>491</v>
      </c>
      <c r="J1692" s="5">
        <v>-2200</v>
      </c>
      <c r="K1692" s="4">
        <v>577004.11</v>
      </c>
      <c r="L1692" t="s">
        <v>2723</v>
      </c>
      <c r="M1692" s="5">
        <v>-2200</v>
      </c>
      <c r="N1692" s="3">
        <v>0</v>
      </c>
      <c r="O1692" t="s">
        <v>2918</v>
      </c>
      <c r="P1692" t="s">
        <v>2616</v>
      </c>
      <c r="Q1692" t="s">
        <v>2918</v>
      </c>
      <c r="R1692" t="str">
        <f t="shared" si="53"/>
        <v>Sim</v>
      </c>
      <c r="S1692" t="s">
        <v>2918</v>
      </c>
      <c r="T1692" t="s">
        <v>30</v>
      </c>
      <c r="U1692" t="s">
        <v>323</v>
      </c>
      <c r="V1692" s="3">
        <v>-2200</v>
      </c>
      <c r="W1692" t="s">
        <v>323</v>
      </c>
      <c r="X1692" s="3">
        <v>-2200</v>
      </c>
    </row>
    <row r="1693" spans="1:24" s="2" customFormat="1" x14ac:dyDescent="0.2">
      <c r="A1693">
        <v>1693</v>
      </c>
      <c r="B1693"/>
      <c r="C1693" t="s">
        <v>574</v>
      </c>
      <c r="D1693" t="s">
        <v>2926</v>
      </c>
      <c r="E1693" t="s">
        <v>30</v>
      </c>
      <c r="F1693" t="s">
        <v>63</v>
      </c>
      <c r="G1693" t="s">
        <v>25</v>
      </c>
      <c r="H1693" t="str">
        <f t="shared" si="52"/>
        <v xml:space="preserve">8/12 - CONDOMINIO+ALUGUEL  8/12 | Recorrência: | Observações: </v>
      </c>
      <c r="I1693" t="s">
        <v>491</v>
      </c>
      <c r="J1693" s="5">
        <v>-6083.33</v>
      </c>
      <c r="K1693" s="4">
        <v>570920.78</v>
      </c>
      <c r="L1693" t="s">
        <v>2723</v>
      </c>
      <c r="M1693" s="5">
        <v>-6083.33</v>
      </c>
      <c r="N1693" s="3">
        <v>0</v>
      </c>
      <c r="O1693" t="s">
        <v>2925</v>
      </c>
      <c r="P1693" t="s">
        <v>2472</v>
      </c>
      <c r="Q1693" t="s">
        <v>2925</v>
      </c>
      <c r="R1693" t="str">
        <f t="shared" si="53"/>
        <v>Sim</v>
      </c>
      <c r="S1693" t="s">
        <v>2925</v>
      </c>
      <c r="T1693" t="s">
        <v>30</v>
      </c>
      <c r="U1693" t="s">
        <v>571</v>
      </c>
      <c r="V1693" s="3">
        <v>-6083.33</v>
      </c>
      <c r="W1693" t="s">
        <v>570</v>
      </c>
      <c r="X1693" s="3">
        <v>-6083.33</v>
      </c>
    </row>
    <row r="1694" spans="1:24" s="2" customFormat="1" x14ac:dyDescent="0.2">
      <c r="A1694" s="2">
        <v>1694</v>
      </c>
      <c r="B1694" t="s">
        <v>647</v>
      </c>
      <c r="C1694" t="s">
        <v>648</v>
      </c>
      <c r="D1694" t="s">
        <v>2928</v>
      </c>
      <c r="E1694" t="s">
        <v>30</v>
      </c>
      <c r="F1694" t="s">
        <v>63</v>
      </c>
      <c r="G1694" t="s">
        <v>25</v>
      </c>
      <c r="H1694" t="str">
        <f t="shared" si="52"/>
        <v xml:space="preserve">8/12 - HONORÁRIOS CONTÁBEIS  8/12 | Recorrência: | Observações: </v>
      </c>
      <c r="I1694" t="s">
        <v>755</v>
      </c>
      <c r="J1694" s="5">
        <v>-1217.5</v>
      </c>
      <c r="K1694" s="4">
        <v>569703.28</v>
      </c>
      <c r="L1694" t="s">
        <v>2723</v>
      </c>
      <c r="M1694" s="5">
        <v>-1217.5</v>
      </c>
      <c r="N1694" s="3">
        <v>0</v>
      </c>
      <c r="O1694" t="s">
        <v>2927</v>
      </c>
      <c r="P1694" t="s">
        <v>2536</v>
      </c>
      <c r="Q1694" t="s">
        <v>2927</v>
      </c>
      <c r="R1694" t="str">
        <f t="shared" si="53"/>
        <v>Sim</v>
      </c>
      <c r="S1694" t="s">
        <v>2927</v>
      </c>
      <c r="T1694" t="s">
        <v>30</v>
      </c>
      <c r="U1694" t="s">
        <v>608</v>
      </c>
      <c r="V1694" s="3">
        <v>-1217.5</v>
      </c>
      <c r="W1694" t="s">
        <v>1722</v>
      </c>
      <c r="X1694" s="3">
        <v>-1217.5</v>
      </c>
    </row>
    <row r="1695" spans="1:24" s="2" customFormat="1" x14ac:dyDescent="0.2">
      <c r="A1695">
        <v>1695</v>
      </c>
      <c r="B1695"/>
      <c r="C1695" t="s">
        <v>153</v>
      </c>
      <c r="D1695" t="s">
        <v>2930</v>
      </c>
      <c r="E1695" t="s">
        <v>30</v>
      </c>
      <c r="F1695" t="s">
        <v>63</v>
      </c>
      <c r="G1695" t="s">
        <v>25</v>
      </c>
      <c r="H1695" t="str">
        <f t="shared" si="52"/>
        <v xml:space="preserve">8/11 - SODEXO - ELIANE 8/12 | Recorrência: | Observações: </v>
      </c>
      <c r="I1695" t="s">
        <v>755</v>
      </c>
      <c r="J1695" s="5">
        <v>-776.6</v>
      </c>
      <c r="K1695" s="4">
        <v>568926.68000000005</v>
      </c>
      <c r="L1695" t="s">
        <v>2723</v>
      </c>
      <c r="M1695" s="5">
        <v>-776.6</v>
      </c>
      <c r="N1695" s="3">
        <v>0</v>
      </c>
      <c r="O1695" t="s">
        <v>2929</v>
      </c>
      <c r="P1695" t="s">
        <v>2536</v>
      </c>
      <c r="Q1695" t="s">
        <v>2929</v>
      </c>
      <c r="R1695" t="str">
        <f t="shared" si="53"/>
        <v>Sim</v>
      </c>
      <c r="S1695" t="s">
        <v>2929</v>
      </c>
      <c r="T1695" t="s">
        <v>30</v>
      </c>
      <c r="U1695" t="s">
        <v>93</v>
      </c>
      <c r="V1695" s="3">
        <v>-776.6</v>
      </c>
      <c r="W1695" t="s">
        <v>331</v>
      </c>
      <c r="X1695" s="3">
        <v>-776.6</v>
      </c>
    </row>
    <row r="1696" spans="1:24" s="2" customFormat="1" x14ac:dyDescent="0.2">
      <c r="A1696" s="2">
        <v>1696</v>
      </c>
      <c r="B1696" t="s">
        <v>647</v>
      </c>
      <c r="C1696" t="s">
        <v>648</v>
      </c>
      <c r="D1696" t="s">
        <v>2932</v>
      </c>
      <c r="E1696" t="s">
        <v>30</v>
      </c>
      <c r="F1696" t="s">
        <v>63</v>
      </c>
      <c r="G1696" t="s">
        <v>25</v>
      </c>
      <c r="H1696" t="str">
        <f t="shared" si="52"/>
        <v xml:space="preserve">8/12 - FGTS  8/12 | Recorrência: | Observações: </v>
      </c>
      <c r="I1696" t="s">
        <v>1113</v>
      </c>
      <c r="J1696" s="5">
        <v>-160</v>
      </c>
      <c r="K1696" s="4">
        <v>568766.68000000005</v>
      </c>
      <c r="L1696" t="s">
        <v>2723</v>
      </c>
      <c r="M1696" s="5">
        <v>-160</v>
      </c>
      <c r="N1696" s="3">
        <v>0</v>
      </c>
      <c r="O1696" t="s">
        <v>2931</v>
      </c>
      <c r="P1696" t="s">
        <v>2285</v>
      </c>
      <c r="Q1696" t="s">
        <v>2931</v>
      </c>
      <c r="R1696" t="str">
        <f t="shared" si="53"/>
        <v>Sim</v>
      </c>
      <c r="S1696" t="s">
        <v>2931</v>
      </c>
      <c r="T1696" t="s">
        <v>30</v>
      </c>
      <c r="U1696" t="s">
        <v>1531</v>
      </c>
      <c r="V1696" s="3">
        <v>-160</v>
      </c>
      <c r="W1696" t="s">
        <v>650</v>
      </c>
      <c r="X1696" s="3">
        <v>-160</v>
      </c>
    </row>
    <row r="1697" spans="1:24" s="2" customFormat="1" x14ac:dyDescent="0.2">
      <c r="A1697">
        <v>1697</v>
      </c>
      <c r="B1697" t="s">
        <v>647</v>
      </c>
      <c r="C1697" t="s">
        <v>648</v>
      </c>
      <c r="D1697" t="s">
        <v>1556</v>
      </c>
      <c r="E1697" t="s">
        <v>778</v>
      </c>
      <c r="F1697" t="s">
        <v>63</v>
      </c>
      <c r="G1697" t="s">
        <v>25</v>
      </c>
      <c r="H1697" t="str">
        <f t="shared" si="52"/>
        <v xml:space="preserve">DARF PREVIDÊNCIARIO | Recorrência:8/12 | Observações: </v>
      </c>
      <c r="I1697" t="s">
        <v>26</v>
      </c>
      <c r="J1697" s="5">
        <v>-1500</v>
      </c>
      <c r="K1697" s="4">
        <v>567266.68000000005</v>
      </c>
      <c r="L1697" t="s">
        <v>2723</v>
      </c>
      <c r="M1697" s="5">
        <v>-1500</v>
      </c>
      <c r="N1697" s="3">
        <v>0</v>
      </c>
      <c r="O1697" t="s">
        <v>2933</v>
      </c>
      <c r="P1697" t="s">
        <v>2902</v>
      </c>
      <c r="Q1697" t="s">
        <v>2933</v>
      </c>
      <c r="R1697" t="str">
        <f t="shared" si="53"/>
        <v>Sim</v>
      </c>
      <c r="S1697" t="s">
        <v>2933</v>
      </c>
      <c r="T1697" t="s">
        <v>30</v>
      </c>
      <c r="U1697" t="s">
        <v>601</v>
      </c>
      <c r="V1697" s="3">
        <v>-1500</v>
      </c>
      <c r="W1697" t="s">
        <v>376</v>
      </c>
      <c r="X1697" s="3">
        <v>-1500</v>
      </c>
    </row>
    <row r="1698" spans="1:24" s="2" customFormat="1" x14ac:dyDescent="0.2">
      <c r="A1698" s="2">
        <v>1698</v>
      </c>
      <c r="B1698" t="s">
        <v>2735</v>
      </c>
      <c r="C1698" t="s">
        <v>2736</v>
      </c>
      <c r="D1698" t="s">
        <v>2934</v>
      </c>
      <c r="E1698" t="s">
        <v>30</v>
      </c>
      <c r="F1698" t="s">
        <v>24</v>
      </c>
      <c r="G1698" t="s">
        <v>25</v>
      </c>
      <c r="H1698" t="str">
        <f t="shared" si="52"/>
        <v>2/4 - GERENCIAMENTO RICARDO JUAN E LILI 2/4 | Recorrência: | Observações: Gerado CPF somente para realização de cadastro CPF 841.063.563-17
https://www.geradordecpf.org/</v>
      </c>
      <c r="I1698" t="s">
        <v>491</v>
      </c>
      <c r="J1698" s="4">
        <v>4000</v>
      </c>
      <c r="K1698" s="4">
        <v>571266.68000000005</v>
      </c>
      <c r="L1698" t="s">
        <v>2723</v>
      </c>
      <c r="M1698" s="4">
        <v>4000</v>
      </c>
      <c r="N1698" s="3">
        <v>0</v>
      </c>
      <c r="O1698" t="s">
        <v>2933</v>
      </c>
      <c r="P1698" t="s">
        <v>2707</v>
      </c>
      <c r="Q1698" t="s">
        <v>2933</v>
      </c>
      <c r="R1698" t="str">
        <f t="shared" si="53"/>
        <v>Sim</v>
      </c>
      <c r="S1698" t="s">
        <v>2933</v>
      </c>
      <c r="T1698" t="s">
        <v>2906</v>
      </c>
      <c r="U1698" t="s">
        <v>274</v>
      </c>
      <c r="V1698" s="3">
        <v>4000</v>
      </c>
      <c r="W1698" t="s">
        <v>166</v>
      </c>
      <c r="X1698" s="3">
        <v>4000</v>
      </c>
    </row>
    <row r="1699" spans="1:24" s="2" customFormat="1" x14ac:dyDescent="0.2">
      <c r="A1699">
        <v>1699</v>
      </c>
      <c r="B1699" t="s">
        <v>647</v>
      </c>
      <c r="C1699" t="s">
        <v>648</v>
      </c>
      <c r="D1699" t="s">
        <v>2936</v>
      </c>
      <c r="E1699" t="s">
        <v>30</v>
      </c>
      <c r="F1699" t="s">
        <v>63</v>
      </c>
      <c r="G1699" t="s">
        <v>25</v>
      </c>
      <c r="H1699" t="str">
        <f t="shared" si="52"/>
        <v xml:space="preserve">21/35 - DARF ISS 21/36 | Recorrência: | Observações: </v>
      </c>
      <c r="I1699" t="s">
        <v>26</v>
      </c>
      <c r="J1699" s="5">
        <v>-671.87</v>
      </c>
      <c r="K1699" s="4">
        <v>570594.81000000006</v>
      </c>
      <c r="L1699" t="s">
        <v>2723</v>
      </c>
      <c r="M1699" s="5">
        <v>-671.87</v>
      </c>
      <c r="N1699" s="3">
        <v>0</v>
      </c>
      <c r="O1699" t="s">
        <v>2935</v>
      </c>
      <c r="P1699" t="s">
        <v>1474</v>
      </c>
      <c r="Q1699" t="s">
        <v>2935</v>
      </c>
      <c r="R1699" t="str">
        <f t="shared" si="53"/>
        <v>Sim</v>
      </c>
      <c r="S1699" t="s">
        <v>2935</v>
      </c>
      <c r="T1699" t="s">
        <v>30</v>
      </c>
      <c r="U1699" t="s">
        <v>1098</v>
      </c>
      <c r="V1699" s="3">
        <v>-671.87</v>
      </c>
      <c r="W1699" t="s">
        <v>324</v>
      </c>
      <c r="X1699" s="3">
        <v>-671.87</v>
      </c>
    </row>
    <row r="1700" spans="1:24" s="2" customFormat="1" x14ac:dyDescent="0.2">
      <c r="A1700" s="2">
        <v>1700</v>
      </c>
      <c r="B1700"/>
      <c r="C1700" t="s">
        <v>153</v>
      </c>
      <c r="D1700" t="s">
        <v>2938</v>
      </c>
      <c r="E1700" t="s">
        <v>30</v>
      </c>
      <c r="F1700" t="s">
        <v>63</v>
      </c>
      <c r="G1700" t="s">
        <v>25</v>
      </c>
      <c r="H1700" t="str">
        <f t="shared" si="52"/>
        <v xml:space="preserve">9/13 - SALÁRIO - JULYA FIGUEIREDO - COORDENADORA 9/13 | Recorrência: | Observações: </v>
      </c>
      <c r="I1700" t="s">
        <v>491</v>
      </c>
      <c r="J1700" s="5">
        <v>-4500</v>
      </c>
      <c r="K1700" s="4">
        <v>566094.81000000006</v>
      </c>
      <c r="L1700" t="s">
        <v>2723</v>
      </c>
      <c r="M1700" s="5">
        <v>-4500</v>
      </c>
      <c r="N1700" s="3">
        <v>0</v>
      </c>
      <c r="O1700" t="s">
        <v>2937</v>
      </c>
      <c r="P1700" t="s">
        <v>2418</v>
      </c>
      <c r="Q1700" t="s">
        <v>2937</v>
      </c>
      <c r="R1700" t="str">
        <f t="shared" si="53"/>
        <v>Sim</v>
      </c>
      <c r="S1700" t="s">
        <v>2937</v>
      </c>
      <c r="T1700" t="s">
        <v>30</v>
      </c>
      <c r="U1700" t="s">
        <v>323</v>
      </c>
      <c r="V1700" s="3">
        <v>-4500</v>
      </c>
      <c r="W1700" t="s">
        <v>1164</v>
      </c>
      <c r="X1700" s="3">
        <v>-4500</v>
      </c>
    </row>
    <row r="1701" spans="1:24" s="2" customFormat="1" x14ac:dyDescent="0.2">
      <c r="A1701">
        <v>1701</v>
      </c>
      <c r="B1701"/>
      <c r="C1701" t="s">
        <v>153</v>
      </c>
      <c r="D1701" t="s">
        <v>2939</v>
      </c>
      <c r="E1701" t="s">
        <v>30</v>
      </c>
      <c r="F1701" t="s">
        <v>63</v>
      </c>
      <c r="G1701" t="s">
        <v>25</v>
      </c>
      <c r="H1701" t="str">
        <f t="shared" si="52"/>
        <v xml:space="preserve">8/12 - ELIANE - VALE TRANSPORTE MÊS DE SETEMBRO 8/12 | Recorrência: | Observações: </v>
      </c>
      <c r="I1701" t="s">
        <v>491</v>
      </c>
      <c r="J1701" s="5">
        <v>-363.33</v>
      </c>
      <c r="K1701" s="4">
        <v>565731.48</v>
      </c>
      <c r="L1701" t="s">
        <v>2723</v>
      </c>
      <c r="M1701" s="5">
        <v>-363.33</v>
      </c>
      <c r="N1701" s="3">
        <v>0</v>
      </c>
      <c r="O1701" t="s">
        <v>2937</v>
      </c>
      <c r="P1701" t="s">
        <v>2578</v>
      </c>
      <c r="Q1701" t="s">
        <v>2937</v>
      </c>
      <c r="R1701" t="str">
        <f t="shared" si="53"/>
        <v>Sim</v>
      </c>
      <c r="S1701" t="s">
        <v>2937</v>
      </c>
      <c r="T1701" t="s">
        <v>30</v>
      </c>
      <c r="U1701" t="s">
        <v>662</v>
      </c>
      <c r="V1701" s="3">
        <v>-363.33</v>
      </c>
      <c r="W1701" t="s">
        <v>698</v>
      </c>
      <c r="X1701" s="3">
        <v>-363.33</v>
      </c>
    </row>
    <row r="1702" spans="1:24" s="2" customFormat="1" x14ac:dyDescent="0.2">
      <c r="A1702" s="2">
        <v>1702</v>
      </c>
      <c r="B1702"/>
      <c r="C1702" t="s">
        <v>153</v>
      </c>
      <c r="D1702" t="s">
        <v>2941</v>
      </c>
      <c r="E1702" t="s">
        <v>30</v>
      </c>
      <c r="F1702" t="s">
        <v>63</v>
      </c>
      <c r="G1702" t="s">
        <v>25</v>
      </c>
      <c r="H1702" t="str">
        <f t="shared" si="52"/>
        <v xml:space="preserve">8/12 - DIÁRIAS JULIANA SOARES  8/12 | Recorrência: | Observações: </v>
      </c>
      <c r="I1702" t="s">
        <v>1113</v>
      </c>
      <c r="J1702" s="5">
        <v>-600</v>
      </c>
      <c r="K1702" s="4">
        <v>565131.48</v>
      </c>
      <c r="L1702" t="s">
        <v>2723</v>
      </c>
      <c r="M1702" s="5">
        <v>-600</v>
      </c>
      <c r="N1702" s="3">
        <v>0</v>
      </c>
      <c r="O1702" t="s">
        <v>2940</v>
      </c>
      <c r="P1702" t="s">
        <v>2481</v>
      </c>
      <c r="Q1702" t="s">
        <v>2940</v>
      </c>
      <c r="R1702" t="str">
        <f t="shared" si="53"/>
        <v>Sim</v>
      </c>
      <c r="S1702" t="s">
        <v>2940</v>
      </c>
      <c r="T1702" t="s">
        <v>30</v>
      </c>
      <c r="U1702" t="s">
        <v>691</v>
      </c>
      <c r="V1702" s="3">
        <v>-600</v>
      </c>
      <c r="W1702" t="s">
        <v>1722</v>
      </c>
      <c r="X1702" s="3">
        <v>-600</v>
      </c>
    </row>
    <row r="1703" spans="1:24" s="2" customFormat="1" x14ac:dyDescent="0.2">
      <c r="A1703">
        <v>1703</v>
      </c>
      <c r="B1703"/>
      <c r="C1703" t="s">
        <v>828</v>
      </c>
      <c r="D1703" t="s">
        <v>830</v>
      </c>
      <c r="E1703" t="s">
        <v>2943</v>
      </c>
      <c r="F1703" t="s">
        <v>63</v>
      </c>
      <c r="G1703" t="s">
        <v>25</v>
      </c>
      <c r="H1703" t="str">
        <f t="shared" si="52"/>
        <v xml:space="preserve">PREFEITURA DO MUNICIPIO DE BERTIOGA | Recorrência:30/41 | Observações: REF.02 PAGAMENTOS </v>
      </c>
      <c r="I1703" t="s">
        <v>26</v>
      </c>
      <c r="J1703" s="5">
        <v>-228.16</v>
      </c>
      <c r="K1703" s="4">
        <v>564903.31999999995</v>
      </c>
      <c r="L1703" t="s">
        <v>2723</v>
      </c>
      <c r="M1703" s="5">
        <v>-228.16</v>
      </c>
      <c r="N1703" s="3">
        <v>0</v>
      </c>
      <c r="O1703" t="s">
        <v>2942</v>
      </c>
      <c r="P1703" t="s">
        <v>2944</v>
      </c>
      <c r="Q1703" t="s">
        <v>2942</v>
      </c>
      <c r="R1703" t="str">
        <f t="shared" si="53"/>
        <v>Sim</v>
      </c>
      <c r="S1703" t="s">
        <v>2942</v>
      </c>
      <c r="T1703" t="s">
        <v>831</v>
      </c>
      <c r="U1703" t="s">
        <v>832</v>
      </c>
      <c r="V1703" s="3">
        <v>-228.16</v>
      </c>
    </row>
    <row r="1704" spans="1:24" s="2" customFormat="1" x14ac:dyDescent="0.2">
      <c r="A1704" s="2">
        <v>1704</v>
      </c>
      <c r="B1704"/>
      <c r="C1704" t="s">
        <v>153</v>
      </c>
      <c r="D1704" t="s">
        <v>2946</v>
      </c>
      <c r="E1704" t="s">
        <v>30</v>
      </c>
      <c r="F1704" t="s">
        <v>63</v>
      </c>
      <c r="G1704" t="s">
        <v>25</v>
      </c>
      <c r="H1704" t="str">
        <f t="shared" si="52"/>
        <v xml:space="preserve">7/11 - SALÁRIO - MANU_ESTAGIÁRIA  7/11 | Recorrência: | Observações: </v>
      </c>
      <c r="I1704" t="s">
        <v>491</v>
      </c>
      <c r="J1704" s="5">
        <v>-960</v>
      </c>
      <c r="K1704" s="4">
        <v>563943.31999999995</v>
      </c>
      <c r="L1704" t="s">
        <v>2723</v>
      </c>
      <c r="M1704" s="5">
        <v>-960</v>
      </c>
      <c r="N1704" s="3">
        <v>0</v>
      </c>
      <c r="O1704" t="s">
        <v>2945</v>
      </c>
      <c r="P1704" t="s">
        <v>2658</v>
      </c>
      <c r="Q1704" t="s">
        <v>2945</v>
      </c>
      <c r="R1704" t="str">
        <f t="shared" si="53"/>
        <v>Sim</v>
      </c>
      <c r="S1704" t="s">
        <v>2945</v>
      </c>
      <c r="T1704" t="s">
        <v>30</v>
      </c>
      <c r="U1704" t="s">
        <v>323</v>
      </c>
      <c r="V1704" s="3">
        <v>-960</v>
      </c>
      <c r="W1704" t="s">
        <v>323</v>
      </c>
      <c r="X1704" s="3">
        <v>-960</v>
      </c>
    </row>
    <row r="1705" spans="1:24" s="2" customFormat="1" x14ac:dyDescent="0.2">
      <c r="A1705">
        <v>1705</v>
      </c>
      <c r="B1705"/>
      <c r="C1705" t="s">
        <v>153</v>
      </c>
      <c r="D1705" t="s">
        <v>2947</v>
      </c>
      <c r="E1705" t="s">
        <v>30</v>
      </c>
      <c r="F1705" t="s">
        <v>63</v>
      </c>
      <c r="G1705" t="s">
        <v>25</v>
      </c>
      <c r="H1705" t="str">
        <f t="shared" si="52"/>
        <v xml:space="preserve">7/10 - SALÁRIO KARINA ESTAGIARIA 7/10 | Recorrência: | Observações: </v>
      </c>
      <c r="I1705" t="s">
        <v>491</v>
      </c>
      <c r="J1705" s="5">
        <v>-2200</v>
      </c>
      <c r="K1705" s="4">
        <v>561743.31999999995</v>
      </c>
      <c r="L1705" t="s">
        <v>2723</v>
      </c>
      <c r="M1705" s="5">
        <v>-2200</v>
      </c>
      <c r="N1705" s="3">
        <v>0</v>
      </c>
      <c r="O1705" t="s">
        <v>2945</v>
      </c>
      <c r="P1705" t="s">
        <v>2616</v>
      </c>
      <c r="Q1705" t="s">
        <v>2945</v>
      </c>
      <c r="R1705" t="str">
        <f t="shared" si="53"/>
        <v>Sim</v>
      </c>
      <c r="S1705" t="s">
        <v>2945</v>
      </c>
      <c r="T1705" t="s">
        <v>30</v>
      </c>
      <c r="U1705" t="s">
        <v>323</v>
      </c>
      <c r="V1705" s="3">
        <v>-2200</v>
      </c>
      <c r="W1705" t="s">
        <v>323</v>
      </c>
      <c r="X1705" s="3">
        <v>-2200</v>
      </c>
    </row>
    <row r="1706" spans="1:24" s="2" customFormat="1" x14ac:dyDescent="0.2">
      <c r="A1706" s="2">
        <v>1706</v>
      </c>
      <c r="B1706" t="s">
        <v>1373</v>
      </c>
      <c r="C1706" t="s">
        <v>1374</v>
      </c>
      <c r="D1706" t="s">
        <v>2948</v>
      </c>
      <c r="E1706" t="s">
        <v>30</v>
      </c>
      <c r="F1706" t="s">
        <v>24</v>
      </c>
      <c r="G1706" t="s">
        <v>25</v>
      </c>
      <c r="H1706" t="str">
        <f t="shared" si="52"/>
        <v xml:space="preserve">2/4 - GERENCIAMENTO GRAND VITALI_DIANA E DIOGO 2/4 | Recorrência: | Observações: </v>
      </c>
      <c r="I1706" t="s">
        <v>491</v>
      </c>
      <c r="J1706" s="4">
        <v>4000</v>
      </c>
      <c r="K1706" s="4">
        <v>565743.31999999995</v>
      </c>
      <c r="L1706" t="s">
        <v>2723</v>
      </c>
      <c r="M1706" s="4">
        <v>4000</v>
      </c>
      <c r="N1706" s="3">
        <v>0</v>
      </c>
      <c r="O1706" t="s">
        <v>2945</v>
      </c>
      <c r="P1706" t="s">
        <v>2655</v>
      </c>
      <c r="Q1706" t="s">
        <v>2945</v>
      </c>
      <c r="R1706" t="str">
        <f t="shared" si="53"/>
        <v>Sim</v>
      </c>
      <c r="S1706" t="s">
        <v>2945</v>
      </c>
      <c r="T1706" t="s">
        <v>30</v>
      </c>
      <c r="U1706" t="s">
        <v>146</v>
      </c>
      <c r="V1706" s="3">
        <v>4000</v>
      </c>
      <c r="W1706" t="s">
        <v>166</v>
      </c>
      <c r="X1706" s="3">
        <v>4000</v>
      </c>
    </row>
    <row r="1707" spans="1:24" s="2" customFormat="1" x14ac:dyDescent="0.2">
      <c r="A1707">
        <v>1707</v>
      </c>
      <c r="B1707" t="s">
        <v>1373</v>
      </c>
      <c r="C1707" t="s">
        <v>1374</v>
      </c>
      <c r="D1707" t="s">
        <v>2949</v>
      </c>
      <c r="E1707" t="s">
        <v>30</v>
      </c>
      <c r="F1707" t="s">
        <v>24</v>
      </c>
      <c r="G1707" t="s">
        <v>25</v>
      </c>
      <c r="H1707" t="str">
        <f t="shared" si="52"/>
        <v xml:space="preserve">1/4 - GERENCIAMENTO GRAND VITALI_DIANA E DIOGO 1/4 | Recorrência: | Observações: </v>
      </c>
      <c r="I1707" t="s">
        <v>491</v>
      </c>
      <c r="J1707" s="4">
        <v>4000</v>
      </c>
      <c r="K1707" s="4">
        <v>569743.31999999995</v>
      </c>
      <c r="L1707" t="s">
        <v>2723</v>
      </c>
      <c r="M1707" s="4">
        <v>4000</v>
      </c>
      <c r="N1707" s="3">
        <v>0</v>
      </c>
      <c r="O1707" t="s">
        <v>2945</v>
      </c>
      <c r="P1707" t="s">
        <v>2655</v>
      </c>
      <c r="Q1707" t="s">
        <v>2945</v>
      </c>
      <c r="R1707" t="str">
        <f t="shared" si="53"/>
        <v>Sim</v>
      </c>
      <c r="S1707" t="s">
        <v>2945</v>
      </c>
      <c r="T1707" t="s">
        <v>30</v>
      </c>
      <c r="U1707" t="s">
        <v>146</v>
      </c>
      <c r="V1707" s="3">
        <v>4000</v>
      </c>
      <c r="W1707" t="s">
        <v>166</v>
      </c>
      <c r="X1707" s="3">
        <v>4000</v>
      </c>
    </row>
    <row r="1708" spans="1:24" s="2" customFormat="1" x14ac:dyDescent="0.2">
      <c r="A1708" s="2">
        <v>1708</v>
      </c>
      <c r="B1708"/>
      <c r="C1708" t="s">
        <v>153</v>
      </c>
      <c r="D1708" t="s">
        <v>2951</v>
      </c>
      <c r="E1708" t="s">
        <v>30</v>
      </c>
      <c r="F1708" t="s">
        <v>63</v>
      </c>
      <c r="G1708" t="s">
        <v>25</v>
      </c>
      <c r="H1708" t="str">
        <f t="shared" si="52"/>
        <v xml:space="preserve">9/12 - PRÓ LABORE MAYARA CLA 9/13 | Recorrência: | Observações: </v>
      </c>
      <c r="I1708" t="s">
        <v>991</v>
      </c>
      <c r="J1708" s="5">
        <v>-20000</v>
      </c>
      <c r="K1708" s="4">
        <v>549743.31999999995</v>
      </c>
      <c r="L1708" t="s">
        <v>2723</v>
      </c>
      <c r="M1708" s="5">
        <v>-20000</v>
      </c>
      <c r="N1708" s="3">
        <v>0</v>
      </c>
      <c r="O1708" t="s">
        <v>2950</v>
      </c>
      <c r="P1708" t="s">
        <v>2261</v>
      </c>
      <c r="Q1708" t="s">
        <v>2950</v>
      </c>
      <c r="R1708" t="str">
        <f t="shared" si="53"/>
        <v>Sim</v>
      </c>
      <c r="S1708" t="s">
        <v>2950</v>
      </c>
      <c r="T1708" t="s">
        <v>30</v>
      </c>
      <c r="U1708" t="s">
        <v>323</v>
      </c>
      <c r="V1708" s="3">
        <v>-20000</v>
      </c>
      <c r="W1708" t="s">
        <v>1164</v>
      </c>
      <c r="X1708" s="3">
        <v>-20000</v>
      </c>
    </row>
    <row r="1709" spans="1:24" s="2" customFormat="1" x14ac:dyDescent="0.2">
      <c r="A1709">
        <v>1709</v>
      </c>
      <c r="B1709"/>
      <c r="C1709" t="s">
        <v>153</v>
      </c>
      <c r="D1709" t="s">
        <v>2952</v>
      </c>
      <c r="E1709" t="s">
        <v>30</v>
      </c>
      <c r="F1709" t="s">
        <v>63</v>
      </c>
      <c r="G1709" t="s">
        <v>25</v>
      </c>
      <c r="H1709" t="str">
        <f t="shared" si="52"/>
        <v xml:space="preserve">9/12 - PRÓ LABORE NATASHA  9/13 | Recorrência: | Observações: </v>
      </c>
      <c r="I1709" t="s">
        <v>991</v>
      </c>
      <c r="J1709" s="5">
        <v>-20000</v>
      </c>
      <c r="K1709" s="4">
        <v>529743.31999999995</v>
      </c>
      <c r="L1709" t="s">
        <v>2723</v>
      </c>
      <c r="M1709" s="5">
        <v>-20000</v>
      </c>
      <c r="N1709" s="3">
        <v>0</v>
      </c>
      <c r="O1709" t="s">
        <v>2950</v>
      </c>
      <c r="P1709" t="s">
        <v>2261</v>
      </c>
      <c r="Q1709" t="s">
        <v>2950</v>
      </c>
      <c r="R1709" t="str">
        <f t="shared" si="53"/>
        <v>Sim</v>
      </c>
      <c r="S1709" t="s">
        <v>2950</v>
      </c>
      <c r="T1709" t="s">
        <v>30</v>
      </c>
      <c r="U1709" t="s">
        <v>323</v>
      </c>
      <c r="V1709" s="3">
        <v>-20000</v>
      </c>
      <c r="W1709" t="s">
        <v>1164</v>
      </c>
      <c r="X1709" s="3">
        <v>-20000</v>
      </c>
    </row>
    <row r="1710" spans="1:24" s="2" customFormat="1" x14ac:dyDescent="0.2">
      <c r="A1710" s="2">
        <v>1710</v>
      </c>
      <c r="B1710"/>
      <c r="C1710" t="s">
        <v>153</v>
      </c>
      <c r="D1710" t="s">
        <v>2953</v>
      </c>
      <c r="E1710" t="s">
        <v>30</v>
      </c>
      <c r="F1710" t="s">
        <v>63</v>
      </c>
      <c r="G1710" t="s">
        <v>25</v>
      </c>
      <c r="H1710" t="str">
        <f t="shared" si="52"/>
        <v xml:space="preserve">9/12 - SALÁRIO ELIANE  9/12 | Recorrência: | Observações: </v>
      </c>
      <c r="I1710" t="s">
        <v>491</v>
      </c>
      <c r="J1710" s="5">
        <v>-1700</v>
      </c>
      <c r="K1710" s="4">
        <v>528043.31999999995</v>
      </c>
      <c r="L1710" t="s">
        <v>2723</v>
      </c>
      <c r="M1710" s="5">
        <v>-1700</v>
      </c>
      <c r="N1710" s="3">
        <v>0</v>
      </c>
      <c r="O1710" t="s">
        <v>2950</v>
      </c>
      <c r="P1710" t="s">
        <v>2261</v>
      </c>
      <c r="Q1710" t="s">
        <v>2950</v>
      </c>
      <c r="R1710" t="str">
        <f t="shared" si="53"/>
        <v>Sim</v>
      </c>
      <c r="S1710" t="s">
        <v>2950</v>
      </c>
      <c r="T1710" t="s">
        <v>30</v>
      </c>
      <c r="U1710" t="s">
        <v>323</v>
      </c>
      <c r="V1710" s="3">
        <v>-1700</v>
      </c>
      <c r="W1710" t="s">
        <v>1164</v>
      </c>
      <c r="X1710" s="3">
        <v>-1700</v>
      </c>
    </row>
    <row r="1711" spans="1:24" s="2" customFormat="1" x14ac:dyDescent="0.2">
      <c r="A1711">
        <v>1711</v>
      </c>
      <c r="B1711"/>
      <c r="C1711" t="s">
        <v>153</v>
      </c>
      <c r="D1711" t="s">
        <v>2954</v>
      </c>
      <c r="E1711" t="s">
        <v>30</v>
      </c>
      <c r="F1711" t="s">
        <v>63</v>
      </c>
      <c r="G1711" t="s">
        <v>25</v>
      </c>
      <c r="H1711" t="str">
        <f t="shared" si="52"/>
        <v xml:space="preserve">9/12 - SALÁRIO MAYARA OLIVEIRA  9/12 | Recorrência: | Observações: </v>
      </c>
      <c r="I1711" t="s">
        <v>491</v>
      </c>
      <c r="J1711" s="5">
        <v>-3200</v>
      </c>
      <c r="K1711" s="4">
        <v>524843.31999999995</v>
      </c>
      <c r="L1711" t="s">
        <v>2723</v>
      </c>
      <c r="M1711" s="5">
        <v>-3200</v>
      </c>
      <c r="N1711" s="3">
        <v>0</v>
      </c>
      <c r="O1711" t="s">
        <v>2950</v>
      </c>
      <c r="P1711" t="s">
        <v>2261</v>
      </c>
      <c r="Q1711" t="s">
        <v>2950</v>
      </c>
      <c r="R1711" t="str">
        <f t="shared" si="53"/>
        <v>Sim</v>
      </c>
      <c r="S1711" t="s">
        <v>2950</v>
      </c>
      <c r="T1711" t="s">
        <v>30</v>
      </c>
      <c r="U1711" t="s">
        <v>323</v>
      </c>
      <c r="V1711" s="3">
        <v>-3200</v>
      </c>
      <c r="W1711" t="s">
        <v>1164</v>
      </c>
      <c r="X1711" s="3">
        <v>-3200</v>
      </c>
    </row>
    <row r="1712" spans="1:24" s="2" customFormat="1" x14ac:dyDescent="0.2">
      <c r="A1712" s="2">
        <v>1712</v>
      </c>
      <c r="B1712"/>
      <c r="C1712" t="s">
        <v>710</v>
      </c>
      <c r="D1712" t="s">
        <v>2955</v>
      </c>
      <c r="E1712" t="s">
        <v>30</v>
      </c>
      <c r="F1712" t="s">
        <v>63</v>
      </c>
      <c r="G1712" t="s">
        <v>25</v>
      </c>
      <c r="H1712" t="str">
        <f t="shared" si="52"/>
        <v xml:space="preserve">9/12 - ENEL - ENERGIA ELÉTRICA referente a janeiro 9/12 | Recorrência: | Observações: </v>
      </c>
      <c r="I1712" t="s">
        <v>26</v>
      </c>
      <c r="J1712" s="5">
        <v>-384.62</v>
      </c>
      <c r="K1712" s="4">
        <v>524458.69999999995</v>
      </c>
      <c r="L1712" t="s">
        <v>2723</v>
      </c>
      <c r="M1712" s="5">
        <v>-384.62</v>
      </c>
      <c r="N1712" s="3">
        <v>0</v>
      </c>
      <c r="O1712" t="s">
        <v>2950</v>
      </c>
      <c r="P1712" t="s">
        <v>2577</v>
      </c>
      <c r="Q1712" t="s">
        <v>2950</v>
      </c>
      <c r="R1712" t="str">
        <f t="shared" si="53"/>
        <v>Sim</v>
      </c>
      <c r="S1712" t="s">
        <v>2950</v>
      </c>
      <c r="T1712" t="s">
        <v>30</v>
      </c>
      <c r="U1712" t="s">
        <v>125</v>
      </c>
      <c r="V1712" s="3">
        <v>-384.62</v>
      </c>
      <c r="W1712" t="s">
        <v>125</v>
      </c>
      <c r="X1712" s="3">
        <v>-384.62</v>
      </c>
    </row>
    <row r="1713" spans="1:24" s="2" customFormat="1" x14ac:dyDescent="0.2">
      <c r="A1713">
        <v>1713</v>
      </c>
      <c r="B1713"/>
      <c r="C1713" t="s">
        <v>574</v>
      </c>
      <c r="D1713" t="s">
        <v>2957</v>
      </c>
      <c r="E1713" t="s">
        <v>30</v>
      </c>
      <c r="F1713" t="s">
        <v>63</v>
      </c>
      <c r="G1713" t="s">
        <v>25</v>
      </c>
      <c r="H1713" t="str">
        <f t="shared" si="52"/>
        <v xml:space="preserve">9/12 - CONDOMINIO+ALUGUEL  9/12 | Recorrência: | Observações: </v>
      </c>
      <c r="I1713" t="s">
        <v>491</v>
      </c>
      <c r="J1713" s="5">
        <v>-6083.33</v>
      </c>
      <c r="K1713" s="4">
        <v>518375.37</v>
      </c>
      <c r="L1713" t="s">
        <v>2723</v>
      </c>
      <c r="M1713" s="5">
        <v>-6083.33</v>
      </c>
      <c r="N1713" s="3">
        <v>0</v>
      </c>
      <c r="O1713" t="s">
        <v>2956</v>
      </c>
      <c r="P1713" t="s">
        <v>2472</v>
      </c>
      <c r="Q1713" t="s">
        <v>2956</v>
      </c>
      <c r="R1713" t="str">
        <f t="shared" si="53"/>
        <v>Sim</v>
      </c>
      <c r="S1713" t="s">
        <v>2956</v>
      </c>
      <c r="T1713" t="s">
        <v>30</v>
      </c>
      <c r="U1713" t="s">
        <v>571</v>
      </c>
      <c r="V1713" s="3">
        <v>-6083.33</v>
      </c>
      <c r="W1713" t="s">
        <v>570</v>
      </c>
      <c r="X1713" s="3">
        <v>-6083.33</v>
      </c>
    </row>
    <row r="1714" spans="1:24" s="2" customFormat="1" x14ac:dyDescent="0.2">
      <c r="A1714" s="2">
        <v>1714</v>
      </c>
      <c r="B1714" t="s">
        <v>647</v>
      </c>
      <c r="C1714" t="s">
        <v>648</v>
      </c>
      <c r="D1714" t="s">
        <v>2959</v>
      </c>
      <c r="E1714" t="s">
        <v>30</v>
      </c>
      <c r="F1714" t="s">
        <v>63</v>
      </c>
      <c r="G1714" t="s">
        <v>25</v>
      </c>
      <c r="H1714" t="str">
        <f t="shared" si="52"/>
        <v xml:space="preserve">9/12 - HONORÁRIOS CONTÁBEIS  9/12 | Recorrência: | Observações: </v>
      </c>
      <c r="I1714" t="s">
        <v>755</v>
      </c>
      <c r="J1714" s="5">
        <v>-1217.5</v>
      </c>
      <c r="K1714" s="4">
        <v>517157.87</v>
      </c>
      <c r="L1714" t="s">
        <v>2723</v>
      </c>
      <c r="M1714" s="5">
        <v>-1217.5</v>
      </c>
      <c r="N1714" s="3">
        <v>0</v>
      </c>
      <c r="O1714" t="s">
        <v>2958</v>
      </c>
      <c r="P1714" t="s">
        <v>2536</v>
      </c>
      <c r="Q1714" t="s">
        <v>2958</v>
      </c>
      <c r="R1714" t="str">
        <f t="shared" si="53"/>
        <v>Sim</v>
      </c>
      <c r="S1714" t="s">
        <v>2958</v>
      </c>
      <c r="T1714" t="s">
        <v>30</v>
      </c>
      <c r="U1714" t="s">
        <v>608</v>
      </c>
      <c r="V1714" s="3">
        <v>-1217.5</v>
      </c>
      <c r="W1714" t="s">
        <v>1722</v>
      </c>
      <c r="X1714" s="3">
        <v>-1217.5</v>
      </c>
    </row>
    <row r="1715" spans="1:24" s="2" customFormat="1" x14ac:dyDescent="0.2">
      <c r="A1715">
        <v>1715</v>
      </c>
      <c r="B1715"/>
      <c r="C1715" t="s">
        <v>153</v>
      </c>
      <c r="D1715" t="s">
        <v>2961</v>
      </c>
      <c r="E1715" t="s">
        <v>30</v>
      </c>
      <c r="F1715" t="s">
        <v>63</v>
      </c>
      <c r="G1715" t="s">
        <v>25</v>
      </c>
      <c r="H1715" t="str">
        <f t="shared" si="52"/>
        <v xml:space="preserve">9/11 - SODEXO - ELIANE 9/12 | Recorrência: | Observações: </v>
      </c>
      <c r="I1715" t="s">
        <v>755</v>
      </c>
      <c r="J1715" s="5">
        <v>-776.6</v>
      </c>
      <c r="K1715" s="4">
        <v>516381.27</v>
      </c>
      <c r="L1715" t="s">
        <v>2723</v>
      </c>
      <c r="M1715" s="5">
        <v>-776.6</v>
      </c>
      <c r="N1715" s="3">
        <v>0</v>
      </c>
      <c r="O1715" t="s">
        <v>2960</v>
      </c>
      <c r="P1715" t="s">
        <v>2536</v>
      </c>
      <c r="Q1715" t="s">
        <v>2960</v>
      </c>
      <c r="R1715" t="str">
        <f t="shared" si="53"/>
        <v>Sim</v>
      </c>
      <c r="S1715" t="s">
        <v>2960</v>
      </c>
      <c r="T1715" t="s">
        <v>30</v>
      </c>
      <c r="U1715" t="s">
        <v>93</v>
      </c>
      <c r="V1715" s="3">
        <v>-776.6</v>
      </c>
      <c r="W1715" t="s">
        <v>331</v>
      </c>
      <c r="X1715" s="3">
        <v>-776.6</v>
      </c>
    </row>
    <row r="1716" spans="1:24" s="2" customFormat="1" x14ac:dyDescent="0.2">
      <c r="A1716" s="2">
        <v>1716</v>
      </c>
      <c r="B1716" t="s">
        <v>647</v>
      </c>
      <c r="C1716" t="s">
        <v>648</v>
      </c>
      <c r="D1716" t="s">
        <v>2963</v>
      </c>
      <c r="E1716" t="s">
        <v>30</v>
      </c>
      <c r="F1716" t="s">
        <v>63</v>
      </c>
      <c r="G1716" t="s">
        <v>25</v>
      </c>
      <c r="H1716" t="str">
        <f t="shared" si="52"/>
        <v xml:space="preserve">9/12 - FGTS  9/12 | Recorrência: | Observações: </v>
      </c>
      <c r="I1716" t="s">
        <v>1113</v>
      </c>
      <c r="J1716" s="5">
        <v>-160</v>
      </c>
      <c r="K1716" s="4">
        <v>516221.27</v>
      </c>
      <c r="L1716" t="s">
        <v>2723</v>
      </c>
      <c r="M1716" s="5">
        <v>-160</v>
      </c>
      <c r="N1716" s="3">
        <v>0</v>
      </c>
      <c r="O1716" t="s">
        <v>2962</v>
      </c>
      <c r="P1716" t="s">
        <v>2285</v>
      </c>
      <c r="Q1716" t="s">
        <v>2962</v>
      </c>
      <c r="R1716" t="str">
        <f t="shared" si="53"/>
        <v>Sim</v>
      </c>
      <c r="S1716" t="s">
        <v>2962</v>
      </c>
      <c r="T1716" t="s">
        <v>30</v>
      </c>
      <c r="U1716" t="s">
        <v>1531</v>
      </c>
      <c r="V1716" s="3">
        <v>-160</v>
      </c>
      <c r="W1716" t="s">
        <v>650</v>
      </c>
      <c r="X1716" s="3">
        <v>-160</v>
      </c>
    </row>
    <row r="1717" spans="1:24" s="2" customFormat="1" x14ac:dyDescent="0.2">
      <c r="A1717">
        <v>1717</v>
      </c>
      <c r="B1717" t="s">
        <v>647</v>
      </c>
      <c r="C1717" t="s">
        <v>648</v>
      </c>
      <c r="D1717" t="s">
        <v>1556</v>
      </c>
      <c r="E1717" t="s">
        <v>853</v>
      </c>
      <c r="F1717" t="s">
        <v>63</v>
      </c>
      <c r="G1717" t="s">
        <v>25</v>
      </c>
      <c r="H1717" t="str">
        <f t="shared" si="52"/>
        <v xml:space="preserve">DARF PREVIDÊNCIARIO | Recorrência:9/12 | Observações: </v>
      </c>
      <c r="I1717" t="s">
        <v>26</v>
      </c>
      <c r="J1717" s="5">
        <v>-1500</v>
      </c>
      <c r="K1717" s="4">
        <v>514721.27</v>
      </c>
      <c r="L1717" t="s">
        <v>2723</v>
      </c>
      <c r="M1717" s="5">
        <v>-1500</v>
      </c>
      <c r="N1717" s="3">
        <v>0</v>
      </c>
      <c r="O1717" t="s">
        <v>2964</v>
      </c>
      <c r="P1717" t="s">
        <v>2933</v>
      </c>
      <c r="Q1717" t="s">
        <v>2964</v>
      </c>
      <c r="R1717" t="str">
        <f t="shared" si="53"/>
        <v>Sim</v>
      </c>
      <c r="S1717" t="s">
        <v>2964</v>
      </c>
      <c r="T1717" t="s">
        <v>30</v>
      </c>
      <c r="U1717" t="s">
        <v>601</v>
      </c>
      <c r="V1717" s="3">
        <v>-1500</v>
      </c>
      <c r="W1717" t="s">
        <v>376</v>
      </c>
      <c r="X1717" s="3">
        <v>-1500</v>
      </c>
    </row>
    <row r="1718" spans="1:24" s="2" customFormat="1" x14ac:dyDescent="0.2">
      <c r="A1718" s="2">
        <v>1718</v>
      </c>
      <c r="B1718" t="s">
        <v>2735</v>
      </c>
      <c r="C1718" t="s">
        <v>2736</v>
      </c>
      <c r="D1718" t="s">
        <v>2965</v>
      </c>
      <c r="E1718" t="s">
        <v>30</v>
      </c>
      <c r="F1718" t="s">
        <v>24</v>
      </c>
      <c r="G1718" t="s">
        <v>25</v>
      </c>
      <c r="H1718" t="str">
        <f t="shared" si="52"/>
        <v>3/4 - GERENCIAMENTO RICARDO JUAN E LILI 3/4 | Recorrência: | Observações: Gerado CPF somente para realização de cadastro CPF 841.063.563-17
https://www.geradordecpf.org/</v>
      </c>
      <c r="I1718" t="s">
        <v>491</v>
      </c>
      <c r="J1718" s="4">
        <v>4000</v>
      </c>
      <c r="K1718" s="4">
        <v>518721.27</v>
      </c>
      <c r="L1718" t="s">
        <v>2723</v>
      </c>
      <c r="M1718" s="4">
        <v>4000</v>
      </c>
      <c r="N1718" s="3">
        <v>0</v>
      </c>
      <c r="O1718" t="s">
        <v>2964</v>
      </c>
      <c r="P1718" t="s">
        <v>2707</v>
      </c>
      <c r="Q1718" t="s">
        <v>2964</v>
      </c>
      <c r="R1718" t="str">
        <f t="shared" si="53"/>
        <v>Sim</v>
      </c>
      <c r="S1718" t="s">
        <v>2964</v>
      </c>
      <c r="T1718" t="s">
        <v>2906</v>
      </c>
      <c r="U1718" t="s">
        <v>274</v>
      </c>
      <c r="V1718" s="3">
        <v>4000</v>
      </c>
      <c r="W1718" t="s">
        <v>166</v>
      </c>
      <c r="X1718" s="3">
        <v>4000</v>
      </c>
    </row>
    <row r="1719" spans="1:24" s="2" customFormat="1" x14ac:dyDescent="0.2">
      <c r="A1719">
        <v>1719</v>
      </c>
      <c r="B1719" t="s">
        <v>647</v>
      </c>
      <c r="C1719" t="s">
        <v>648</v>
      </c>
      <c r="D1719" t="s">
        <v>2967</v>
      </c>
      <c r="E1719" t="s">
        <v>30</v>
      </c>
      <c r="F1719" t="s">
        <v>63</v>
      </c>
      <c r="G1719" t="s">
        <v>25</v>
      </c>
      <c r="H1719" t="str">
        <f t="shared" si="52"/>
        <v xml:space="preserve">22/35 - DARF ISS 22/36 | Recorrência: | Observações: </v>
      </c>
      <c r="I1719" t="s">
        <v>26</v>
      </c>
      <c r="J1719" s="5">
        <v>-671.87</v>
      </c>
      <c r="K1719" s="4">
        <v>518049.4</v>
      </c>
      <c r="L1719" t="s">
        <v>2723</v>
      </c>
      <c r="M1719" s="5">
        <v>-671.87</v>
      </c>
      <c r="N1719" s="3">
        <v>0</v>
      </c>
      <c r="O1719" t="s">
        <v>2966</v>
      </c>
      <c r="P1719" t="s">
        <v>1474</v>
      </c>
      <c r="Q1719" t="s">
        <v>2966</v>
      </c>
      <c r="R1719" t="str">
        <f t="shared" si="53"/>
        <v>Sim</v>
      </c>
      <c r="S1719" t="s">
        <v>2966</v>
      </c>
      <c r="T1719" t="s">
        <v>30</v>
      </c>
      <c r="U1719" t="s">
        <v>1098</v>
      </c>
      <c r="V1719" s="3">
        <v>-671.87</v>
      </c>
      <c r="W1719" t="s">
        <v>324</v>
      </c>
      <c r="X1719" s="3">
        <v>-671.87</v>
      </c>
    </row>
    <row r="1720" spans="1:24" s="2" customFormat="1" x14ac:dyDescent="0.2">
      <c r="A1720" s="2">
        <v>1720</v>
      </c>
      <c r="B1720"/>
      <c r="C1720" t="s">
        <v>153</v>
      </c>
      <c r="D1720" t="s">
        <v>2969</v>
      </c>
      <c r="E1720" t="s">
        <v>30</v>
      </c>
      <c r="F1720" t="s">
        <v>63</v>
      </c>
      <c r="G1720" t="s">
        <v>25</v>
      </c>
      <c r="H1720" t="str">
        <f t="shared" si="52"/>
        <v xml:space="preserve">10/13 - SALÁRIO - JULYA FIGUEIREDO - COORDENADORA 10/13 | Recorrência: | Observações: </v>
      </c>
      <c r="I1720" t="s">
        <v>491</v>
      </c>
      <c r="J1720" s="5">
        <v>-4500</v>
      </c>
      <c r="K1720" s="4">
        <v>513549.4</v>
      </c>
      <c r="L1720" t="s">
        <v>2723</v>
      </c>
      <c r="M1720" s="5">
        <v>-4500</v>
      </c>
      <c r="N1720" s="3">
        <v>0</v>
      </c>
      <c r="O1720" t="s">
        <v>2968</v>
      </c>
      <c r="P1720" t="s">
        <v>2418</v>
      </c>
      <c r="Q1720" t="s">
        <v>2968</v>
      </c>
      <c r="R1720" t="str">
        <f t="shared" si="53"/>
        <v>Sim</v>
      </c>
      <c r="S1720" t="s">
        <v>2968</v>
      </c>
      <c r="T1720" t="s">
        <v>30</v>
      </c>
      <c r="U1720" t="s">
        <v>323</v>
      </c>
      <c r="V1720" s="3">
        <v>-4500</v>
      </c>
      <c r="W1720" t="s">
        <v>1164</v>
      </c>
      <c r="X1720" s="3">
        <v>-4500</v>
      </c>
    </row>
    <row r="1721" spans="1:24" s="2" customFormat="1" x14ac:dyDescent="0.2">
      <c r="A1721">
        <v>1721</v>
      </c>
      <c r="B1721"/>
      <c r="C1721" t="s">
        <v>153</v>
      </c>
      <c r="D1721" t="s">
        <v>2970</v>
      </c>
      <c r="E1721" t="s">
        <v>30</v>
      </c>
      <c r="F1721" t="s">
        <v>63</v>
      </c>
      <c r="G1721" t="s">
        <v>25</v>
      </c>
      <c r="H1721" t="str">
        <f t="shared" si="52"/>
        <v xml:space="preserve">9/12 - ELIANE - VALE TRANSPORTE MÊS DE OUTUBRO 9/12 | Recorrência: | Observações: </v>
      </c>
      <c r="I1721" t="s">
        <v>491</v>
      </c>
      <c r="J1721" s="5">
        <v>-363.33</v>
      </c>
      <c r="K1721" s="4">
        <v>513186.07</v>
      </c>
      <c r="L1721" t="s">
        <v>2723</v>
      </c>
      <c r="M1721" s="5">
        <v>-363.33</v>
      </c>
      <c r="N1721" s="3">
        <v>0</v>
      </c>
      <c r="O1721" t="s">
        <v>2968</v>
      </c>
      <c r="P1721" t="s">
        <v>2578</v>
      </c>
      <c r="Q1721" t="s">
        <v>2968</v>
      </c>
      <c r="R1721" t="str">
        <f t="shared" si="53"/>
        <v>Sim</v>
      </c>
      <c r="S1721" t="s">
        <v>2968</v>
      </c>
      <c r="T1721" t="s">
        <v>30</v>
      </c>
      <c r="U1721" t="s">
        <v>662</v>
      </c>
      <c r="V1721" s="3">
        <v>-363.33</v>
      </c>
      <c r="W1721" t="s">
        <v>698</v>
      </c>
      <c r="X1721" s="3">
        <v>-363.33</v>
      </c>
    </row>
    <row r="1722" spans="1:24" s="2" customFormat="1" x14ac:dyDescent="0.2">
      <c r="A1722" s="2">
        <v>1722</v>
      </c>
      <c r="B1722"/>
      <c r="C1722" t="s">
        <v>828</v>
      </c>
      <c r="D1722" t="s">
        <v>830</v>
      </c>
      <c r="E1722" t="s">
        <v>2972</v>
      </c>
      <c r="F1722" t="s">
        <v>63</v>
      </c>
      <c r="G1722" t="s">
        <v>25</v>
      </c>
      <c r="H1722" t="str">
        <f t="shared" si="52"/>
        <v xml:space="preserve">PREFEITURA DO MUNICIPIO DE BERTIOGA | Recorrência:31/41 | Observações: REF.02 PAGAMENTOS </v>
      </c>
      <c r="I1722" t="s">
        <v>26</v>
      </c>
      <c r="J1722" s="5">
        <v>-228.16</v>
      </c>
      <c r="K1722" s="4">
        <v>512957.91</v>
      </c>
      <c r="L1722" t="s">
        <v>2723</v>
      </c>
      <c r="M1722" s="5">
        <v>-228.16</v>
      </c>
      <c r="N1722" s="3">
        <v>0</v>
      </c>
      <c r="O1722" t="s">
        <v>2971</v>
      </c>
      <c r="P1722" t="s">
        <v>2973</v>
      </c>
      <c r="Q1722" t="s">
        <v>2971</v>
      </c>
      <c r="R1722" t="str">
        <f t="shared" si="53"/>
        <v>Sim</v>
      </c>
      <c r="S1722" t="s">
        <v>2971</v>
      </c>
      <c r="T1722" t="s">
        <v>831</v>
      </c>
      <c r="U1722" t="s">
        <v>832</v>
      </c>
      <c r="V1722" s="3">
        <v>-228.16</v>
      </c>
    </row>
    <row r="1723" spans="1:24" s="2" customFormat="1" x14ac:dyDescent="0.2">
      <c r="A1723">
        <v>1723</v>
      </c>
      <c r="B1723"/>
      <c r="C1723" t="s">
        <v>153</v>
      </c>
      <c r="D1723" t="s">
        <v>2974</v>
      </c>
      <c r="E1723" t="s">
        <v>30</v>
      </c>
      <c r="F1723" t="s">
        <v>63</v>
      </c>
      <c r="G1723" t="s">
        <v>25</v>
      </c>
      <c r="H1723" t="str">
        <f t="shared" si="52"/>
        <v xml:space="preserve">9/12 - DIÁRIAS JULIANA SOARES  9/12 | Recorrência: | Observações: </v>
      </c>
      <c r="I1723" t="s">
        <v>1113</v>
      </c>
      <c r="J1723" s="5">
        <v>-480</v>
      </c>
      <c r="K1723" s="4">
        <v>512477.91</v>
      </c>
      <c r="L1723" t="s">
        <v>2723</v>
      </c>
      <c r="M1723" s="5">
        <v>-480</v>
      </c>
      <c r="N1723" s="3">
        <v>0</v>
      </c>
      <c r="O1723" t="s">
        <v>2971</v>
      </c>
      <c r="P1723" t="s">
        <v>2481</v>
      </c>
      <c r="Q1723" t="s">
        <v>2971</v>
      </c>
      <c r="R1723" t="str">
        <f t="shared" si="53"/>
        <v>Sim</v>
      </c>
      <c r="S1723" t="s">
        <v>2971</v>
      </c>
      <c r="T1723" t="s">
        <v>30</v>
      </c>
      <c r="U1723" t="s">
        <v>691</v>
      </c>
      <c r="V1723" s="3">
        <v>-480</v>
      </c>
      <c r="W1723" t="s">
        <v>1722</v>
      </c>
      <c r="X1723" s="3">
        <v>-480</v>
      </c>
    </row>
    <row r="1724" spans="1:24" s="2" customFormat="1" x14ac:dyDescent="0.2">
      <c r="A1724" s="2">
        <v>1724</v>
      </c>
      <c r="B1724"/>
      <c r="C1724" t="s">
        <v>153</v>
      </c>
      <c r="D1724" t="s">
        <v>2976</v>
      </c>
      <c r="E1724" t="s">
        <v>30</v>
      </c>
      <c r="F1724" t="s">
        <v>63</v>
      </c>
      <c r="G1724" t="s">
        <v>25</v>
      </c>
      <c r="H1724" t="str">
        <f t="shared" si="52"/>
        <v xml:space="preserve">10/12 - PRÓ LABORE MAYARA CLA 10/13 | Recorrência: | Observações: </v>
      </c>
      <c r="I1724" t="s">
        <v>991</v>
      </c>
      <c r="J1724" s="5">
        <v>-20000</v>
      </c>
      <c r="K1724" s="4">
        <v>492477.91</v>
      </c>
      <c r="L1724" t="s">
        <v>2723</v>
      </c>
      <c r="M1724" s="5">
        <v>-20000</v>
      </c>
      <c r="N1724" s="3">
        <v>0</v>
      </c>
      <c r="O1724" t="s">
        <v>2975</v>
      </c>
      <c r="P1724" t="s">
        <v>2261</v>
      </c>
      <c r="Q1724" t="s">
        <v>2975</v>
      </c>
      <c r="R1724" t="str">
        <f t="shared" si="53"/>
        <v>Sim</v>
      </c>
      <c r="S1724" t="s">
        <v>2975</v>
      </c>
      <c r="T1724" t="s">
        <v>30</v>
      </c>
      <c r="U1724" t="s">
        <v>323</v>
      </c>
      <c r="V1724" s="3">
        <v>-20000</v>
      </c>
      <c r="W1724" t="s">
        <v>1164</v>
      </c>
      <c r="X1724" s="3">
        <v>-20000</v>
      </c>
    </row>
    <row r="1725" spans="1:24" s="2" customFormat="1" x14ac:dyDescent="0.2">
      <c r="A1725">
        <v>1725</v>
      </c>
      <c r="B1725"/>
      <c r="C1725" t="s">
        <v>153</v>
      </c>
      <c r="D1725" t="s">
        <v>2977</v>
      </c>
      <c r="E1725" t="s">
        <v>30</v>
      </c>
      <c r="F1725" t="s">
        <v>63</v>
      </c>
      <c r="G1725" t="s">
        <v>25</v>
      </c>
      <c r="H1725" t="str">
        <f t="shared" si="52"/>
        <v xml:space="preserve">10/12 - PRÓ LABORE NATASHA  10/13 | Recorrência: | Observações: </v>
      </c>
      <c r="I1725" t="s">
        <v>991</v>
      </c>
      <c r="J1725" s="5">
        <v>-20000</v>
      </c>
      <c r="K1725" s="4">
        <v>472477.91</v>
      </c>
      <c r="L1725" t="s">
        <v>2723</v>
      </c>
      <c r="M1725" s="5">
        <v>-20000</v>
      </c>
      <c r="N1725" s="3">
        <v>0</v>
      </c>
      <c r="O1725" t="s">
        <v>2975</v>
      </c>
      <c r="P1725" t="s">
        <v>2261</v>
      </c>
      <c r="Q1725" t="s">
        <v>2975</v>
      </c>
      <c r="R1725" t="str">
        <f t="shared" si="53"/>
        <v>Sim</v>
      </c>
      <c r="S1725" t="s">
        <v>2975</v>
      </c>
      <c r="T1725" t="s">
        <v>30</v>
      </c>
      <c r="U1725" t="s">
        <v>323</v>
      </c>
      <c r="V1725" s="3">
        <v>-20000</v>
      </c>
      <c r="W1725" t="s">
        <v>1164</v>
      </c>
      <c r="X1725" s="3">
        <v>-20000</v>
      </c>
    </row>
    <row r="1726" spans="1:24" s="2" customFormat="1" x14ac:dyDescent="0.2">
      <c r="A1726" s="2">
        <v>1726</v>
      </c>
      <c r="B1726"/>
      <c r="C1726" t="s">
        <v>153</v>
      </c>
      <c r="D1726" t="s">
        <v>2978</v>
      </c>
      <c r="E1726" t="s">
        <v>30</v>
      </c>
      <c r="F1726" t="s">
        <v>63</v>
      </c>
      <c r="G1726" t="s">
        <v>25</v>
      </c>
      <c r="H1726" t="str">
        <f t="shared" si="52"/>
        <v xml:space="preserve">10/12 - SALÁRIO ELIANE  10/12 | Recorrência: | Observações: </v>
      </c>
      <c r="I1726" t="s">
        <v>491</v>
      </c>
      <c r="J1726" s="5">
        <v>-1700</v>
      </c>
      <c r="K1726" s="4">
        <v>470777.91</v>
      </c>
      <c r="L1726" t="s">
        <v>2723</v>
      </c>
      <c r="M1726" s="5">
        <v>-1700</v>
      </c>
      <c r="N1726" s="3">
        <v>0</v>
      </c>
      <c r="O1726" t="s">
        <v>2975</v>
      </c>
      <c r="P1726" t="s">
        <v>2261</v>
      </c>
      <c r="Q1726" t="s">
        <v>2975</v>
      </c>
      <c r="R1726" t="str">
        <f t="shared" si="53"/>
        <v>Sim</v>
      </c>
      <c r="S1726" t="s">
        <v>2975</v>
      </c>
      <c r="T1726" t="s">
        <v>30</v>
      </c>
      <c r="U1726" t="s">
        <v>323</v>
      </c>
      <c r="V1726" s="3">
        <v>-1700</v>
      </c>
      <c r="W1726" t="s">
        <v>1164</v>
      </c>
      <c r="X1726" s="3">
        <v>-1700</v>
      </c>
    </row>
    <row r="1727" spans="1:24" s="2" customFormat="1" x14ac:dyDescent="0.2">
      <c r="A1727">
        <v>1727</v>
      </c>
      <c r="B1727"/>
      <c r="C1727" t="s">
        <v>153</v>
      </c>
      <c r="D1727" t="s">
        <v>2979</v>
      </c>
      <c r="E1727" t="s">
        <v>30</v>
      </c>
      <c r="F1727" t="s">
        <v>63</v>
      </c>
      <c r="G1727" t="s">
        <v>25</v>
      </c>
      <c r="H1727" t="str">
        <f t="shared" si="52"/>
        <v xml:space="preserve">10/12 - SALÁRIO MAYARA OLIVEIRA  10/12 | Recorrência: | Observações: </v>
      </c>
      <c r="I1727" t="s">
        <v>491</v>
      </c>
      <c r="J1727" s="5">
        <v>-3200</v>
      </c>
      <c r="K1727" s="4">
        <v>467577.91</v>
      </c>
      <c r="L1727" t="s">
        <v>2723</v>
      </c>
      <c r="M1727" s="5">
        <v>-3200</v>
      </c>
      <c r="N1727" s="3">
        <v>0</v>
      </c>
      <c r="O1727" t="s">
        <v>2975</v>
      </c>
      <c r="P1727" t="s">
        <v>2261</v>
      </c>
      <c r="Q1727" t="s">
        <v>2975</v>
      </c>
      <c r="R1727" t="str">
        <f t="shared" si="53"/>
        <v>Sim</v>
      </c>
      <c r="S1727" t="s">
        <v>2975</v>
      </c>
      <c r="T1727" t="s">
        <v>30</v>
      </c>
      <c r="U1727" t="s">
        <v>323</v>
      </c>
      <c r="V1727" s="3">
        <v>-3200</v>
      </c>
      <c r="W1727" t="s">
        <v>1164</v>
      </c>
      <c r="X1727" s="3">
        <v>-3200</v>
      </c>
    </row>
    <row r="1728" spans="1:24" s="2" customFormat="1" x14ac:dyDescent="0.2">
      <c r="A1728" s="2">
        <v>1728</v>
      </c>
      <c r="B1728"/>
      <c r="C1728" t="s">
        <v>153</v>
      </c>
      <c r="D1728" t="s">
        <v>2980</v>
      </c>
      <c r="E1728" t="s">
        <v>30</v>
      </c>
      <c r="F1728" t="s">
        <v>63</v>
      </c>
      <c r="G1728" t="s">
        <v>25</v>
      </c>
      <c r="H1728" t="str">
        <f t="shared" si="52"/>
        <v xml:space="preserve">8/11 - SALÁRIO - MANU_ESTAGIÁRIA  8/11 | Recorrência: | Observações: </v>
      </c>
      <c r="I1728" t="s">
        <v>491</v>
      </c>
      <c r="J1728" s="5">
        <v>-960</v>
      </c>
      <c r="K1728" s="4">
        <v>466617.91</v>
      </c>
      <c r="L1728" t="s">
        <v>2723</v>
      </c>
      <c r="M1728" s="5">
        <v>-960</v>
      </c>
      <c r="N1728" s="3">
        <v>0</v>
      </c>
      <c r="O1728" t="s">
        <v>2975</v>
      </c>
      <c r="P1728" t="s">
        <v>2658</v>
      </c>
      <c r="Q1728" t="s">
        <v>2975</v>
      </c>
      <c r="R1728" t="str">
        <f t="shared" si="53"/>
        <v>Sim</v>
      </c>
      <c r="S1728" t="s">
        <v>2975</v>
      </c>
      <c r="T1728" t="s">
        <v>30</v>
      </c>
      <c r="U1728" t="s">
        <v>323</v>
      </c>
      <c r="V1728" s="3">
        <v>-960</v>
      </c>
      <c r="W1728" t="s">
        <v>323</v>
      </c>
      <c r="X1728" s="3">
        <v>-960</v>
      </c>
    </row>
    <row r="1729" spans="1:24" s="2" customFormat="1" x14ac:dyDescent="0.2">
      <c r="A1729">
        <v>1729</v>
      </c>
      <c r="B1729"/>
      <c r="C1729" t="s">
        <v>153</v>
      </c>
      <c r="D1729" t="s">
        <v>2981</v>
      </c>
      <c r="E1729" t="s">
        <v>30</v>
      </c>
      <c r="F1729" t="s">
        <v>63</v>
      </c>
      <c r="G1729" t="s">
        <v>25</v>
      </c>
      <c r="H1729" t="str">
        <f t="shared" si="52"/>
        <v xml:space="preserve">8/10 - SALÁRIO KARINA ESTAGIARIA 8/10 | Recorrência: | Observações: </v>
      </c>
      <c r="I1729" t="s">
        <v>491</v>
      </c>
      <c r="J1729" s="5">
        <v>-2200</v>
      </c>
      <c r="K1729" s="4">
        <v>464417.91</v>
      </c>
      <c r="L1729" t="s">
        <v>2723</v>
      </c>
      <c r="M1729" s="5">
        <v>-2200</v>
      </c>
      <c r="N1729" s="3">
        <v>0</v>
      </c>
      <c r="O1729" t="s">
        <v>2975</v>
      </c>
      <c r="P1729" t="s">
        <v>2616</v>
      </c>
      <c r="Q1729" t="s">
        <v>2975</v>
      </c>
      <c r="R1729" t="str">
        <f t="shared" si="53"/>
        <v>Sim</v>
      </c>
      <c r="S1729" t="s">
        <v>2975</v>
      </c>
      <c r="T1729" t="s">
        <v>30</v>
      </c>
      <c r="U1729" t="s">
        <v>323</v>
      </c>
      <c r="V1729" s="3">
        <v>-2200</v>
      </c>
      <c r="W1729" t="s">
        <v>323</v>
      </c>
      <c r="X1729" s="3">
        <v>-2200</v>
      </c>
    </row>
    <row r="1730" spans="1:24" s="2" customFormat="1" x14ac:dyDescent="0.2">
      <c r="A1730" s="2">
        <v>1730</v>
      </c>
      <c r="B1730" t="s">
        <v>1373</v>
      </c>
      <c r="C1730" t="s">
        <v>1374</v>
      </c>
      <c r="D1730" t="s">
        <v>2982</v>
      </c>
      <c r="E1730" t="s">
        <v>30</v>
      </c>
      <c r="F1730" t="s">
        <v>24</v>
      </c>
      <c r="G1730" t="s">
        <v>25</v>
      </c>
      <c r="H1730" t="str">
        <f t="shared" si="52"/>
        <v xml:space="preserve">3/4 - GERENCIAMENTO GRAND VITALI_DIANA E DIOGO 3/4 | Recorrência: | Observações: </v>
      </c>
      <c r="I1730" t="s">
        <v>491</v>
      </c>
      <c r="J1730" s="4">
        <v>4000</v>
      </c>
      <c r="K1730" s="4">
        <v>468417.91</v>
      </c>
      <c r="L1730" t="s">
        <v>2723</v>
      </c>
      <c r="M1730" s="4">
        <v>4000</v>
      </c>
      <c r="N1730" s="3">
        <v>0</v>
      </c>
      <c r="O1730" t="s">
        <v>2975</v>
      </c>
      <c r="P1730" t="s">
        <v>2655</v>
      </c>
      <c r="Q1730" t="s">
        <v>2975</v>
      </c>
      <c r="R1730" t="str">
        <f t="shared" si="53"/>
        <v>Sim</v>
      </c>
      <c r="S1730" t="s">
        <v>2975</v>
      </c>
      <c r="T1730" t="s">
        <v>30</v>
      </c>
      <c r="U1730" t="s">
        <v>146</v>
      </c>
      <c r="V1730" s="3">
        <v>4000</v>
      </c>
      <c r="W1730" t="s">
        <v>166</v>
      </c>
      <c r="X1730" s="3">
        <v>4000</v>
      </c>
    </row>
    <row r="1731" spans="1:24" s="2" customFormat="1" x14ac:dyDescent="0.2">
      <c r="A1731">
        <v>1731</v>
      </c>
      <c r="B1731"/>
      <c r="C1731" t="s">
        <v>710</v>
      </c>
      <c r="D1731" t="s">
        <v>2984</v>
      </c>
      <c r="E1731" t="s">
        <v>30</v>
      </c>
      <c r="F1731" t="s">
        <v>63</v>
      </c>
      <c r="G1731" t="s">
        <v>25</v>
      </c>
      <c r="H1731" t="str">
        <f t="shared" ref="H1731:H1794" si="54">D1731&amp;" | "&amp;$E$1&amp;E1731&amp;" | Observações: "&amp;T1731</f>
        <v xml:space="preserve">10/12 - ENEL - ENERGIA ELÉTRICA referente a janeiro 10/12 | Recorrência: | Observações: </v>
      </c>
      <c r="I1731" t="s">
        <v>26</v>
      </c>
      <c r="J1731" s="5">
        <v>-384.62</v>
      </c>
      <c r="K1731" s="4">
        <v>468033.29</v>
      </c>
      <c r="L1731" t="s">
        <v>2723</v>
      </c>
      <c r="M1731" s="5">
        <v>-384.62</v>
      </c>
      <c r="N1731" s="3">
        <v>0</v>
      </c>
      <c r="O1731" t="s">
        <v>2983</v>
      </c>
      <c r="P1731" t="s">
        <v>2577</v>
      </c>
      <c r="Q1731" t="s">
        <v>2983</v>
      </c>
      <c r="R1731" t="str">
        <f t="shared" ref="R1731:R1794" si="55">IF(Q1731=S1731,"Sim","nao")</f>
        <v>Sim</v>
      </c>
      <c r="S1731" t="s">
        <v>2983</v>
      </c>
      <c r="T1731" t="s">
        <v>30</v>
      </c>
      <c r="U1731" t="s">
        <v>125</v>
      </c>
      <c r="V1731" s="3">
        <v>-384.62</v>
      </c>
      <c r="W1731" t="s">
        <v>125</v>
      </c>
      <c r="X1731" s="3">
        <v>-384.62</v>
      </c>
    </row>
    <row r="1732" spans="1:24" s="2" customFormat="1" x14ac:dyDescent="0.2">
      <c r="A1732" s="2">
        <v>1732</v>
      </c>
      <c r="B1732" t="s">
        <v>647</v>
      </c>
      <c r="C1732" t="s">
        <v>648</v>
      </c>
      <c r="D1732" t="s">
        <v>2986</v>
      </c>
      <c r="E1732" t="s">
        <v>30</v>
      </c>
      <c r="F1732" t="s">
        <v>63</v>
      </c>
      <c r="G1732" t="s">
        <v>25</v>
      </c>
      <c r="H1732" t="str">
        <f t="shared" si="54"/>
        <v xml:space="preserve">10/12 - HONORÁRIOS CONTÁBEIS  10/12 | Recorrência: | Observações: </v>
      </c>
      <c r="I1732" t="s">
        <v>755</v>
      </c>
      <c r="J1732" s="5">
        <v>-1217.5</v>
      </c>
      <c r="K1732" s="4">
        <v>466815.79</v>
      </c>
      <c r="L1732" t="s">
        <v>2723</v>
      </c>
      <c r="M1732" s="5">
        <v>-1217.5</v>
      </c>
      <c r="N1732" s="3">
        <v>0</v>
      </c>
      <c r="O1732" t="s">
        <v>2985</v>
      </c>
      <c r="P1732" t="s">
        <v>2536</v>
      </c>
      <c r="Q1732" t="s">
        <v>2985</v>
      </c>
      <c r="R1732" t="str">
        <f t="shared" si="55"/>
        <v>Sim</v>
      </c>
      <c r="S1732" t="s">
        <v>2985</v>
      </c>
      <c r="T1732" t="s">
        <v>30</v>
      </c>
      <c r="U1732" t="s">
        <v>608</v>
      </c>
      <c r="V1732" s="3">
        <v>-1217.5</v>
      </c>
      <c r="W1732" t="s">
        <v>1722</v>
      </c>
      <c r="X1732" s="3">
        <v>-1217.5</v>
      </c>
    </row>
    <row r="1733" spans="1:24" s="2" customFormat="1" x14ac:dyDescent="0.2">
      <c r="A1733">
        <v>1733</v>
      </c>
      <c r="B1733"/>
      <c r="C1733" t="s">
        <v>574</v>
      </c>
      <c r="D1733" t="s">
        <v>2988</v>
      </c>
      <c r="E1733" t="s">
        <v>30</v>
      </c>
      <c r="F1733" t="s">
        <v>63</v>
      </c>
      <c r="G1733" t="s">
        <v>25</v>
      </c>
      <c r="H1733" t="str">
        <f t="shared" si="54"/>
        <v xml:space="preserve">10/12 - CONDOMINIO+ALUGUEL  10/12 | Recorrência: | Observações: </v>
      </c>
      <c r="I1733" t="s">
        <v>491</v>
      </c>
      <c r="J1733" s="5">
        <v>-6083.33</v>
      </c>
      <c r="K1733" s="4">
        <v>460732.46</v>
      </c>
      <c r="L1733" t="s">
        <v>2723</v>
      </c>
      <c r="M1733" s="5">
        <v>-6083.33</v>
      </c>
      <c r="N1733" s="3">
        <v>0</v>
      </c>
      <c r="O1733" t="s">
        <v>2987</v>
      </c>
      <c r="P1733" t="s">
        <v>2472</v>
      </c>
      <c r="Q1733" t="s">
        <v>2987</v>
      </c>
      <c r="R1733" t="str">
        <f t="shared" si="55"/>
        <v>Sim</v>
      </c>
      <c r="S1733" t="s">
        <v>2987</v>
      </c>
      <c r="T1733" t="s">
        <v>30</v>
      </c>
      <c r="U1733" t="s">
        <v>571</v>
      </c>
      <c r="V1733" s="3">
        <v>-6083.33</v>
      </c>
      <c r="W1733" t="s">
        <v>570</v>
      </c>
      <c r="X1733" s="3">
        <v>-6083.33</v>
      </c>
    </row>
    <row r="1734" spans="1:24" s="2" customFormat="1" x14ac:dyDescent="0.2">
      <c r="A1734" s="2">
        <v>1734</v>
      </c>
      <c r="B1734"/>
      <c r="C1734" t="s">
        <v>153</v>
      </c>
      <c r="D1734" t="s">
        <v>2990</v>
      </c>
      <c r="E1734" t="s">
        <v>30</v>
      </c>
      <c r="F1734" t="s">
        <v>63</v>
      </c>
      <c r="G1734" t="s">
        <v>25</v>
      </c>
      <c r="H1734" t="str">
        <f t="shared" si="54"/>
        <v xml:space="preserve">10/11 - SODEXO - ELIANE 10/12 | Recorrência: | Observações: </v>
      </c>
      <c r="I1734" t="s">
        <v>755</v>
      </c>
      <c r="J1734" s="5">
        <v>-776.6</v>
      </c>
      <c r="K1734" s="4">
        <v>459955.86</v>
      </c>
      <c r="L1734" t="s">
        <v>2723</v>
      </c>
      <c r="M1734" s="5">
        <v>-776.6</v>
      </c>
      <c r="N1734" s="3">
        <v>0</v>
      </c>
      <c r="O1734" t="s">
        <v>2989</v>
      </c>
      <c r="P1734" t="s">
        <v>2536</v>
      </c>
      <c r="Q1734" t="s">
        <v>2989</v>
      </c>
      <c r="R1734" t="str">
        <f t="shared" si="55"/>
        <v>Sim</v>
      </c>
      <c r="S1734" t="s">
        <v>2989</v>
      </c>
      <c r="T1734" t="s">
        <v>30</v>
      </c>
      <c r="U1734" t="s">
        <v>93</v>
      </c>
      <c r="V1734" s="3">
        <v>-776.6</v>
      </c>
      <c r="W1734" t="s">
        <v>331</v>
      </c>
      <c r="X1734" s="3">
        <v>-776.6</v>
      </c>
    </row>
    <row r="1735" spans="1:24" s="2" customFormat="1" x14ac:dyDescent="0.2">
      <c r="A1735">
        <v>1735</v>
      </c>
      <c r="B1735" t="s">
        <v>647</v>
      </c>
      <c r="C1735" t="s">
        <v>648</v>
      </c>
      <c r="D1735" t="s">
        <v>2992</v>
      </c>
      <c r="E1735" t="s">
        <v>30</v>
      </c>
      <c r="F1735" t="s">
        <v>63</v>
      </c>
      <c r="G1735" t="s">
        <v>25</v>
      </c>
      <c r="H1735" t="str">
        <f t="shared" si="54"/>
        <v xml:space="preserve">10/12 - FGTS  10/12 | Recorrência: | Observações: </v>
      </c>
      <c r="I1735" t="s">
        <v>1113</v>
      </c>
      <c r="J1735" s="5">
        <v>-160</v>
      </c>
      <c r="K1735" s="4">
        <v>459795.86</v>
      </c>
      <c r="L1735" t="s">
        <v>2723</v>
      </c>
      <c r="M1735" s="5">
        <v>-160</v>
      </c>
      <c r="N1735" s="3">
        <v>0</v>
      </c>
      <c r="O1735" t="s">
        <v>2991</v>
      </c>
      <c r="P1735" t="s">
        <v>2285</v>
      </c>
      <c r="Q1735" t="s">
        <v>2991</v>
      </c>
      <c r="R1735" t="str">
        <f t="shared" si="55"/>
        <v>Sim</v>
      </c>
      <c r="S1735" t="s">
        <v>2991</v>
      </c>
      <c r="T1735" t="s">
        <v>30</v>
      </c>
      <c r="U1735" t="s">
        <v>1531</v>
      </c>
      <c r="V1735" s="3">
        <v>-160</v>
      </c>
      <c r="W1735" t="s">
        <v>650</v>
      </c>
      <c r="X1735" s="3">
        <v>-160</v>
      </c>
    </row>
    <row r="1736" spans="1:24" s="2" customFormat="1" x14ac:dyDescent="0.2">
      <c r="A1736" s="2">
        <v>1736</v>
      </c>
      <c r="B1736" t="s">
        <v>647</v>
      </c>
      <c r="C1736" t="s">
        <v>648</v>
      </c>
      <c r="D1736" t="s">
        <v>2994</v>
      </c>
      <c r="E1736" t="s">
        <v>30</v>
      </c>
      <c r="F1736" t="s">
        <v>63</v>
      </c>
      <c r="G1736" t="s">
        <v>25</v>
      </c>
      <c r="H1736" t="str">
        <f t="shared" si="54"/>
        <v xml:space="preserve">8/11 - DARF CSLL 8/12 | Recorrência: | Observações: </v>
      </c>
      <c r="I1736" t="s">
        <v>26</v>
      </c>
      <c r="J1736" s="5">
        <v>-322.11</v>
      </c>
      <c r="K1736" s="4">
        <v>459473.75</v>
      </c>
      <c r="L1736" t="s">
        <v>2723</v>
      </c>
      <c r="M1736" s="5">
        <v>-322.11</v>
      </c>
      <c r="N1736" s="3">
        <v>0</v>
      </c>
      <c r="O1736" t="s">
        <v>2993</v>
      </c>
      <c r="P1736" t="s">
        <v>1391</v>
      </c>
      <c r="Q1736" t="s">
        <v>2993</v>
      </c>
      <c r="R1736" t="str">
        <f t="shared" si="55"/>
        <v>Sim</v>
      </c>
      <c r="S1736" t="s">
        <v>2993</v>
      </c>
      <c r="T1736" t="s">
        <v>30</v>
      </c>
      <c r="U1736" t="s">
        <v>728</v>
      </c>
      <c r="V1736" s="3">
        <v>-322.11</v>
      </c>
      <c r="W1736" t="s">
        <v>1115</v>
      </c>
      <c r="X1736" s="3">
        <v>-322.11</v>
      </c>
    </row>
    <row r="1737" spans="1:24" s="2" customFormat="1" x14ac:dyDescent="0.2">
      <c r="A1737">
        <v>1737</v>
      </c>
      <c r="B1737" t="s">
        <v>647</v>
      </c>
      <c r="C1737" t="s">
        <v>648</v>
      </c>
      <c r="D1737" t="s">
        <v>2995</v>
      </c>
      <c r="E1737" t="s">
        <v>30</v>
      </c>
      <c r="F1737" t="s">
        <v>63</v>
      </c>
      <c r="G1737" t="s">
        <v>25</v>
      </c>
      <c r="H1737" t="str">
        <f t="shared" si="54"/>
        <v xml:space="preserve">8/12 - DARF IRPJ 8/12 | Recorrência: | Observações: </v>
      </c>
      <c r="I1737" t="s">
        <v>26</v>
      </c>
      <c r="J1737" s="5">
        <v>-963.67</v>
      </c>
      <c r="K1737" s="4">
        <v>458510.08000000002</v>
      </c>
      <c r="L1737" t="s">
        <v>2723</v>
      </c>
      <c r="M1737" s="5">
        <v>-963.67</v>
      </c>
      <c r="N1737" s="3">
        <v>0</v>
      </c>
      <c r="O1737" t="s">
        <v>2993</v>
      </c>
      <c r="P1737" t="s">
        <v>1392</v>
      </c>
      <c r="Q1737" t="s">
        <v>2993</v>
      </c>
      <c r="R1737" t="str">
        <f t="shared" si="55"/>
        <v>Sim</v>
      </c>
      <c r="S1737" t="s">
        <v>2993</v>
      </c>
      <c r="T1737" t="s">
        <v>30</v>
      </c>
      <c r="U1737" t="s">
        <v>1508</v>
      </c>
      <c r="V1737" s="3">
        <v>-963.67</v>
      </c>
      <c r="W1737" t="s">
        <v>1115</v>
      </c>
      <c r="X1737" s="3">
        <v>-963.67</v>
      </c>
    </row>
    <row r="1738" spans="1:24" s="2" customFormat="1" x14ac:dyDescent="0.2">
      <c r="A1738" s="2">
        <v>1738</v>
      </c>
      <c r="B1738" t="s">
        <v>647</v>
      </c>
      <c r="C1738" t="s">
        <v>648</v>
      </c>
      <c r="D1738" t="s">
        <v>1556</v>
      </c>
      <c r="E1738" t="s">
        <v>910</v>
      </c>
      <c r="F1738" t="s">
        <v>63</v>
      </c>
      <c r="G1738" t="s">
        <v>25</v>
      </c>
      <c r="H1738" t="str">
        <f t="shared" si="54"/>
        <v xml:space="preserve">DARF PREVIDÊNCIARIO | Recorrência:10/12 | Observações: </v>
      </c>
      <c r="I1738" t="s">
        <v>26</v>
      </c>
      <c r="J1738" s="5">
        <v>-1500</v>
      </c>
      <c r="K1738" s="4">
        <v>457010.08</v>
      </c>
      <c r="L1738" t="s">
        <v>2723</v>
      </c>
      <c r="M1738" s="5">
        <v>-1500</v>
      </c>
      <c r="N1738" s="3">
        <v>0</v>
      </c>
      <c r="O1738" t="s">
        <v>2996</v>
      </c>
      <c r="P1738" t="s">
        <v>2964</v>
      </c>
      <c r="Q1738" t="s">
        <v>2996</v>
      </c>
      <c r="R1738" t="str">
        <f t="shared" si="55"/>
        <v>Sim</v>
      </c>
      <c r="S1738" t="s">
        <v>2996</v>
      </c>
      <c r="T1738" t="s">
        <v>30</v>
      </c>
      <c r="U1738" t="s">
        <v>601</v>
      </c>
      <c r="V1738" s="3">
        <v>-1500</v>
      </c>
      <c r="W1738" t="s">
        <v>376</v>
      </c>
      <c r="X1738" s="3">
        <v>-1500</v>
      </c>
    </row>
    <row r="1739" spans="1:24" s="2" customFormat="1" x14ac:dyDescent="0.2">
      <c r="A1739">
        <v>1739</v>
      </c>
      <c r="B1739"/>
      <c r="C1739" t="s">
        <v>153</v>
      </c>
      <c r="D1739" t="s">
        <v>2997</v>
      </c>
      <c r="E1739" t="s">
        <v>30</v>
      </c>
      <c r="F1739" t="s">
        <v>63</v>
      </c>
      <c r="G1739" t="s">
        <v>25</v>
      </c>
      <c r="H1739" t="str">
        <f t="shared" si="54"/>
        <v xml:space="preserve">4/4 - DARF COFINS - TRIMESTRAL 4/4 | Recorrência: | Observações: </v>
      </c>
      <c r="I1739" t="s">
        <v>26</v>
      </c>
      <c r="J1739" s="5">
        <v>-1516.77</v>
      </c>
      <c r="K1739" s="4">
        <v>455493.31</v>
      </c>
      <c r="L1739" t="s">
        <v>2723</v>
      </c>
      <c r="M1739" s="5">
        <v>-1516.77</v>
      </c>
      <c r="N1739" s="3">
        <v>0</v>
      </c>
      <c r="O1739" t="s">
        <v>2996</v>
      </c>
      <c r="P1739" t="s">
        <v>2536</v>
      </c>
      <c r="Q1739" t="s">
        <v>2996</v>
      </c>
      <c r="R1739" t="str">
        <f t="shared" si="55"/>
        <v>Sim</v>
      </c>
      <c r="S1739" t="s">
        <v>2996</v>
      </c>
      <c r="T1739" t="s">
        <v>30</v>
      </c>
      <c r="U1739" t="s">
        <v>1508</v>
      </c>
      <c r="V1739" s="3">
        <v>-1516.77</v>
      </c>
      <c r="W1739" t="s">
        <v>2570</v>
      </c>
      <c r="X1739" s="3">
        <v>-1516.77</v>
      </c>
    </row>
    <row r="1740" spans="1:24" s="2" customFormat="1" x14ac:dyDescent="0.2">
      <c r="A1740" s="2">
        <v>1740</v>
      </c>
      <c r="B1740" t="s">
        <v>2735</v>
      </c>
      <c r="C1740" t="s">
        <v>2736</v>
      </c>
      <c r="D1740" t="s">
        <v>2998</v>
      </c>
      <c r="E1740" t="s">
        <v>30</v>
      </c>
      <c r="F1740" t="s">
        <v>24</v>
      </c>
      <c r="G1740" t="s">
        <v>25</v>
      </c>
      <c r="H1740" t="str">
        <f t="shared" si="54"/>
        <v>4/4 - GERENCIAMENTO RICARDO JUAN E LILI 4/4 | Recorrência: | Observações: Gerado CPF somente para realização de cadastro CPF 841.063.563-17
https://www.geradordecpf.org/</v>
      </c>
      <c r="I1740" t="s">
        <v>491</v>
      </c>
      <c r="J1740" s="4">
        <v>4000</v>
      </c>
      <c r="K1740" s="4">
        <v>459493.31</v>
      </c>
      <c r="L1740" t="s">
        <v>2723</v>
      </c>
      <c r="M1740" s="4">
        <v>4000</v>
      </c>
      <c r="N1740" s="3">
        <v>0</v>
      </c>
      <c r="O1740" t="s">
        <v>2996</v>
      </c>
      <c r="P1740" t="s">
        <v>2707</v>
      </c>
      <c r="Q1740" t="s">
        <v>2996</v>
      </c>
      <c r="R1740" t="str">
        <f t="shared" si="55"/>
        <v>Sim</v>
      </c>
      <c r="S1740" t="s">
        <v>2996</v>
      </c>
      <c r="T1740" t="s">
        <v>2906</v>
      </c>
      <c r="U1740" t="s">
        <v>274</v>
      </c>
      <c r="V1740" s="3">
        <v>4000</v>
      </c>
      <c r="W1740" t="s">
        <v>166</v>
      </c>
      <c r="X1740" s="3">
        <v>4000</v>
      </c>
    </row>
    <row r="1741" spans="1:24" s="2" customFormat="1" x14ac:dyDescent="0.2">
      <c r="A1741">
        <v>1741</v>
      </c>
      <c r="B1741" t="s">
        <v>647</v>
      </c>
      <c r="C1741" t="s">
        <v>648</v>
      </c>
      <c r="D1741" t="s">
        <v>3000</v>
      </c>
      <c r="E1741" t="s">
        <v>30</v>
      </c>
      <c r="F1741" t="s">
        <v>63</v>
      </c>
      <c r="G1741" t="s">
        <v>25</v>
      </c>
      <c r="H1741" t="str">
        <f t="shared" si="54"/>
        <v xml:space="preserve">23/35 - DARF ISS 23/36 | Recorrência: | Observações: </v>
      </c>
      <c r="I1741" t="s">
        <v>26</v>
      </c>
      <c r="J1741" s="5">
        <v>-671.87</v>
      </c>
      <c r="K1741" s="4">
        <v>458821.44</v>
      </c>
      <c r="L1741" t="s">
        <v>2723</v>
      </c>
      <c r="M1741" s="5">
        <v>-671.87</v>
      </c>
      <c r="N1741" s="3">
        <v>0</v>
      </c>
      <c r="O1741" t="s">
        <v>2999</v>
      </c>
      <c r="P1741" t="s">
        <v>1474</v>
      </c>
      <c r="Q1741" t="s">
        <v>2999</v>
      </c>
      <c r="R1741" t="str">
        <f t="shared" si="55"/>
        <v>Sim</v>
      </c>
      <c r="S1741" t="s">
        <v>2999</v>
      </c>
      <c r="T1741" t="s">
        <v>30</v>
      </c>
      <c r="U1741" t="s">
        <v>1098</v>
      </c>
      <c r="V1741" s="3">
        <v>-671.87</v>
      </c>
      <c r="W1741" t="s">
        <v>324</v>
      </c>
      <c r="X1741" s="3">
        <v>-671.87</v>
      </c>
    </row>
    <row r="1742" spans="1:24" s="2" customFormat="1" x14ac:dyDescent="0.2">
      <c r="A1742" s="2">
        <v>1742</v>
      </c>
      <c r="B1742"/>
      <c r="C1742" t="s">
        <v>153</v>
      </c>
      <c r="D1742" t="s">
        <v>3002</v>
      </c>
      <c r="E1742" t="s">
        <v>30</v>
      </c>
      <c r="F1742" t="s">
        <v>63</v>
      </c>
      <c r="G1742" t="s">
        <v>25</v>
      </c>
      <c r="H1742" t="str">
        <f t="shared" si="54"/>
        <v xml:space="preserve">11/13 - SALÁRIO - JULYA FIGUEIREDO - COORDENADORA 11/13 | Recorrência: | Observações: </v>
      </c>
      <c r="I1742" t="s">
        <v>491</v>
      </c>
      <c r="J1742" s="5">
        <v>-4500</v>
      </c>
      <c r="K1742" s="4">
        <v>454321.44</v>
      </c>
      <c r="L1742" t="s">
        <v>2723</v>
      </c>
      <c r="M1742" s="5">
        <v>-4500</v>
      </c>
      <c r="N1742" s="3">
        <v>0</v>
      </c>
      <c r="O1742" t="s">
        <v>3001</v>
      </c>
      <c r="P1742" t="s">
        <v>2418</v>
      </c>
      <c r="Q1742" t="s">
        <v>3001</v>
      </c>
      <c r="R1742" t="str">
        <f t="shared" si="55"/>
        <v>Sim</v>
      </c>
      <c r="S1742" t="s">
        <v>3001</v>
      </c>
      <c r="T1742" t="s">
        <v>30</v>
      </c>
      <c r="U1742" t="s">
        <v>323</v>
      </c>
      <c r="V1742" s="3">
        <v>-4500</v>
      </c>
      <c r="W1742" t="s">
        <v>1164</v>
      </c>
      <c r="X1742" s="3">
        <v>-4500</v>
      </c>
    </row>
    <row r="1743" spans="1:24" s="2" customFormat="1" x14ac:dyDescent="0.2">
      <c r="A1743">
        <v>1743</v>
      </c>
      <c r="B1743"/>
      <c r="C1743" t="s">
        <v>153</v>
      </c>
      <c r="D1743" t="s">
        <v>3003</v>
      </c>
      <c r="E1743" t="s">
        <v>30</v>
      </c>
      <c r="F1743" t="s">
        <v>63</v>
      </c>
      <c r="G1743" t="s">
        <v>25</v>
      </c>
      <c r="H1743" t="str">
        <f t="shared" si="54"/>
        <v xml:space="preserve">10/12 - DIÁRIAS JULIANA SOARES  10/12 | Recorrência: | Observações: </v>
      </c>
      <c r="I1743" t="s">
        <v>1113</v>
      </c>
      <c r="J1743" s="5">
        <v>-600</v>
      </c>
      <c r="K1743" s="4">
        <v>453721.44</v>
      </c>
      <c r="L1743" t="s">
        <v>2723</v>
      </c>
      <c r="M1743" s="5">
        <v>-600</v>
      </c>
      <c r="N1743" s="3">
        <v>0</v>
      </c>
      <c r="O1743" t="s">
        <v>3001</v>
      </c>
      <c r="P1743" t="s">
        <v>2481</v>
      </c>
      <c r="Q1743" t="s">
        <v>3001</v>
      </c>
      <c r="R1743" t="str">
        <f t="shared" si="55"/>
        <v>Sim</v>
      </c>
      <c r="S1743" t="s">
        <v>3001</v>
      </c>
      <c r="T1743" t="s">
        <v>30</v>
      </c>
      <c r="U1743" t="s">
        <v>691</v>
      </c>
      <c r="V1743" s="3">
        <v>-600</v>
      </c>
      <c r="W1743" t="s">
        <v>1722</v>
      </c>
      <c r="X1743" s="3">
        <v>-600</v>
      </c>
    </row>
    <row r="1744" spans="1:24" s="2" customFormat="1" x14ac:dyDescent="0.2">
      <c r="A1744" s="2">
        <v>1744</v>
      </c>
      <c r="B1744"/>
      <c r="C1744" t="s">
        <v>153</v>
      </c>
      <c r="D1744" t="s">
        <v>3004</v>
      </c>
      <c r="E1744" t="s">
        <v>30</v>
      </c>
      <c r="F1744" t="s">
        <v>63</v>
      </c>
      <c r="G1744" t="s">
        <v>25</v>
      </c>
      <c r="H1744" t="str">
        <f t="shared" si="54"/>
        <v xml:space="preserve">10/12 - ELIANE - VALE TRANSPORTE MÊS DE NOVEMBRO 10/12 | Recorrência: | Observações: </v>
      </c>
      <c r="I1744" t="s">
        <v>491</v>
      </c>
      <c r="J1744" s="5">
        <v>-363.33</v>
      </c>
      <c r="K1744" s="4">
        <v>453358.11</v>
      </c>
      <c r="L1744" t="s">
        <v>2723</v>
      </c>
      <c r="M1744" s="5">
        <v>-363.33</v>
      </c>
      <c r="N1744" s="3">
        <v>0</v>
      </c>
      <c r="O1744" t="s">
        <v>3001</v>
      </c>
      <c r="P1744" t="s">
        <v>2578</v>
      </c>
      <c r="Q1744" t="s">
        <v>3001</v>
      </c>
      <c r="R1744" t="str">
        <f t="shared" si="55"/>
        <v>Sim</v>
      </c>
      <c r="S1744" t="s">
        <v>3001</v>
      </c>
      <c r="T1744" t="s">
        <v>30</v>
      </c>
      <c r="U1744" t="s">
        <v>662</v>
      </c>
      <c r="V1744" s="3">
        <v>-363.33</v>
      </c>
      <c r="W1744" t="s">
        <v>698</v>
      </c>
      <c r="X1744" s="3">
        <v>-363.33</v>
      </c>
    </row>
    <row r="1745" spans="1:24" s="2" customFormat="1" x14ac:dyDescent="0.2">
      <c r="A1745">
        <v>1745</v>
      </c>
      <c r="B1745"/>
      <c r="C1745" t="s">
        <v>828</v>
      </c>
      <c r="D1745" t="s">
        <v>830</v>
      </c>
      <c r="E1745" t="s">
        <v>3006</v>
      </c>
      <c r="F1745" t="s">
        <v>63</v>
      </c>
      <c r="G1745" t="s">
        <v>25</v>
      </c>
      <c r="H1745" t="str">
        <f t="shared" si="54"/>
        <v xml:space="preserve">PREFEITURA DO MUNICIPIO DE BERTIOGA | Recorrência:32/41 | Observações: REF.02 PAGAMENTOS </v>
      </c>
      <c r="I1745" t="s">
        <v>26</v>
      </c>
      <c r="J1745" s="5">
        <v>-228.16</v>
      </c>
      <c r="K1745" s="4">
        <v>453129.95</v>
      </c>
      <c r="L1745" t="s">
        <v>2723</v>
      </c>
      <c r="M1745" s="5">
        <v>-228.16</v>
      </c>
      <c r="N1745" s="3">
        <v>0</v>
      </c>
      <c r="O1745" t="s">
        <v>3005</v>
      </c>
      <c r="P1745" t="s">
        <v>2993</v>
      </c>
      <c r="Q1745" t="s">
        <v>3005</v>
      </c>
      <c r="R1745" t="str">
        <f t="shared" si="55"/>
        <v>Sim</v>
      </c>
      <c r="S1745" t="s">
        <v>3005</v>
      </c>
      <c r="T1745" t="s">
        <v>831</v>
      </c>
      <c r="U1745" t="s">
        <v>832</v>
      </c>
      <c r="V1745" s="3">
        <v>-228.16</v>
      </c>
    </row>
    <row r="1746" spans="1:24" s="2" customFormat="1" x14ac:dyDescent="0.2">
      <c r="A1746" s="2">
        <v>1746</v>
      </c>
      <c r="B1746"/>
      <c r="C1746" t="s">
        <v>153</v>
      </c>
      <c r="D1746" t="s">
        <v>3008</v>
      </c>
      <c r="E1746" t="s">
        <v>30</v>
      </c>
      <c r="F1746" t="s">
        <v>63</v>
      </c>
      <c r="G1746" t="s">
        <v>25</v>
      </c>
      <c r="H1746" t="str">
        <f t="shared" si="54"/>
        <v xml:space="preserve">11/12 - PRÓ LABORE MAYARA CLA 11/13 | Recorrência: | Observações: </v>
      </c>
      <c r="I1746" t="s">
        <v>991</v>
      </c>
      <c r="J1746" s="5">
        <v>-20000</v>
      </c>
      <c r="K1746" s="4">
        <v>433129.95</v>
      </c>
      <c r="L1746" t="s">
        <v>2723</v>
      </c>
      <c r="M1746" s="5">
        <v>-20000</v>
      </c>
      <c r="N1746" s="3">
        <v>0</v>
      </c>
      <c r="O1746" t="s">
        <v>3007</v>
      </c>
      <c r="P1746" t="s">
        <v>2261</v>
      </c>
      <c r="Q1746" t="s">
        <v>3007</v>
      </c>
      <c r="R1746" t="str">
        <f t="shared" si="55"/>
        <v>Sim</v>
      </c>
      <c r="S1746" t="s">
        <v>3007</v>
      </c>
      <c r="T1746" t="s">
        <v>30</v>
      </c>
      <c r="U1746" t="s">
        <v>323</v>
      </c>
      <c r="V1746" s="3">
        <v>-20000</v>
      </c>
      <c r="W1746" t="s">
        <v>1164</v>
      </c>
      <c r="X1746" s="3">
        <v>-20000</v>
      </c>
    </row>
    <row r="1747" spans="1:24" s="2" customFormat="1" x14ac:dyDescent="0.2">
      <c r="A1747">
        <v>1747</v>
      </c>
      <c r="B1747"/>
      <c r="C1747" t="s">
        <v>153</v>
      </c>
      <c r="D1747" t="s">
        <v>3009</v>
      </c>
      <c r="E1747" t="s">
        <v>30</v>
      </c>
      <c r="F1747" t="s">
        <v>63</v>
      </c>
      <c r="G1747" t="s">
        <v>25</v>
      </c>
      <c r="H1747" t="str">
        <f t="shared" si="54"/>
        <v xml:space="preserve">11/12 - PRÓ LABORE NATASHA  11/13 | Recorrência: | Observações: </v>
      </c>
      <c r="I1747" t="s">
        <v>991</v>
      </c>
      <c r="J1747" s="5">
        <v>-20000</v>
      </c>
      <c r="K1747" s="4">
        <v>413129.95</v>
      </c>
      <c r="L1747" t="s">
        <v>2723</v>
      </c>
      <c r="M1747" s="5">
        <v>-20000</v>
      </c>
      <c r="N1747" s="3">
        <v>0</v>
      </c>
      <c r="O1747" t="s">
        <v>3007</v>
      </c>
      <c r="P1747" t="s">
        <v>2261</v>
      </c>
      <c r="Q1747" t="s">
        <v>3007</v>
      </c>
      <c r="R1747" t="str">
        <f t="shared" si="55"/>
        <v>Sim</v>
      </c>
      <c r="S1747" t="s">
        <v>3007</v>
      </c>
      <c r="T1747" t="s">
        <v>30</v>
      </c>
      <c r="U1747" t="s">
        <v>323</v>
      </c>
      <c r="V1747" s="3">
        <v>-20000</v>
      </c>
      <c r="W1747" t="s">
        <v>1164</v>
      </c>
      <c r="X1747" s="3">
        <v>-20000</v>
      </c>
    </row>
    <row r="1748" spans="1:24" s="2" customFormat="1" x14ac:dyDescent="0.2">
      <c r="A1748" s="2">
        <v>1748</v>
      </c>
      <c r="B1748"/>
      <c r="C1748" t="s">
        <v>153</v>
      </c>
      <c r="D1748" t="s">
        <v>3010</v>
      </c>
      <c r="E1748" t="s">
        <v>30</v>
      </c>
      <c r="F1748" t="s">
        <v>63</v>
      </c>
      <c r="G1748" t="s">
        <v>25</v>
      </c>
      <c r="H1748" t="str">
        <f t="shared" si="54"/>
        <v xml:space="preserve">11/12 - SALÁRIO ELIANE  11/12 | Recorrência: | Observações: </v>
      </c>
      <c r="I1748" t="s">
        <v>491</v>
      </c>
      <c r="J1748" s="5">
        <v>-1700</v>
      </c>
      <c r="K1748" s="4">
        <v>411429.95</v>
      </c>
      <c r="L1748" t="s">
        <v>2723</v>
      </c>
      <c r="M1748" s="5">
        <v>-1700</v>
      </c>
      <c r="N1748" s="3">
        <v>0</v>
      </c>
      <c r="O1748" t="s">
        <v>3007</v>
      </c>
      <c r="P1748" t="s">
        <v>2261</v>
      </c>
      <c r="Q1748" t="s">
        <v>3007</v>
      </c>
      <c r="R1748" t="str">
        <f t="shared" si="55"/>
        <v>Sim</v>
      </c>
      <c r="S1748" t="s">
        <v>3007</v>
      </c>
      <c r="T1748" t="s">
        <v>30</v>
      </c>
      <c r="U1748" t="s">
        <v>323</v>
      </c>
      <c r="V1748" s="3">
        <v>-1700</v>
      </c>
      <c r="W1748" t="s">
        <v>1164</v>
      </c>
      <c r="X1748" s="3">
        <v>-1700</v>
      </c>
    </row>
    <row r="1749" spans="1:24" s="2" customFormat="1" x14ac:dyDescent="0.2">
      <c r="A1749">
        <v>1749</v>
      </c>
      <c r="B1749"/>
      <c r="C1749" t="s">
        <v>153</v>
      </c>
      <c r="D1749" t="s">
        <v>3011</v>
      </c>
      <c r="E1749" t="s">
        <v>30</v>
      </c>
      <c r="F1749" t="s">
        <v>63</v>
      </c>
      <c r="G1749" t="s">
        <v>25</v>
      </c>
      <c r="H1749" t="str">
        <f t="shared" si="54"/>
        <v xml:space="preserve">11/12 - SALÁRIO MAYARA OLIVEIRA  11/12 | Recorrência: | Observações: </v>
      </c>
      <c r="I1749" t="s">
        <v>491</v>
      </c>
      <c r="J1749" s="5">
        <v>-3200</v>
      </c>
      <c r="K1749" s="4">
        <v>408229.95</v>
      </c>
      <c r="L1749" t="s">
        <v>2723</v>
      </c>
      <c r="M1749" s="5">
        <v>-3200</v>
      </c>
      <c r="N1749" s="3">
        <v>0</v>
      </c>
      <c r="O1749" t="s">
        <v>3007</v>
      </c>
      <c r="P1749" t="s">
        <v>2261</v>
      </c>
      <c r="Q1749" t="s">
        <v>3007</v>
      </c>
      <c r="R1749" t="str">
        <f t="shared" si="55"/>
        <v>Sim</v>
      </c>
      <c r="S1749" t="s">
        <v>3007</v>
      </c>
      <c r="T1749" t="s">
        <v>30</v>
      </c>
      <c r="U1749" t="s">
        <v>323</v>
      </c>
      <c r="V1749" s="3">
        <v>-3200</v>
      </c>
      <c r="W1749" t="s">
        <v>1164</v>
      </c>
      <c r="X1749" s="3">
        <v>-3200</v>
      </c>
    </row>
    <row r="1750" spans="1:24" s="2" customFormat="1" x14ac:dyDescent="0.2">
      <c r="A1750" s="2">
        <v>1750</v>
      </c>
      <c r="B1750"/>
      <c r="C1750" t="s">
        <v>710</v>
      </c>
      <c r="D1750" t="s">
        <v>3012</v>
      </c>
      <c r="E1750" t="s">
        <v>30</v>
      </c>
      <c r="F1750" t="s">
        <v>63</v>
      </c>
      <c r="G1750" t="s">
        <v>25</v>
      </c>
      <c r="H1750" t="str">
        <f t="shared" si="54"/>
        <v xml:space="preserve">11/12 - ENEL - ENERGIA ELÉTRICA referente a janeiro 11/12 | Recorrência: | Observações: </v>
      </c>
      <c r="I1750" t="s">
        <v>26</v>
      </c>
      <c r="J1750" s="5">
        <v>-384.62</v>
      </c>
      <c r="K1750" s="4">
        <v>407845.33</v>
      </c>
      <c r="L1750" t="s">
        <v>2723</v>
      </c>
      <c r="M1750" s="5">
        <v>-384.62</v>
      </c>
      <c r="N1750" s="3">
        <v>0</v>
      </c>
      <c r="O1750" t="s">
        <v>3007</v>
      </c>
      <c r="P1750" t="s">
        <v>2577</v>
      </c>
      <c r="Q1750" t="s">
        <v>3007</v>
      </c>
      <c r="R1750" t="str">
        <f t="shared" si="55"/>
        <v>Sim</v>
      </c>
      <c r="S1750" t="s">
        <v>3007</v>
      </c>
      <c r="T1750" t="s">
        <v>30</v>
      </c>
      <c r="U1750" t="s">
        <v>125</v>
      </c>
      <c r="V1750" s="3">
        <v>-384.62</v>
      </c>
      <c r="W1750" t="s">
        <v>125</v>
      </c>
      <c r="X1750" s="3">
        <v>-384.62</v>
      </c>
    </row>
    <row r="1751" spans="1:24" s="2" customFormat="1" x14ac:dyDescent="0.2">
      <c r="A1751">
        <v>1751</v>
      </c>
      <c r="B1751"/>
      <c r="C1751" t="s">
        <v>153</v>
      </c>
      <c r="D1751" t="s">
        <v>3013</v>
      </c>
      <c r="E1751" t="s">
        <v>30</v>
      </c>
      <c r="F1751" t="s">
        <v>63</v>
      </c>
      <c r="G1751" t="s">
        <v>25</v>
      </c>
      <c r="H1751" t="str">
        <f t="shared" si="54"/>
        <v xml:space="preserve">9/11 - SALÁRIO - MANU_ESTAGIÁRIA  9/11 | Recorrência: | Observações: </v>
      </c>
      <c r="I1751" t="s">
        <v>491</v>
      </c>
      <c r="J1751" s="5">
        <v>-960</v>
      </c>
      <c r="K1751" s="4">
        <v>406885.33</v>
      </c>
      <c r="L1751" t="s">
        <v>2723</v>
      </c>
      <c r="M1751" s="5">
        <v>-960</v>
      </c>
      <c r="N1751" s="3">
        <v>0</v>
      </c>
      <c r="O1751" t="s">
        <v>3007</v>
      </c>
      <c r="P1751" t="s">
        <v>2658</v>
      </c>
      <c r="Q1751" t="s">
        <v>3007</v>
      </c>
      <c r="R1751" t="str">
        <f t="shared" si="55"/>
        <v>Sim</v>
      </c>
      <c r="S1751" t="s">
        <v>3007</v>
      </c>
      <c r="T1751" t="s">
        <v>30</v>
      </c>
      <c r="U1751" t="s">
        <v>323</v>
      </c>
      <c r="V1751" s="3">
        <v>-960</v>
      </c>
      <c r="W1751" t="s">
        <v>323</v>
      </c>
      <c r="X1751" s="3">
        <v>-960</v>
      </c>
    </row>
    <row r="1752" spans="1:24" s="2" customFormat="1" x14ac:dyDescent="0.2">
      <c r="A1752" s="2">
        <v>1752</v>
      </c>
      <c r="B1752"/>
      <c r="C1752" t="s">
        <v>153</v>
      </c>
      <c r="D1752" t="s">
        <v>3014</v>
      </c>
      <c r="E1752" t="s">
        <v>30</v>
      </c>
      <c r="F1752" t="s">
        <v>63</v>
      </c>
      <c r="G1752" t="s">
        <v>25</v>
      </c>
      <c r="H1752" t="str">
        <f t="shared" si="54"/>
        <v xml:space="preserve">9/10 - SALÁRIO KARINA ESTAGIARIA 9/10 | Recorrência: | Observações: </v>
      </c>
      <c r="I1752" t="s">
        <v>491</v>
      </c>
      <c r="J1752" s="5">
        <v>-2200</v>
      </c>
      <c r="K1752" s="4">
        <v>404685.33</v>
      </c>
      <c r="L1752" t="s">
        <v>2723</v>
      </c>
      <c r="M1752" s="5">
        <v>-2200</v>
      </c>
      <c r="N1752" s="3">
        <v>0</v>
      </c>
      <c r="O1752" t="s">
        <v>3007</v>
      </c>
      <c r="P1752" t="s">
        <v>2616</v>
      </c>
      <c r="Q1752" t="s">
        <v>3007</v>
      </c>
      <c r="R1752" t="str">
        <f t="shared" si="55"/>
        <v>Sim</v>
      </c>
      <c r="S1752" t="s">
        <v>3007</v>
      </c>
      <c r="T1752" t="s">
        <v>30</v>
      </c>
      <c r="U1752" t="s">
        <v>323</v>
      </c>
      <c r="V1752" s="3">
        <v>-2200</v>
      </c>
      <c r="W1752" t="s">
        <v>323</v>
      </c>
      <c r="X1752" s="3">
        <v>-2200</v>
      </c>
    </row>
    <row r="1753" spans="1:24" s="2" customFormat="1" x14ac:dyDescent="0.2">
      <c r="A1753">
        <v>1753</v>
      </c>
      <c r="B1753" t="s">
        <v>1373</v>
      </c>
      <c r="C1753" t="s">
        <v>1374</v>
      </c>
      <c r="D1753" t="s">
        <v>3015</v>
      </c>
      <c r="E1753" t="s">
        <v>30</v>
      </c>
      <c r="F1753" t="s">
        <v>24</v>
      </c>
      <c r="G1753" t="s">
        <v>25</v>
      </c>
      <c r="H1753" t="str">
        <f t="shared" si="54"/>
        <v xml:space="preserve">4/4 - GERENCIAMENTO GRAND VITALI_DIANA E DIOGO 4/4 | Recorrência: | Observações: </v>
      </c>
      <c r="I1753" t="s">
        <v>491</v>
      </c>
      <c r="J1753" s="4">
        <v>4000</v>
      </c>
      <c r="K1753" s="4">
        <v>408685.33</v>
      </c>
      <c r="L1753" t="s">
        <v>2723</v>
      </c>
      <c r="M1753" s="4">
        <v>4000</v>
      </c>
      <c r="N1753" s="3">
        <v>0</v>
      </c>
      <c r="O1753" t="s">
        <v>3007</v>
      </c>
      <c r="P1753" t="s">
        <v>2655</v>
      </c>
      <c r="Q1753" t="s">
        <v>3007</v>
      </c>
      <c r="R1753" t="str">
        <f t="shared" si="55"/>
        <v>Sim</v>
      </c>
      <c r="S1753" t="s">
        <v>3007</v>
      </c>
      <c r="T1753" t="s">
        <v>30</v>
      </c>
      <c r="U1753" t="s">
        <v>146</v>
      </c>
      <c r="V1753" s="3">
        <v>4000</v>
      </c>
      <c r="W1753" t="s">
        <v>166</v>
      </c>
      <c r="X1753" s="3">
        <v>4000</v>
      </c>
    </row>
    <row r="1754" spans="1:24" s="2" customFormat="1" x14ac:dyDescent="0.2">
      <c r="A1754" s="2">
        <v>1754</v>
      </c>
      <c r="B1754"/>
      <c r="C1754" t="s">
        <v>574</v>
      </c>
      <c r="D1754" t="s">
        <v>3017</v>
      </c>
      <c r="E1754" t="s">
        <v>30</v>
      </c>
      <c r="F1754" t="s">
        <v>63</v>
      </c>
      <c r="G1754" t="s">
        <v>25</v>
      </c>
      <c r="H1754" t="str">
        <f t="shared" si="54"/>
        <v xml:space="preserve">11/12 - CONDOMINIO+ALUGUEL  11/12 | Recorrência: | Observações: </v>
      </c>
      <c r="I1754" t="s">
        <v>491</v>
      </c>
      <c r="J1754" s="5">
        <v>-6083.33</v>
      </c>
      <c r="K1754" s="4">
        <v>402602</v>
      </c>
      <c r="L1754" t="s">
        <v>2723</v>
      </c>
      <c r="M1754" s="5">
        <v>-6083.33</v>
      </c>
      <c r="N1754" s="3">
        <v>0</v>
      </c>
      <c r="O1754" t="s">
        <v>3016</v>
      </c>
      <c r="P1754" t="s">
        <v>2472</v>
      </c>
      <c r="Q1754" t="s">
        <v>3016</v>
      </c>
      <c r="R1754" t="str">
        <f t="shared" si="55"/>
        <v>Sim</v>
      </c>
      <c r="S1754" t="s">
        <v>3016</v>
      </c>
      <c r="T1754" t="s">
        <v>30</v>
      </c>
      <c r="U1754" t="s">
        <v>571</v>
      </c>
      <c r="V1754" s="3">
        <v>-6083.33</v>
      </c>
      <c r="W1754" t="s">
        <v>570</v>
      </c>
      <c r="X1754" s="3">
        <v>-6083.33</v>
      </c>
    </row>
    <row r="1755" spans="1:24" s="2" customFormat="1" x14ac:dyDescent="0.2">
      <c r="A1755">
        <v>1755</v>
      </c>
      <c r="B1755" t="s">
        <v>647</v>
      </c>
      <c r="C1755" t="s">
        <v>648</v>
      </c>
      <c r="D1755" t="s">
        <v>3018</v>
      </c>
      <c r="E1755" t="s">
        <v>30</v>
      </c>
      <c r="F1755" t="s">
        <v>63</v>
      </c>
      <c r="G1755" t="s">
        <v>25</v>
      </c>
      <c r="H1755" t="str">
        <f t="shared" si="54"/>
        <v xml:space="preserve">11/12 - HONORÁRIOS CONTÁBEIS  11/12 | Recorrência: | Observações: </v>
      </c>
      <c r="I1755" t="s">
        <v>755</v>
      </c>
      <c r="J1755" s="5">
        <v>-1217.5</v>
      </c>
      <c r="K1755" s="4">
        <v>401384.5</v>
      </c>
      <c r="L1755" t="s">
        <v>2723</v>
      </c>
      <c r="M1755" s="5">
        <v>-1217.5</v>
      </c>
      <c r="N1755" s="3">
        <v>0</v>
      </c>
      <c r="O1755" t="s">
        <v>3016</v>
      </c>
      <c r="P1755" t="s">
        <v>2536</v>
      </c>
      <c r="Q1755" t="s">
        <v>3016</v>
      </c>
      <c r="R1755" t="str">
        <f t="shared" si="55"/>
        <v>Sim</v>
      </c>
      <c r="S1755" t="s">
        <v>3016</v>
      </c>
      <c r="T1755" t="s">
        <v>30</v>
      </c>
      <c r="U1755" t="s">
        <v>608</v>
      </c>
      <c r="V1755" s="3">
        <v>-1217.5</v>
      </c>
      <c r="W1755" t="s">
        <v>1722</v>
      </c>
      <c r="X1755" s="3">
        <v>-1217.5</v>
      </c>
    </row>
    <row r="1756" spans="1:24" s="2" customFormat="1" x14ac:dyDescent="0.2">
      <c r="A1756" s="2">
        <v>1756</v>
      </c>
      <c r="B1756"/>
      <c r="C1756" t="s">
        <v>153</v>
      </c>
      <c r="D1756" t="s">
        <v>3020</v>
      </c>
      <c r="E1756" t="s">
        <v>30</v>
      </c>
      <c r="F1756" t="s">
        <v>63</v>
      </c>
      <c r="G1756" t="s">
        <v>25</v>
      </c>
      <c r="H1756" t="str">
        <f t="shared" si="54"/>
        <v xml:space="preserve">11/11 - SODEXO - ELIANE 11/12 | Recorrência: | Observações: </v>
      </c>
      <c r="I1756" t="s">
        <v>755</v>
      </c>
      <c r="J1756" s="5">
        <v>-776.6</v>
      </c>
      <c r="K1756" s="4">
        <v>400607.9</v>
      </c>
      <c r="L1756" t="s">
        <v>2723</v>
      </c>
      <c r="M1756" s="5">
        <v>-776.6</v>
      </c>
      <c r="N1756" s="3">
        <v>0</v>
      </c>
      <c r="O1756" t="s">
        <v>3019</v>
      </c>
      <c r="P1756" t="s">
        <v>2536</v>
      </c>
      <c r="Q1756" t="s">
        <v>3019</v>
      </c>
      <c r="R1756" t="str">
        <f t="shared" si="55"/>
        <v>Sim</v>
      </c>
      <c r="S1756" t="s">
        <v>3019</v>
      </c>
      <c r="T1756" t="s">
        <v>30</v>
      </c>
      <c r="U1756" t="s">
        <v>93</v>
      </c>
      <c r="V1756" s="3">
        <v>-776.6</v>
      </c>
      <c r="W1756" t="s">
        <v>331</v>
      </c>
      <c r="X1756" s="3">
        <v>-776.6</v>
      </c>
    </row>
    <row r="1757" spans="1:24" s="2" customFormat="1" x14ac:dyDescent="0.2">
      <c r="A1757">
        <v>1757</v>
      </c>
      <c r="B1757" t="s">
        <v>647</v>
      </c>
      <c r="C1757" t="s">
        <v>648</v>
      </c>
      <c r="D1757" t="s">
        <v>3022</v>
      </c>
      <c r="E1757" t="s">
        <v>30</v>
      </c>
      <c r="F1757" t="s">
        <v>63</v>
      </c>
      <c r="G1757" t="s">
        <v>25</v>
      </c>
      <c r="H1757" t="str">
        <f t="shared" si="54"/>
        <v xml:space="preserve">11/12 - FGTS  11/12 | Recorrência: | Observações: </v>
      </c>
      <c r="I1757" t="s">
        <v>1113</v>
      </c>
      <c r="J1757" s="5">
        <v>-160</v>
      </c>
      <c r="K1757" s="4">
        <v>400447.9</v>
      </c>
      <c r="L1757" t="s">
        <v>2723</v>
      </c>
      <c r="M1757" s="5">
        <v>-160</v>
      </c>
      <c r="N1757" s="3">
        <v>0</v>
      </c>
      <c r="O1757" t="s">
        <v>3021</v>
      </c>
      <c r="P1757" t="s">
        <v>2285</v>
      </c>
      <c r="Q1757" t="s">
        <v>3021</v>
      </c>
      <c r="R1757" t="str">
        <f t="shared" si="55"/>
        <v>Sim</v>
      </c>
      <c r="S1757" t="s">
        <v>3021</v>
      </c>
      <c r="T1757" t="s">
        <v>30</v>
      </c>
      <c r="U1757" t="s">
        <v>1531</v>
      </c>
      <c r="V1757" s="3">
        <v>-160</v>
      </c>
      <c r="W1757" t="s">
        <v>650</v>
      </c>
      <c r="X1757" s="3">
        <v>-160</v>
      </c>
    </row>
    <row r="1758" spans="1:24" s="2" customFormat="1" x14ac:dyDescent="0.2">
      <c r="A1758" s="2">
        <v>1758</v>
      </c>
      <c r="B1758" t="s">
        <v>647</v>
      </c>
      <c r="C1758" t="s">
        <v>648</v>
      </c>
      <c r="D1758" t="s">
        <v>1556</v>
      </c>
      <c r="E1758" t="s">
        <v>955</v>
      </c>
      <c r="F1758" t="s">
        <v>63</v>
      </c>
      <c r="G1758" t="s">
        <v>25</v>
      </c>
      <c r="H1758" t="str">
        <f t="shared" si="54"/>
        <v xml:space="preserve">DARF PREVIDÊNCIARIO | Recorrência:11/12 | Observações: </v>
      </c>
      <c r="I1758" t="s">
        <v>26</v>
      </c>
      <c r="J1758" s="5">
        <v>-1500</v>
      </c>
      <c r="K1758" s="4">
        <v>398947.9</v>
      </c>
      <c r="L1758" t="s">
        <v>2723</v>
      </c>
      <c r="M1758" s="5">
        <v>-1500</v>
      </c>
      <c r="N1758" s="3">
        <v>0</v>
      </c>
      <c r="O1758" t="s">
        <v>3023</v>
      </c>
      <c r="P1758" t="s">
        <v>2996</v>
      </c>
      <c r="Q1758" t="s">
        <v>3023</v>
      </c>
      <c r="R1758" t="str">
        <f t="shared" si="55"/>
        <v>Sim</v>
      </c>
      <c r="S1758" t="s">
        <v>3023</v>
      </c>
      <c r="T1758" t="s">
        <v>30</v>
      </c>
      <c r="U1758" t="s">
        <v>601</v>
      </c>
      <c r="V1758" s="3">
        <v>-1500</v>
      </c>
      <c r="W1758" t="s">
        <v>376</v>
      </c>
      <c r="X1758" s="3">
        <v>-1500</v>
      </c>
    </row>
    <row r="1759" spans="1:24" s="2" customFormat="1" x14ac:dyDescent="0.2">
      <c r="A1759">
        <v>1759</v>
      </c>
      <c r="B1759" t="s">
        <v>647</v>
      </c>
      <c r="C1759" t="s">
        <v>648</v>
      </c>
      <c r="D1759" t="s">
        <v>3025</v>
      </c>
      <c r="E1759" t="s">
        <v>30</v>
      </c>
      <c r="F1759" t="s">
        <v>63</v>
      </c>
      <c r="G1759" t="s">
        <v>25</v>
      </c>
      <c r="H1759" t="str">
        <f t="shared" si="54"/>
        <v xml:space="preserve">24/35 - DARF ISS 24/36 | Recorrência: | Observações: </v>
      </c>
      <c r="I1759" t="s">
        <v>26</v>
      </c>
      <c r="J1759" s="5">
        <v>-671.87</v>
      </c>
      <c r="K1759" s="4">
        <v>398276.03</v>
      </c>
      <c r="L1759" t="s">
        <v>2723</v>
      </c>
      <c r="M1759" s="5">
        <v>-671.87</v>
      </c>
      <c r="N1759" s="3">
        <v>0</v>
      </c>
      <c r="O1759" t="s">
        <v>3024</v>
      </c>
      <c r="P1759" t="s">
        <v>1474</v>
      </c>
      <c r="Q1759" t="s">
        <v>3024</v>
      </c>
      <c r="R1759" t="str">
        <f t="shared" si="55"/>
        <v>Sim</v>
      </c>
      <c r="S1759" t="s">
        <v>3024</v>
      </c>
      <c r="T1759" t="s">
        <v>30</v>
      </c>
      <c r="U1759" t="s">
        <v>1098</v>
      </c>
      <c r="V1759" s="3">
        <v>-671.87</v>
      </c>
      <c r="W1759" t="s">
        <v>324</v>
      </c>
      <c r="X1759" s="3">
        <v>-671.87</v>
      </c>
    </row>
    <row r="1760" spans="1:24" s="2" customFormat="1" x14ac:dyDescent="0.2">
      <c r="A1760" s="2">
        <v>1760</v>
      </c>
      <c r="B1760"/>
      <c r="C1760" t="s">
        <v>153</v>
      </c>
      <c r="D1760" t="s">
        <v>3027</v>
      </c>
      <c r="E1760" t="s">
        <v>30</v>
      </c>
      <c r="F1760" t="s">
        <v>63</v>
      </c>
      <c r="G1760" t="s">
        <v>25</v>
      </c>
      <c r="H1760" t="str">
        <f t="shared" si="54"/>
        <v xml:space="preserve">12/13 - SALÁRIO - JULYA FIGUEIREDO - COORDENADORA 12/13 | Recorrência: | Observações: </v>
      </c>
      <c r="I1760" t="s">
        <v>491</v>
      </c>
      <c r="J1760" s="5">
        <v>-4500</v>
      </c>
      <c r="K1760" s="4">
        <v>393776.03</v>
      </c>
      <c r="L1760" t="s">
        <v>2723</v>
      </c>
      <c r="M1760" s="5">
        <v>-4500</v>
      </c>
      <c r="N1760" s="3">
        <v>0</v>
      </c>
      <c r="O1760" t="s">
        <v>3026</v>
      </c>
      <c r="P1760" t="s">
        <v>2418</v>
      </c>
      <c r="Q1760" t="s">
        <v>3026</v>
      </c>
      <c r="R1760" t="str">
        <f t="shared" si="55"/>
        <v>Sim</v>
      </c>
      <c r="S1760" t="s">
        <v>3026</v>
      </c>
      <c r="T1760" t="s">
        <v>30</v>
      </c>
      <c r="U1760" t="s">
        <v>323</v>
      </c>
      <c r="V1760" s="3">
        <v>-4500</v>
      </c>
      <c r="W1760" t="s">
        <v>1164</v>
      </c>
      <c r="X1760" s="3">
        <v>-4500</v>
      </c>
    </row>
    <row r="1761" spans="1:24" s="2" customFormat="1" x14ac:dyDescent="0.2">
      <c r="A1761">
        <v>1761</v>
      </c>
      <c r="B1761"/>
      <c r="C1761" t="s">
        <v>153</v>
      </c>
      <c r="D1761" t="s">
        <v>3028</v>
      </c>
      <c r="E1761" t="s">
        <v>30</v>
      </c>
      <c r="F1761" t="s">
        <v>63</v>
      </c>
      <c r="G1761" t="s">
        <v>25</v>
      </c>
      <c r="H1761" t="str">
        <f t="shared" si="54"/>
        <v xml:space="preserve">11/12 - DIÁRIAS JULIANA SOARES  11/12 | Recorrência: | Observações: </v>
      </c>
      <c r="I1761" t="s">
        <v>1113</v>
      </c>
      <c r="J1761" s="5">
        <v>-480</v>
      </c>
      <c r="K1761" s="4">
        <v>393296.03</v>
      </c>
      <c r="L1761" t="s">
        <v>2723</v>
      </c>
      <c r="M1761" s="5">
        <v>-480</v>
      </c>
      <c r="N1761" s="3">
        <v>0</v>
      </c>
      <c r="O1761" t="s">
        <v>3026</v>
      </c>
      <c r="P1761" t="s">
        <v>2481</v>
      </c>
      <c r="Q1761" t="s">
        <v>3026</v>
      </c>
      <c r="R1761" t="str">
        <f t="shared" si="55"/>
        <v>Sim</v>
      </c>
      <c r="S1761" t="s">
        <v>3026</v>
      </c>
      <c r="T1761" t="s">
        <v>30</v>
      </c>
      <c r="U1761" t="s">
        <v>691</v>
      </c>
      <c r="V1761" s="3">
        <v>-480</v>
      </c>
      <c r="W1761" t="s">
        <v>1722</v>
      </c>
      <c r="X1761" s="3">
        <v>-480</v>
      </c>
    </row>
    <row r="1762" spans="1:24" s="2" customFormat="1" x14ac:dyDescent="0.2">
      <c r="A1762" s="2">
        <v>1762</v>
      </c>
      <c r="B1762"/>
      <c r="C1762" t="s">
        <v>153</v>
      </c>
      <c r="D1762" t="s">
        <v>3029</v>
      </c>
      <c r="E1762" t="s">
        <v>30</v>
      </c>
      <c r="F1762" t="s">
        <v>63</v>
      </c>
      <c r="G1762" t="s">
        <v>25</v>
      </c>
      <c r="H1762" t="str">
        <f t="shared" si="54"/>
        <v xml:space="preserve">11/12 - ELIANE - VALE TRANSPORTE MÊS DE DEZEMBRO 11/12 | Recorrência: | Observações: </v>
      </c>
      <c r="I1762" t="s">
        <v>491</v>
      </c>
      <c r="J1762" s="5">
        <v>-363.33</v>
      </c>
      <c r="K1762" s="4">
        <v>392932.7</v>
      </c>
      <c r="L1762" t="s">
        <v>2723</v>
      </c>
      <c r="M1762" s="5">
        <v>-363.33</v>
      </c>
      <c r="N1762" s="3">
        <v>0</v>
      </c>
      <c r="O1762" t="s">
        <v>3026</v>
      </c>
      <c r="P1762" t="s">
        <v>2578</v>
      </c>
      <c r="Q1762" t="s">
        <v>3026</v>
      </c>
      <c r="R1762" t="str">
        <f t="shared" si="55"/>
        <v>Sim</v>
      </c>
      <c r="S1762" t="s">
        <v>3026</v>
      </c>
      <c r="T1762" t="s">
        <v>30</v>
      </c>
      <c r="U1762" t="s">
        <v>662</v>
      </c>
      <c r="V1762" s="3">
        <v>-363.33</v>
      </c>
      <c r="W1762" t="s">
        <v>698</v>
      </c>
      <c r="X1762" s="3">
        <v>-363.33</v>
      </c>
    </row>
    <row r="1763" spans="1:24" s="2" customFormat="1" x14ac:dyDescent="0.2">
      <c r="A1763">
        <v>1763</v>
      </c>
      <c r="B1763"/>
      <c r="C1763" t="s">
        <v>828</v>
      </c>
      <c r="D1763" t="s">
        <v>830</v>
      </c>
      <c r="E1763" t="s">
        <v>3031</v>
      </c>
      <c r="F1763" t="s">
        <v>63</v>
      </c>
      <c r="G1763" t="s">
        <v>25</v>
      </c>
      <c r="H1763" t="str">
        <f t="shared" si="54"/>
        <v xml:space="preserve">PREFEITURA DO MUNICIPIO DE BERTIOGA | Recorrência:33/41 | Observações: REF.02 PAGAMENTOS </v>
      </c>
      <c r="I1763" t="s">
        <v>26</v>
      </c>
      <c r="J1763" s="5">
        <v>-228.16</v>
      </c>
      <c r="K1763" s="4">
        <v>392704.54</v>
      </c>
      <c r="L1763" t="s">
        <v>2723</v>
      </c>
      <c r="M1763" s="5">
        <v>-228.16</v>
      </c>
      <c r="N1763" s="3">
        <v>0</v>
      </c>
      <c r="O1763" t="s">
        <v>3030</v>
      </c>
      <c r="P1763" t="s">
        <v>3032</v>
      </c>
      <c r="Q1763" t="s">
        <v>3030</v>
      </c>
      <c r="R1763" t="str">
        <f t="shared" si="55"/>
        <v>Sim</v>
      </c>
      <c r="S1763" t="s">
        <v>3030</v>
      </c>
      <c r="T1763" t="s">
        <v>831</v>
      </c>
      <c r="U1763" t="s">
        <v>832</v>
      </c>
      <c r="V1763" s="3">
        <v>-228.16</v>
      </c>
    </row>
    <row r="1764" spans="1:24" s="2" customFormat="1" x14ac:dyDescent="0.2">
      <c r="A1764" s="2">
        <v>1764</v>
      </c>
      <c r="B1764"/>
      <c r="C1764" t="s">
        <v>153</v>
      </c>
      <c r="D1764" t="s">
        <v>3034</v>
      </c>
      <c r="E1764" t="s">
        <v>30</v>
      </c>
      <c r="F1764" t="s">
        <v>63</v>
      </c>
      <c r="G1764" t="s">
        <v>25</v>
      </c>
      <c r="H1764" t="str">
        <f t="shared" si="54"/>
        <v xml:space="preserve">10/11 - SALÁRIO - MANU_ESTAGIÁRIA  10/11 | Recorrência: | Observações: </v>
      </c>
      <c r="I1764" t="s">
        <v>491</v>
      </c>
      <c r="J1764" s="5">
        <v>-960</v>
      </c>
      <c r="K1764" s="4">
        <v>391744.54</v>
      </c>
      <c r="L1764" t="s">
        <v>2723</v>
      </c>
      <c r="M1764" s="5">
        <v>-960</v>
      </c>
      <c r="N1764" s="3">
        <v>0</v>
      </c>
      <c r="O1764" t="s">
        <v>3033</v>
      </c>
      <c r="P1764" t="s">
        <v>2658</v>
      </c>
      <c r="Q1764" t="s">
        <v>3033</v>
      </c>
      <c r="R1764" t="str">
        <f t="shared" si="55"/>
        <v>Sim</v>
      </c>
      <c r="S1764" t="s">
        <v>3033</v>
      </c>
      <c r="T1764" t="s">
        <v>30</v>
      </c>
      <c r="U1764" t="s">
        <v>323</v>
      </c>
      <c r="V1764" s="3">
        <v>-960</v>
      </c>
      <c r="W1764" t="s">
        <v>323</v>
      </c>
      <c r="X1764" s="3">
        <v>-960</v>
      </c>
    </row>
    <row r="1765" spans="1:24" s="2" customFormat="1" x14ac:dyDescent="0.2">
      <c r="A1765">
        <v>1765</v>
      </c>
      <c r="B1765"/>
      <c r="C1765" t="s">
        <v>153</v>
      </c>
      <c r="D1765" t="s">
        <v>3035</v>
      </c>
      <c r="E1765" t="s">
        <v>30</v>
      </c>
      <c r="F1765" t="s">
        <v>63</v>
      </c>
      <c r="G1765" t="s">
        <v>25</v>
      </c>
      <c r="H1765" t="str">
        <f t="shared" si="54"/>
        <v xml:space="preserve">10/10 - SALÁRIO KARINA ESTAGIARIA 10/10 | Recorrência: | Observações: </v>
      </c>
      <c r="I1765" t="s">
        <v>491</v>
      </c>
      <c r="J1765" s="5">
        <v>-2200</v>
      </c>
      <c r="K1765" s="4">
        <v>389544.54</v>
      </c>
      <c r="L1765" t="s">
        <v>2723</v>
      </c>
      <c r="M1765" s="5">
        <v>-2200</v>
      </c>
      <c r="N1765" s="3">
        <v>0</v>
      </c>
      <c r="O1765" t="s">
        <v>3033</v>
      </c>
      <c r="P1765" t="s">
        <v>2616</v>
      </c>
      <c r="Q1765" t="s">
        <v>3033</v>
      </c>
      <c r="R1765" t="str">
        <f t="shared" si="55"/>
        <v>Sim</v>
      </c>
      <c r="S1765" t="s">
        <v>3033</v>
      </c>
      <c r="T1765" t="s">
        <v>30</v>
      </c>
      <c r="U1765" t="s">
        <v>323</v>
      </c>
      <c r="V1765" s="3">
        <v>-2200</v>
      </c>
      <c r="W1765" t="s">
        <v>323</v>
      </c>
      <c r="X1765" s="3">
        <v>-2200</v>
      </c>
    </row>
    <row r="1766" spans="1:24" s="2" customFormat="1" x14ac:dyDescent="0.2">
      <c r="A1766" s="2">
        <v>1766</v>
      </c>
      <c r="B1766"/>
      <c r="C1766" t="s">
        <v>153</v>
      </c>
      <c r="D1766" t="s">
        <v>3037</v>
      </c>
      <c r="E1766" t="s">
        <v>30</v>
      </c>
      <c r="F1766" t="s">
        <v>63</v>
      </c>
      <c r="G1766" t="s">
        <v>25</v>
      </c>
      <c r="H1766" t="str">
        <f t="shared" si="54"/>
        <v xml:space="preserve">12/12 - PRÓ LABORE MAYARA CLA 12/13 | Recorrência: | Observações: </v>
      </c>
      <c r="I1766" t="s">
        <v>991</v>
      </c>
      <c r="J1766" s="5">
        <v>-20000</v>
      </c>
      <c r="K1766" s="4">
        <v>369544.54</v>
      </c>
      <c r="L1766" t="s">
        <v>2723</v>
      </c>
      <c r="M1766" s="5">
        <v>-20000</v>
      </c>
      <c r="N1766" s="3">
        <v>0</v>
      </c>
      <c r="O1766" t="s">
        <v>3036</v>
      </c>
      <c r="P1766" t="s">
        <v>2261</v>
      </c>
      <c r="Q1766" t="s">
        <v>3036</v>
      </c>
      <c r="R1766" t="str">
        <f t="shared" si="55"/>
        <v>Sim</v>
      </c>
      <c r="S1766" t="s">
        <v>3036</v>
      </c>
      <c r="T1766" t="s">
        <v>30</v>
      </c>
      <c r="U1766" t="s">
        <v>323</v>
      </c>
      <c r="V1766" s="3">
        <v>-20000</v>
      </c>
      <c r="W1766" t="s">
        <v>1164</v>
      </c>
      <c r="X1766" s="3">
        <v>-20000</v>
      </c>
    </row>
    <row r="1767" spans="1:24" s="2" customFormat="1" x14ac:dyDescent="0.2">
      <c r="A1767">
        <v>1767</v>
      </c>
      <c r="B1767"/>
      <c r="C1767" t="s">
        <v>153</v>
      </c>
      <c r="D1767" t="s">
        <v>3038</v>
      </c>
      <c r="E1767" t="s">
        <v>30</v>
      </c>
      <c r="F1767" t="s">
        <v>63</v>
      </c>
      <c r="G1767" t="s">
        <v>25</v>
      </c>
      <c r="H1767" t="str">
        <f t="shared" si="54"/>
        <v xml:space="preserve">12/12 - PRÓ LABORE NATASHA  12/13 | Recorrência: | Observações: </v>
      </c>
      <c r="I1767" t="s">
        <v>991</v>
      </c>
      <c r="J1767" s="5">
        <v>-20000</v>
      </c>
      <c r="K1767" s="4">
        <v>349544.54</v>
      </c>
      <c r="L1767" t="s">
        <v>2723</v>
      </c>
      <c r="M1767" s="5">
        <v>-20000</v>
      </c>
      <c r="N1767" s="3">
        <v>0</v>
      </c>
      <c r="O1767" t="s">
        <v>3036</v>
      </c>
      <c r="P1767" t="s">
        <v>2261</v>
      </c>
      <c r="Q1767" t="s">
        <v>3036</v>
      </c>
      <c r="R1767" t="str">
        <f t="shared" si="55"/>
        <v>Sim</v>
      </c>
      <c r="S1767" t="s">
        <v>3036</v>
      </c>
      <c r="T1767" t="s">
        <v>30</v>
      </c>
      <c r="U1767" t="s">
        <v>323</v>
      </c>
      <c r="V1767" s="3">
        <v>-20000</v>
      </c>
      <c r="W1767" t="s">
        <v>1164</v>
      </c>
      <c r="X1767" s="3">
        <v>-20000</v>
      </c>
    </row>
    <row r="1768" spans="1:24" s="2" customFormat="1" x14ac:dyDescent="0.2">
      <c r="A1768" s="2">
        <v>1768</v>
      </c>
      <c r="B1768"/>
      <c r="C1768" t="s">
        <v>153</v>
      </c>
      <c r="D1768" t="s">
        <v>3039</v>
      </c>
      <c r="E1768" t="s">
        <v>30</v>
      </c>
      <c r="F1768" t="s">
        <v>63</v>
      </c>
      <c r="G1768" t="s">
        <v>25</v>
      </c>
      <c r="H1768" t="str">
        <f t="shared" si="54"/>
        <v xml:space="preserve">12/12 - SALÁRIO ELIANE  12/12 | Recorrência: | Observações: </v>
      </c>
      <c r="I1768" t="s">
        <v>491</v>
      </c>
      <c r="J1768" s="5">
        <v>-1700</v>
      </c>
      <c r="K1768" s="4">
        <v>347844.54</v>
      </c>
      <c r="L1768" t="s">
        <v>2723</v>
      </c>
      <c r="M1768" s="5">
        <v>-1700</v>
      </c>
      <c r="N1768" s="3">
        <v>0</v>
      </c>
      <c r="O1768" t="s">
        <v>3036</v>
      </c>
      <c r="P1768" t="s">
        <v>2261</v>
      </c>
      <c r="Q1768" t="s">
        <v>3036</v>
      </c>
      <c r="R1768" t="str">
        <f t="shared" si="55"/>
        <v>Sim</v>
      </c>
      <c r="S1768" t="s">
        <v>3036</v>
      </c>
      <c r="T1768" t="s">
        <v>30</v>
      </c>
      <c r="U1768" t="s">
        <v>323</v>
      </c>
      <c r="V1768" s="3">
        <v>-1700</v>
      </c>
      <c r="W1768" t="s">
        <v>1164</v>
      </c>
      <c r="X1768" s="3">
        <v>-1700</v>
      </c>
    </row>
    <row r="1769" spans="1:24" s="2" customFormat="1" x14ac:dyDescent="0.2">
      <c r="A1769">
        <v>1769</v>
      </c>
      <c r="B1769"/>
      <c r="C1769" t="s">
        <v>153</v>
      </c>
      <c r="D1769" t="s">
        <v>3040</v>
      </c>
      <c r="E1769" t="s">
        <v>30</v>
      </c>
      <c r="F1769" t="s">
        <v>63</v>
      </c>
      <c r="G1769" t="s">
        <v>25</v>
      </c>
      <c r="H1769" t="str">
        <f t="shared" si="54"/>
        <v xml:space="preserve">12/12 - SALÁRIO MAYARA OLIVEIRA  12/12 | Recorrência: | Observações: </v>
      </c>
      <c r="I1769" t="s">
        <v>491</v>
      </c>
      <c r="J1769" s="5">
        <v>-3200</v>
      </c>
      <c r="K1769" s="4">
        <v>344644.54</v>
      </c>
      <c r="L1769" t="s">
        <v>2723</v>
      </c>
      <c r="M1769" s="5">
        <v>-3200</v>
      </c>
      <c r="N1769" s="3">
        <v>0</v>
      </c>
      <c r="O1769" t="s">
        <v>3036</v>
      </c>
      <c r="P1769" t="s">
        <v>2261</v>
      </c>
      <c r="Q1769" t="s">
        <v>3036</v>
      </c>
      <c r="R1769" t="str">
        <f t="shared" si="55"/>
        <v>Sim</v>
      </c>
      <c r="S1769" t="s">
        <v>3036</v>
      </c>
      <c r="T1769" t="s">
        <v>30</v>
      </c>
      <c r="U1769" t="s">
        <v>323</v>
      </c>
      <c r="V1769" s="3">
        <v>-3200</v>
      </c>
      <c r="W1769" t="s">
        <v>1164</v>
      </c>
      <c r="X1769" s="3">
        <v>-3200</v>
      </c>
    </row>
    <row r="1770" spans="1:24" s="2" customFormat="1" x14ac:dyDescent="0.2">
      <c r="A1770" s="2">
        <v>1770</v>
      </c>
      <c r="B1770"/>
      <c r="C1770" t="s">
        <v>710</v>
      </c>
      <c r="D1770" t="s">
        <v>3041</v>
      </c>
      <c r="E1770" t="s">
        <v>30</v>
      </c>
      <c r="F1770" t="s">
        <v>63</v>
      </c>
      <c r="G1770" t="s">
        <v>25</v>
      </c>
      <c r="H1770" t="str">
        <f t="shared" si="54"/>
        <v xml:space="preserve">12/12 - ENEL - ENERGIA ELÉTRICA referente a janeiro 12/12 | Recorrência: | Observações: </v>
      </c>
      <c r="I1770" t="s">
        <v>26</v>
      </c>
      <c r="J1770" s="5">
        <v>-384.62</v>
      </c>
      <c r="K1770" s="4">
        <v>344259.92</v>
      </c>
      <c r="L1770" t="s">
        <v>2723</v>
      </c>
      <c r="M1770" s="5">
        <v>-384.62</v>
      </c>
      <c r="N1770" s="3">
        <v>0</v>
      </c>
      <c r="O1770" t="s">
        <v>3036</v>
      </c>
      <c r="P1770" t="s">
        <v>2577</v>
      </c>
      <c r="Q1770" t="s">
        <v>3036</v>
      </c>
      <c r="R1770" t="str">
        <f t="shared" si="55"/>
        <v>Sim</v>
      </c>
      <c r="S1770" t="s">
        <v>3036</v>
      </c>
      <c r="T1770" t="s">
        <v>30</v>
      </c>
      <c r="U1770" t="s">
        <v>125</v>
      </c>
      <c r="V1770" s="3">
        <v>-384.62</v>
      </c>
      <c r="W1770" t="s">
        <v>125</v>
      </c>
      <c r="X1770" s="3">
        <v>-384.62</v>
      </c>
    </row>
    <row r="1771" spans="1:24" s="2" customFormat="1" x14ac:dyDescent="0.2">
      <c r="A1771">
        <v>1771</v>
      </c>
      <c r="B1771"/>
      <c r="C1771" t="s">
        <v>153</v>
      </c>
      <c r="D1771" t="s">
        <v>3042</v>
      </c>
      <c r="E1771" t="s">
        <v>30</v>
      </c>
      <c r="F1771" t="s">
        <v>63</v>
      </c>
      <c r="G1771" t="s">
        <v>25</v>
      </c>
      <c r="H1771" t="str">
        <f t="shared" si="54"/>
        <v xml:space="preserve">12/12 - DIÁRIAS JULIANA SOARES  12/12 | Recorrência: | Observações: </v>
      </c>
      <c r="I1771" t="s">
        <v>1113</v>
      </c>
      <c r="J1771" s="5">
        <v>-360</v>
      </c>
      <c r="K1771" s="4">
        <v>343899.92</v>
      </c>
      <c r="L1771" t="s">
        <v>2723</v>
      </c>
      <c r="M1771" s="5">
        <v>-360</v>
      </c>
      <c r="N1771" s="3">
        <v>0</v>
      </c>
      <c r="O1771" t="s">
        <v>3036</v>
      </c>
      <c r="P1771" t="s">
        <v>2481</v>
      </c>
      <c r="Q1771" t="s">
        <v>3036</v>
      </c>
      <c r="R1771" t="str">
        <f t="shared" si="55"/>
        <v>Sim</v>
      </c>
      <c r="S1771" t="s">
        <v>3036</v>
      </c>
      <c r="T1771" t="s">
        <v>30</v>
      </c>
      <c r="U1771" t="s">
        <v>691</v>
      </c>
      <c r="V1771" s="3">
        <v>-360</v>
      </c>
      <c r="W1771" t="s">
        <v>1722</v>
      </c>
      <c r="X1771" s="3">
        <v>-360</v>
      </c>
    </row>
    <row r="1772" spans="1:24" s="2" customFormat="1" x14ac:dyDescent="0.2">
      <c r="A1772" s="2">
        <v>1772</v>
      </c>
      <c r="B1772"/>
      <c r="C1772" t="s">
        <v>574</v>
      </c>
      <c r="D1772" t="s">
        <v>3044</v>
      </c>
      <c r="E1772" t="s">
        <v>30</v>
      </c>
      <c r="F1772" t="s">
        <v>63</v>
      </c>
      <c r="G1772" t="s">
        <v>25</v>
      </c>
      <c r="H1772" t="str">
        <f t="shared" si="54"/>
        <v xml:space="preserve">12/12 - CONDOMINIO+ALUGUEL  12/12 | Recorrência: | Observações: </v>
      </c>
      <c r="I1772" t="s">
        <v>491</v>
      </c>
      <c r="J1772" s="5">
        <v>-6083.37</v>
      </c>
      <c r="K1772" s="4">
        <v>337816.55</v>
      </c>
      <c r="L1772" t="s">
        <v>2723</v>
      </c>
      <c r="M1772" s="5">
        <v>-6083.37</v>
      </c>
      <c r="N1772" s="3">
        <v>0</v>
      </c>
      <c r="O1772" t="s">
        <v>3043</v>
      </c>
      <c r="P1772" t="s">
        <v>2472</v>
      </c>
      <c r="Q1772" t="s">
        <v>3043</v>
      </c>
      <c r="R1772" t="str">
        <f t="shared" si="55"/>
        <v>Sim</v>
      </c>
      <c r="S1772" t="s">
        <v>3043</v>
      </c>
      <c r="T1772" t="s">
        <v>30</v>
      </c>
      <c r="U1772" t="s">
        <v>571</v>
      </c>
      <c r="V1772" s="3">
        <v>-6083.37</v>
      </c>
      <c r="W1772" t="s">
        <v>570</v>
      </c>
      <c r="X1772" s="3">
        <v>-6083.37</v>
      </c>
    </row>
    <row r="1773" spans="1:24" s="2" customFormat="1" x14ac:dyDescent="0.2">
      <c r="A1773">
        <v>1773</v>
      </c>
      <c r="B1773" t="s">
        <v>647</v>
      </c>
      <c r="C1773" t="s">
        <v>648</v>
      </c>
      <c r="D1773" t="s">
        <v>3045</v>
      </c>
      <c r="E1773" t="s">
        <v>30</v>
      </c>
      <c r="F1773" t="s">
        <v>63</v>
      </c>
      <c r="G1773" t="s">
        <v>25</v>
      </c>
      <c r="H1773" t="str">
        <f t="shared" si="54"/>
        <v xml:space="preserve">12/12 - HONORÁRIOS CONTÁBEIS  12/12 | Recorrência: | Observações: </v>
      </c>
      <c r="I1773" t="s">
        <v>755</v>
      </c>
      <c r="J1773" s="5">
        <v>-1217.5</v>
      </c>
      <c r="K1773" s="4">
        <v>336599.05</v>
      </c>
      <c r="L1773" t="s">
        <v>2723</v>
      </c>
      <c r="M1773" s="5">
        <v>-1217.5</v>
      </c>
      <c r="N1773" s="3">
        <v>0</v>
      </c>
      <c r="O1773" t="s">
        <v>3043</v>
      </c>
      <c r="P1773" t="s">
        <v>2536</v>
      </c>
      <c r="Q1773" t="s">
        <v>3043</v>
      </c>
      <c r="R1773" t="str">
        <f t="shared" si="55"/>
        <v>Sim</v>
      </c>
      <c r="S1773" t="s">
        <v>3043</v>
      </c>
      <c r="T1773" t="s">
        <v>30</v>
      </c>
      <c r="U1773" t="s">
        <v>608</v>
      </c>
      <c r="V1773" s="3">
        <v>-1217.5</v>
      </c>
      <c r="W1773" t="s">
        <v>1722</v>
      </c>
      <c r="X1773" s="3">
        <v>-1217.5</v>
      </c>
    </row>
    <row r="1774" spans="1:24" s="2" customFormat="1" x14ac:dyDescent="0.2">
      <c r="A1774" s="2">
        <v>1774</v>
      </c>
      <c r="B1774"/>
      <c r="C1774" t="s">
        <v>153</v>
      </c>
      <c r="D1774" t="s">
        <v>3047</v>
      </c>
      <c r="E1774" t="s">
        <v>30</v>
      </c>
      <c r="F1774" t="s">
        <v>63</v>
      </c>
      <c r="G1774" t="s">
        <v>25</v>
      </c>
      <c r="H1774" t="str">
        <f t="shared" si="54"/>
        <v xml:space="preserve">12/11 - SODEXO - ELIANE 12/12 | Recorrência: | Observações: </v>
      </c>
      <c r="I1774" t="s">
        <v>755</v>
      </c>
      <c r="J1774" s="5">
        <v>-776.6</v>
      </c>
      <c r="K1774" s="4">
        <v>335822.45</v>
      </c>
      <c r="L1774" t="s">
        <v>2723</v>
      </c>
      <c r="M1774" s="5">
        <v>-776.6</v>
      </c>
      <c r="N1774" s="3">
        <v>0</v>
      </c>
      <c r="O1774" t="s">
        <v>3046</v>
      </c>
      <c r="P1774" t="s">
        <v>2536</v>
      </c>
      <c r="Q1774" t="s">
        <v>3046</v>
      </c>
      <c r="R1774" t="str">
        <f t="shared" si="55"/>
        <v>Sim</v>
      </c>
      <c r="S1774" t="s">
        <v>3046</v>
      </c>
      <c r="T1774" t="s">
        <v>30</v>
      </c>
      <c r="U1774" t="s">
        <v>93</v>
      </c>
      <c r="V1774" s="3">
        <v>-776.6</v>
      </c>
      <c r="W1774" t="s">
        <v>331</v>
      </c>
      <c r="X1774" s="3">
        <v>-776.6</v>
      </c>
    </row>
    <row r="1775" spans="1:24" s="2" customFormat="1" x14ac:dyDescent="0.2">
      <c r="A1775">
        <v>1775</v>
      </c>
      <c r="B1775" t="s">
        <v>647</v>
      </c>
      <c r="C1775" t="s">
        <v>648</v>
      </c>
      <c r="D1775" t="s">
        <v>3049</v>
      </c>
      <c r="E1775" t="s">
        <v>30</v>
      </c>
      <c r="F1775" t="s">
        <v>63</v>
      </c>
      <c r="G1775" t="s">
        <v>25</v>
      </c>
      <c r="H1775" t="str">
        <f t="shared" si="54"/>
        <v xml:space="preserve">12/12 - FGTS  12/12 | Recorrência: | Observações: </v>
      </c>
      <c r="I1775" t="s">
        <v>1113</v>
      </c>
      <c r="J1775" s="5">
        <v>-160</v>
      </c>
      <c r="K1775" s="4">
        <v>335662.45</v>
      </c>
      <c r="L1775" t="s">
        <v>2723</v>
      </c>
      <c r="M1775" s="5">
        <v>-160</v>
      </c>
      <c r="N1775" s="3">
        <v>0</v>
      </c>
      <c r="O1775" t="s">
        <v>3048</v>
      </c>
      <c r="P1775" t="s">
        <v>2285</v>
      </c>
      <c r="Q1775" t="s">
        <v>3048</v>
      </c>
      <c r="R1775" t="str">
        <f t="shared" si="55"/>
        <v>Sim</v>
      </c>
      <c r="S1775" t="s">
        <v>3048</v>
      </c>
      <c r="T1775" t="s">
        <v>30</v>
      </c>
      <c r="U1775" t="s">
        <v>1531</v>
      </c>
      <c r="V1775" s="3">
        <v>-160</v>
      </c>
      <c r="W1775" t="s">
        <v>650</v>
      </c>
      <c r="X1775" s="3">
        <v>-160</v>
      </c>
    </row>
    <row r="1776" spans="1:24" s="2" customFormat="1" x14ac:dyDescent="0.2">
      <c r="A1776" s="2">
        <v>1776</v>
      </c>
      <c r="B1776" t="s">
        <v>647</v>
      </c>
      <c r="C1776" t="s">
        <v>648</v>
      </c>
      <c r="D1776" t="s">
        <v>1556</v>
      </c>
      <c r="E1776" t="s">
        <v>1404</v>
      </c>
      <c r="F1776" t="s">
        <v>63</v>
      </c>
      <c r="G1776" t="s">
        <v>25</v>
      </c>
      <c r="H1776" t="str">
        <f t="shared" si="54"/>
        <v xml:space="preserve">DARF PREVIDÊNCIARIO | Recorrência:12/12 | Observações: </v>
      </c>
      <c r="I1776" t="s">
        <v>26</v>
      </c>
      <c r="J1776" s="5">
        <v>-1500</v>
      </c>
      <c r="K1776" s="4">
        <v>334162.45</v>
      </c>
      <c r="L1776" t="s">
        <v>2723</v>
      </c>
      <c r="M1776" s="5">
        <v>-1500</v>
      </c>
      <c r="N1776" s="3">
        <v>0</v>
      </c>
      <c r="O1776" t="s">
        <v>3050</v>
      </c>
      <c r="P1776" t="s">
        <v>3023</v>
      </c>
      <c r="Q1776" t="s">
        <v>3050</v>
      </c>
      <c r="R1776" t="str">
        <f t="shared" si="55"/>
        <v>Sim</v>
      </c>
      <c r="S1776" t="s">
        <v>3050</v>
      </c>
      <c r="T1776" t="s">
        <v>30</v>
      </c>
      <c r="U1776" t="s">
        <v>601</v>
      </c>
      <c r="V1776" s="3">
        <v>-1500</v>
      </c>
      <c r="W1776" t="s">
        <v>376</v>
      </c>
      <c r="X1776" s="3">
        <v>-1500</v>
      </c>
    </row>
    <row r="1777" spans="1:24" s="2" customFormat="1" x14ac:dyDescent="0.2">
      <c r="A1777">
        <v>1777</v>
      </c>
      <c r="B1777" t="s">
        <v>647</v>
      </c>
      <c r="C1777" t="s">
        <v>648</v>
      </c>
      <c r="D1777" t="s">
        <v>3052</v>
      </c>
      <c r="E1777" t="s">
        <v>30</v>
      </c>
      <c r="F1777" t="s">
        <v>63</v>
      </c>
      <c r="G1777" t="s">
        <v>25</v>
      </c>
      <c r="H1777" t="str">
        <f t="shared" si="54"/>
        <v xml:space="preserve">25/35 - DARF ISS 25/36 | Recorrência: | Observações: </v>
      </c>
      <c r="I1777" t="s">
        <v>26</v>
      </c>
      <c r="J1777" s="5">
        <v>-671.87</v>
      </c>
      <c r="K1777" s="4">
        <v>333490.58</v>
      </c>
      <c r="L1777" t="s">
        <v>2723</v>
      </c>
      <c r="M1777" s="5">
        <v>-671.87</v>
      </c>
      <c r="N1777" s="3">
        <v>0</v>
      </c>
      <c r="O1777" t="s">
        <v>3051</v>
      </c>
      <c r="P1777" t="s">
        <v>1474</v>
      </c>
      <c r="Q1777" t="s">
        <v>3051</v>
      </c>
      <c r="R1777" t="str">
        <f t="shared" si="55"/>
        <v>Sim</v>
      </c>
      <c r="S1777" t="s">
        <v>3051</v>
      </c>
      <c r="T1777" t="s">
        <v>30</v>
      </c>
      <c r="U1777" t="s">
        <v>1098</v>
      </c>
      <c r="V1777" s="3">
        <v>-671.87</v>
      </c>
      <c r="W1777" t="s">
        <v>324</v>
      </c>
      <c r="X1777" s="3">
        <v>-671.87</v>
      </c>
    </row>
    <row r="1778" spans="1:24" s="2" customFormat="1" x14ac:dyDescent="0.2">
      <c r="A1778" s="2">
        <v>1778</v>
      </c>
      <c r="B1778"/>
      <c r="C1778" t="s">
        <v>153</v>
      </c>
      <c r="D1778" t="s">
        <v>3054</v>
      </c>
      <c r="E1778" t="s">
        <v>30</v>
      </c>
      <c r="F1778" t="s">
        <v>63</v>
      </c>
      <c r="G1778" t="s">
        <v>25</v>
      </c>
      <c r="H1778" t="str">
        <f t="shared" si="54"/>
        <v xml:space="preserve">13/13 - SALÁRIO - JULYA FIGUEIREDO - COORDENADORA 13/13 | Recorrência: | Observações: </v>
      </c>
      <c r="I1778" t="s">
        <v>491</v>
      </c>
      <c r="J1778" s="5">
        <v>-4500</v>
      </c>
      <c r="K1778" s="4">
        <v>328990.58</v>
      </c>
      <c r="L1778" t="s">
        <v>2723</v>
      </c>
      <c r="M1778" s="5">
        <v>-4500</v>
      </c>
      <c r="N1778" s="3">
        <v>0</v>
      </c>
      <c r="O1778" t="s">
        <v>3053</v>
      </c>
      <c r="P1778" t="s">
        <v>2418</v>
      </c>
      <c r="Q1778" t="s">
        <v>3053</v>
      </c>
      <c r="R1778" t="str">
        <f t="shared" si="55"/>
        <v>Sim</v>
      </c>
      <c r="S1778" t="s">
        <v>3053</v>
      </c>
      <c r="T1778" t="s">
        <v>30</v>
      </c>
      <c r="U1778" t="s">
        <v>323</v>
      </c>
      <c r="V1778" s="3">
        <v>-4500</v>
      </c>
      <c r="W1778" t="s">
        <v>1164</v>
      </c>
      <c r="X1778" s="3">
        <v>-4500</v>
      </c>
    </row>
    <row r="1779" spans="1:24" s="2" customFormat="1" x14ac:dyDescent="0.2">
      <c r="A1779">
        <v>1779</v>
      </c>
      <c r="B1779"/>
      <c r="C1779" t="s">
        <v>153</v>
      </c>
      <c r="D1779" t="s">
        <v>3055</v>
      </c>
      <c r="E1779" t="s">
        <v>30</v>
      </c>
      <c r="F1779" t="s">
        <v>63</v>
      </c>
      <c r="G1779" t="s">
        <v>25</v>
      </c>
      <c r="H1779" t="str">
        <f t="shared" si="54"/>
        <v xml:space="preserve">12/12 - ELIANE - VALE TRANSPORTE MÊS DE FEVEREIRO 12/12 | Recorrência: | Observações: </v>
      </c>
      <c r="I1779" t="s">
        <v>491</v>
      </c>
      <c r="J1779" s="5">
        <v>-363.37</v>
      </c>
      <c r="K1779" s="4">
        <v>328627.21000000002</v>
      </c>
      <c r="L1779" t="s">
        <v>2723</v>
      </c>
      <c r="M1779" s="5">
        <v>-363.37</v>
      </c>
      <c r="N1779" s="3">
        <v>0</v>
      </c>
      <c r="O1779" t="s">
        <v>3053</v>
      </c>
      <c r="P1779" t="s">
        <v>2578</v>
      </c>
      <c r="Q1779" t="s">
        <v>3053</v>
      </c>
      <c r="R1779" t="str">
        <f t="shared" si="55"/>
        <v>Sim</v>
      </c>
      <c r="S1779" t="s">
        <v>3053</v>
      </c>
      <c r="T1779" t="s">
        <v>30</v>
      </c>
      <c r="U1779" t="s">
        <v>662</v>
      </c>
      <c r="V1779" s="3">
        <v>-363.37</v>
      </c>
      <c r="W1779" t="s">
        <v>698</v>
      </c>
      <c r="X1779" s="3">
        <v>-363.37</v>
      </c>
    </row>
    <row r="1780" spans="1:24" s="2" customFormat="1" x14ac:dyDescent="0.2">
      <c r="A1780" s="2">
        <v>1780</v>
      </c>
      <c r="B1780"/>
      <c r="C1780" t="s">
        <v>828</v>
      </c>
      <c r="D1780" t="s">
        <v>830</v>
      </c>
      <c r="E1780" t="s">
        <v>3057</v>
      </c>
      <c r="F1780" t="s">
        <v>63</v>
      </c>
      <c r="G1780" t="s">
        <v>25</v>
      </c>
      <c r="H1780" t="str">
        <f t="shared" si="54"/>
        <v xml:space="preserve">PREFEITURA DO MUNICIPIO DE BERTIOGA | Recorrência:34/41 | Observações: REF.02 PAGAMENTOS </v>
      </c>
      <c r="I1780" t="s">
        <v>26</v>
      </c>
      <c r="J1780" s="5">
        <v>-228.16</v>
      </c>
      <c r="K1780" s="4">
        <v>328399.05</v>
      </c>
      <c r="L1780" t="s">
        <v>2723</v>
      </c>
      <c r="M1780" s="5">
        <v>-228.16</v>
      </c>
      <c r="N1780" s="3">
        <v>0</v>
      </c>
      <c r="O1780" t="s">
        <v>3056</v>
      </c>
      <c r="P1780" t="s">
        <v>3058</v>
      </c>
      <c r="Q1780" t="s">
        <v>3056</v>
      </c>
      <c r="R1780" t="str">
        <f t="shared" si="55"/>
        <v>Sim</v>
      </c>
      <c r="S1780" t="s">
        <v>3056</v>
      </c>
      <c r="T1780" t="s">
        <v>831</v>
      </c>
      <c r="U1780" t="s">
        <v>832</v>
      </c>
      <c r="V1780" s="3">
        <v>-228.16</v>
      </c>
    </row>
    <row r="1781" spans="1:24" s="2" customFormat="1" x14ac:dyDescent="0.2">
      <c r="A1781">
        <v>1781</v>
      </c>
      <c r="B1781"/>
      <c r="C1781" t="s">
        <v>153</v>
      </c>
      <c r="D1781" t="s">
        <v>3060</v>
      </c>
      <c r="E1781" t="s">
        <v>30</v>
      </c>
      <c r="F1781" t="s">
        <v>63</v>
      </c>
      <c r="G1781" t="s">
        <v>25</v>
      </c>
      <c r="H1781" t="str">
        <f t="shared" si="54"/>
        <v xml:space="preserve">11/11 - SALÁRIO - MANU_ESTAGIÁRIA  11/11 | Recorrência: | Observações: </v>
      </c>
      <c r="I1781" t="s">
        <v>491</v>
      </c>
      <c r="J1781" s="5">
        <v>-960</v>
      </c>
      <c r="K1781" s="4">
        <v>327439.05</v>
      </c>
      <c r="L1781" t="s">
        <v>2723</v>
      </c>
      <c r="M1781" s="5">
        <v>-960</v>
      </c>
      <c r="N1781" s="3">
        <v>0</v>
      </c>
      <c r="O1781" t="s">
        <v>3059</v>
      </c>
      <c r="P1781" t="s">
        <v>2658</v>
      </c>
      <c r="Q1781" t="s">
        <v>3059</v>
      </c>
      <c r="R1781" t="str">
        <f t="shared" si="55"/>
        <v>Sim</v>
      </c>
      <c r="S1781" t="s">
        <v>3059</v>
      </c>
      <c r="T1781" t="s">
        <v>30</v>
      </c>
      <c r="U1781" t="s">
        <v>323</v>
      </c>
      <c r="V1781" s="3">
        <v>-960</v>
      </c>
      <c r="W1781" t="s">
        <v>323</v>
      </c>
      <c r="X1781" s="3">
        <v>-960</v>
      </c>
    </row>
    <row r="1782" spans="1:24" s="2" customFormat="1" x14ac:dyDescent="0.2">
      <c r="A1782" s="2">
        <v>1782</v>
      </c>
      <c r="B1782" t="s">
        <v>647</v>
      </c>
      <c r="C1782" t="s">
        <v>648</v>
      </c>
      <c r="D1782" t="s">
        <v>3062</v>
      </c>
      <c r="E1782" t="s">
        <v>30</v>
      </c>
      <c r="F1782" t="s">
        <v>63</v>
      </c>
      <c r="G1782" t="s">
        <v>25</v>
      </c>
      <c r="H1782" t="str">
        <f t="shared" si="54"/>
        <v xml:space="preserve">9/11 - DARF CSLL 9/12 | Recorrência: | Observações: </v>
      </c>
      <c r="I1782" t="s">
        <v>26</v>
      </c>
      <c r="J1782" s="5">
        <v>-322.11</v>
      </c>
      <c r="K1782" s="4">
        <v>327116.94</v>
      </c>
      <c r="L1782" t="s">
        <v>2723</v>
      </c>
      <c r="M1782" s="5">
        <v>-322.11</v>
      </c>
      <c r="N1782" s="3">
        <v>0</v>
      </c>
      <c r="O1782" t="s">
        <v>3061</v>
      </c>
      <c r="P1782" t="s">
        <v>1391</v>
      </c>
      <c r="Q1782" t="s">
        <v>3061</v>
      </c>
      <c r="R1782" t="str">
        <f t="shared" si="55"/>
        <v>Sim</v>
      </c>
      <c r="S1782" t="s">
        <v>3061</v>
      </c>
      <c r="T1782" t="s">
        <v>30</v>
      </c>
      <c r="U1782" t="s">
        <v>728</v>
      </c>
      <c r="V1782" s="3">
        <v>-322.11</v>
      </c>
      <c r="W1782" t="s">
        <v>1115</v>
      </c>
      <c r="X1782" s="3">
        <v>-322.11</v>
      </c>
    </row>
    <row r="1783" spans="1:24" s="2" customFormat="1" x14ac:dyDescent="0.2">
      <c r="A1783">
        <v>1783</v>
      </c>
      <c r="B1783" t="s">
        <v>647</v>
      </c>
      <c r="C1783" t="s">
        <v>648</v>
      </c>
      <c r="D1783" t="s">
        <v>3063</v>
      </c>
      <c r="E1783" t="s">
        <v>30</v>
      </c>
      <c r="F1783" t="s">
        <v>63</v>
      </c>
      <c r="G1783" t="s">
        <v>25</v>
      </c>
      <c r="H1783" t="str">
        <f t="shared" si="54"/>
        <v xml:space="preserve">9/12 - DARF IRPJ 9/12 | Recorrência: | Observações: </v>
      </c>
      <c r="I1783" t="s">
        <v>26</v>
      </c>
      <c r="J1783" s="5">
        <v>-963.67</v>
      </c>
      <c r="K1783" s="4">
        <v>326153.27</v>
      </c>
      <c r="L1783" t="s">
        <v>2723</v>
      </c>
      <c r="M1783" s="5">
        <v>-963.67</v>
      </c>
      <c r="N1783" s="3">
        <v>0</v>
      </c>
      <c r="O1783" t="s">
        <v>3061</v>
      </c>
      <c r="P1783" t="s">
        <v>1392</v>
      </c>
      <c r="Q1783" t="s">
        <v>3061</v>
      </c>
      <c r="R1783" t="str">
        <f t="shared" si="55"/>
        <v>Sim</v>
      </c>
      <c r="S1783" t="s">
        <v>3061</v>
      </c>
      <c r="T1783" t="s">
        <v>30</v>
      </c>
      <c r="U1783" t="s">
        <v>1508</v>
      </c>
      <c r="V1783" s="3">
        <v>-963.67</v>
      </c>
      <c r="W1783" t="s">
        <v>1115</v>
      </c>
      <c r="X1783" s="3">
        <v>-963.67</v>
      </c>
    </row>
    <row r="1784" spans="1:24" s="2" customFormat="1" x14ac:dyDescent="0.2">
      <c r="A1784" s="2">
        <v>1784</v>
      </c>
      <c r="B1784" t="s">
        <v>647</v>
      </c>
      <c r="C1784" t="s">
        <v>648</v>
      </c>
      <c r="D1784" t="s">
        <v>3065</v>
      </c>
      <c r="E1784" t="s">
        <v>30</v>
      </c>
      <c r="F1784" t="s">
        <v>63</v>
      </c>
      <c r="G1784" t="s">
        <v>25</v>
      </c>
      <c r="H1784" t="str">
        <f t="shared" si="54"/>
        <v xml:space="preserve">26/35 - DARF ISS 26/36 | Recorrência: | Observações: </v>
      </c>
      <c r="I1784" t="s">
        <v>26</v>
      </c>
      <c r="J1784" s="5">
        <v>-671.87</v>
      </c>
      <c r="K1784" s="4">
        <v>325481.40000000002</v>
      </c>
      <c r="L1784" t="s">
        <v>2723</v>
      </c>
      <c r="M1784" s="5">
        <v>-671.87</v>
      </c>
      <c r="N1784" s="3">
        <v>0</v>
      </c>
      <c r="O1784" t="s">
        <v>3064</v>
      </c>
      <c r="P1784" t="s">
        <v>1474</v>
      </c>
      <c r="Q1784" t="s">
        <v>3064</v>
      </c>
      <c r="R1784" t="str">
        <f t="shared" si="55"/>
        <v>Sim</v>
      </c>
      <c r="S1784" t="s">
        <v>3064</v>
      </c>
      <c r="T1784" t="s">
        <v>30</v>
      </c>
      <c r="U1784" t="s">
        <v>1098</v>
      </c>
      <c r="V1784" s="3">
        <v>-671.87</v>
      </c>
      <c r="W1784" t="s">
        <v>324</v>
      </c>
      <c r="X1784" s="3">
        <v>-671.87</v>
      </c>
    </row>
    <row r="1785" spans="1:24" s="2" customFormat="1" x14ac:dyDescent="0.2">
      <c r="A1785">
        <v>1785</v>
      </c>
      <c r="B1785"/>
      <c r="C1785" t="s">
        <v>828</v>
      </c>
      <c r="D1785" t="s">
        <v>830</v>
      </c>
      <c r="E1785" t="s">
        <v>3067</v>
      </c>
      <c r="F1785" t="s">
        <v>63</v>
      </c>
      <c r="G1785" t="s">
        <v>25</v>
      </c>
      <c r="H1785" t="str">
        <f t="shared" si="54"/>
        <v xml:space="preserve">PREFEITURA DO MUNICIPIO DE BERTIOGA | Recorrência:35/41 | Observações: REF.02 PAGAMENTOS </v>
      </c>
      <c r="I1785" t="s">
        <v>26</v>
      </c>
      <c r="J1785" s="5">
        <v>-228.16</v>
      </c>
      <c r="K1785" s="4">
        <v>325253.24</v>
      </c>
      <c r="L1785" t="s">
        <v>2723</v>
      </c>
      <c r="M1785" s="5">
        <v>-228.16</v>
      </c>
      <c r="N1785" s="3">
        <v>0</v>
      </c>
      <c r="O1785" t="s">
        <v>3066</v>
      </c>
      <c r="P1785" t="s">
        <v>3068</v>
      </c>
      <c r="Q1785" t="s">
        <v>3066</v>
      </c>
      <c r="R1785" t="str">
        <f t="shared" si="55"/>
        <v>Sim</v>
      </c>
      <c r="S1785" t="s">
        <v>3066</v>
      </c>
      <c r="T1785" t="s">
        <v>831</v>
      </c>
      <c r="U1785" t="s">
        <v>832</v>
      </c>
      <c r="V1785" s="3">
        <v>-228.16</v>
      </c>
    </row>
    <row r="1786" spans="1:24" s="2" customFormat="1" x14ac:dyDescent="0.2">
      <c r="A1786" s="2">
        <v>1786</v>
      </c>
      <c r="B1786" t="s">
        <v>647</v>
      </c>
      <c r="C1786" t="s">
        <v>648</v>
      </c>
      <c r="D1786" t="s">
        <v>3070</v>
      </c>
      <c r="E1786" t="s">
        <v>30</v>
      </c>
      <c r="F1786" t="s">
        <v>63</v>
      </c>
      <c r="G1786" t="s">
        <v>25</v>
      </c>
      <c r="H1786" t="str">
        <f t="shared" si="54"/>
        <v xml:space="preserve">27/35 - DARF ISS 27/36 | Recorrência: | Observações: </v>
      </c>
      <c r="I1786" t="s">
        <v>26</v>
      </c>
      <c r="J1786" s="5">
        <v>-671.87</v>
      </c>
      <c r="K1786" s="4">
        <v>324581.37</v>
      </c>
      <c r="L1786" t="s">
        <v>2723</v>
      </c>
      <c r="M1786" s="5">
        <v>-671.87</v>
      </c>
      <c r="N1786" s="3">
        <v>0</v>
      </c>
      <c r="O1786" t="s">
        <v>3069</v>
      </c>
      <c r="P1786" t="s">
        <v>1474</v>
      </c>
      <c r="Q1786" t="s">
        <v>3069</v>
      </c>
      <c r="R1786" t="str">
        <f t="shared" si="55"/>
        <v>Sim</v>
      </c>
      <c r="S1786" t="s">
        <v>3069</v>
      </c>
      <c r="T1786" t="s">
        <v>30</v>
      </c>
      <c r="U1786" t="s">
        <v>1098</v>
      </c>
      <c r="V1786" s="3">
        <v>-671.87</v>
      </c>
      <c r="W1786" t="s">
        <v>324</v>
      </c>
      <c r="X1786" s="3">
        <v>-671.87</v>
      </c>
    </row>
    <row r="1787" spans="1:24" s="2" customFormat="1" x14ac:dyDescent="0.2">
      <c r="A1787">
        <v>1787</v>
      </c>
      <c r="B1787"/>
      <c r="C1787" t="s">
        <v>828</v>
      </c>
      <c r="D1787" t="s">
        <v>830</v>
      </c>
      <c r="E1787" t="s">
        <v>3072</v>
      </c>
      <c r="F1787" t="s">
        <v>63</v>
      </c>
      <c r="G1787" t="s">
        <v>25</v>
      </c>
      <c r="H1787" t="str">
        <f t="shared" si="54"/>
        <v xml:space="preserve">PREFEITURA DO MUNICIPIO DE BERTIOGA | Recorrência:36/41 | Observações: REF.02 PAGAMENTOS </v>
      </c>
      <c r="I1787" t="s">
        <v>26</v>
      </c>
      <c r="J1787" s="5">
        <v>-228.16</v>
      </c>
      <c r="K1787" s="4">
        <v>324353.21000000002</v>
      </c>
      <c r="L1787" t="s">
        <v>2723</v>
      </c>
      <c r="M1787" s="5">
        <v>-228.16</v>
      </c>
      <c r="N1787" s="3">
        <v>0</v>
      </c>
      <c r="O1787" t="s">
        <v>3071</v>
      </c>
      <c r="P1787" t="s">
        <v>3073</v>
      </c>
      <c r="Q1787" t="s">
        <v>3071</v>
      </c>
      <c r="R1787" t="str">
        <f t="shared" si="55"/>
        <v>Sim</v>
      </c>
      <c r="S1787" t="s">
        <v>3071</v>
      </c>
      <c r="T1787" t="s">
        <v>831</v>
      </c>
      <c r="U1787" t="s">
        <v>832</v>
      </c>
      <c r="V1787" s="3">
        <v>-228.16</v>
      </c>
    </row>
    <row r="1788" spans="1:24" s="2" customFormat="1" x14ac:dyDescent="0.2">
      <c r="A1788" s="2">
        <v>1788</v>
      </c>
      <c r="B1788" t="s">
        <v>647</v>
      </c>
      <c r="C1788" t="s">
        <v>648</v>
      </c>
      <c r="D1788" t="s">
        <v>3075</v>
      </c>
      <c r="E1788" t="s">
        <v>30</v>
      </c>
      <c r="F1788" t="s">
        <v>63</v>
      </c>
      <c r="G1788" t="s">
        <v>25</v>
      </c>
      <c r="H1788" t="str">
        <f t="shared" si="54"/>
        <v xml:space="preserve">28/35 - DARF ISS 28/36 | Recorrência: | Observações: </v>
      </c>
      <c r="I1788" t="s">
        <v>26</v>
      </c>
      <c r="J1788" s="5">
        <v>-671.87</v>
      </c>
      <c r="K1788" s="4">
        <v>323681.34000000003</v>
      </c>
      <c r="L1788" t="s">
        <v>2723</v>
      </c>
      <c r="M1788" s="5">
        <v>-671.87</v>
      </c>
      <c r="N1788" s="3">
        <v>0</v>
      </c>
      <c r="O1788" t="s">
        <v>3074</v>
      </c>
      <c r="P1788" t="s">
        <v>1474</v>
      </c>
      <c r="Q1788" t="s">
        <v>3074</v>
      </c>
      <c r="R1788" t="str">
        <f t="shared" si="55"/>
        <v>Sim</v>
      </c>
      <c r="S1788" t="s">
        <v>3074</v>
      </c>
      <c r="T1788" t="s">
        <v>30</v>
      </c>
      <c r="U1788" t="s">
        <v>1098</v>
      </c>
      <c r="V1788" s="3">
        <v>-671.87</v>
      </c>
      <c r="W1788" t="s">
        <v>324</v>
      </c>
      <c r="X1788" s="3">
        <v>-671.87</v>
      </c>
    </row>
    <row r="1789" spans="1:24" s="2" customFormat="1" x14ac:dyDescent="0.2">
      <c r="A1789">
        <v>1789</v>
      </c>
      <c r="B1789"/>
      <c r="C1789" t="s">
        <v>828</v>
      </c>
      <c r="D1789" t="s">
        <v>830</v>
      </c>
      <c r="E1789" t="s">
        <v>3077</v>
      </c>
      <c r="F1789" t="s">
        <v>63</v>
      </c>
      <c r="G1789" t="s">
        <v>25</v>
      </c>
      <c r="H1789" t="str">
        <f t="shared" si="54"/>
        <v xml:space="preserve">PREFEITURA DO MUNICIPIO DE BERTIOGA | Recorrência:37/41 | Observações: REF.02 PAGAMENTOS </v>
      </c>
      <c r="I1789" t="s">
        <v>26</v>
      </c>
      <c r="J1789" s="5">
        <v>-228.16</v>
      </c>
      <c r="K1789" s="4">
        <v>323453.18</v>
      </c>
      <c r="L1789" t="s">
        <v>2723</v>
      </c>
      <c r="M1789" s="5">
        <v>-228.16</v>
      </c>
      <c r="N1789" s="3">
        <v>0</v>
      </c>
      <c r="O1789" t="s">
        <v>3076</v>
      </c>
      <c r="P1789" t="s">
        <v>3078</v>
      </c>
      <c r="Q1789" t="s">
        <v>3076</v>
      </c>
      <c r="R1789" t="str">
        <f t="shared" si="55"/>
        <v>Sim</v>
      </c>
      <c r="S1789" t="s">
        <v>3076</v>
      </c>
      <c r="T1789" t="s">
        <v>831</v>
      </c>
      <c r="U1789" t="s">
        <v>832</v>
      </c>
      <c r="V1789" s="3">
        <v>-228.16</v>
      </c>
    </row>
    <row r="1790" spans="1:24" s="2" customFormat="1" x14ac:dyDescent="0.2">
      <c r="A1790" s="2">
        <v>1790</v>
      </c>
      <c r="B1790" t="s">
        <v>647</v>
      </c>
      <c r="C1790" t="s">
        <v>648</v>
      </c>
      <c r="D1790" t="s">
        <v>3080</v>
      </c>
      <c r="E1790" t="s">
        <v>30</v>
      </c>
      <c r="F1790" t="s">
        <v>63</v>
      </c>
      <c r="G1790" t="s">
        <v>25</v>
      </c>
      <c r="H1790" t="str">
        <f t="shared" si="54"/>
        <v xml:space="preserve">10/11 - DARF CSLL 10/12 | Recorrência: | Observações: </v>
      </c>
      <c r="I1790" t="s">
        <v>26</v>
      </c>
      <c r="J1790" s="5">
        <v>-322.11</v>
      </c>
      <c r="K1790" s="4">
        <v>323131.07</v>
      </c>
      <c r="L1790" t="s">
        <v>2723</v>
      </c>
      <c r="M1790" s="5">
        <v>-322.11</v>
      </c>
      <c r="N1790" s="3">
        <v>0</v>
      </c>
      <c r="O1790" t="s">
        <v>3079</v>
      </c>
      <c r="P1790" t="s">
        <v>1391</v>
      </c>
      <c r="Q1790" t="s">
        <v>3079</v>
      </c>
      <c r="R1790" t="str">
        <f t="shared" si="55"/>
        <v>Sim</v>
      </c>
      <c r="S1790" t="s">
        <v>3079</v>
      </c>
      <c r="T1790" t="s">
        <v>30</v>
      </c>
      <c r="U1790" t="s">
        <v>728</v>
      </c>
      <c r="V1790" s="3">
        <v>-322.11</v>
      </c>
      <c r="W1790" t="s">
        <v>1115</v>
      </c>
      <c r="X1790" s="3">
        <v>-322.11</v>
      </c>
    </row>
    <row r="1791" spans="1:24" s="2" customFormat="1" x14ac:dyDescent="0.2">
      <c r="A1791">
        <v>1791</v>
      </c>
      <c r="B1791" t="s">
        <v>647</v>
      </c>
      <c r="C1791" t="s">
        <v>648</v>
      </c>
      <c r="D1791" t="s">
        <v>3081</v>
      </c>
      <c r="E1791" t="s">
        <v>30</v>
      </c>
      <c r="F1791" t="s">
        <v>63</v>
      </c>
      <c r="G1791" t="s">
        <v>25</v>
      </c>
      <c r="H1791" t="str">
        <f t="shared" si="54"/>
        <v xml:space="preserve">10/12 - DARF IRPJ 10/12 | Recorrência: | Observações: </v>
      </c>
      <c r="I1791" t="s">
        <v>26</v>
      </c>
      <c r="J1791" s="5">
        <v>-963.67</v>
      </c>
      <c r="K1791" s="4">
        <v>322167.40000000002</v>
      </c>
      <c r="L1791" t="s">
        <v>2723</v>
      </c>
      <c r="M1791" s="5">
        <v>-963.67</v>
      </c>
      <c r="N1791" s="3">
        <v>0</v>
      </c>
      <c r="O1791" t="s">
        <v>3079</v>
      </c>
      <c r="P1791" t="s">
        <v>1392</v>
      </c>
      <c r="Q1791" t="s">
        <v>3079</v>
      </c>
      <c r="R1791" t="str">
        <f t="shared" si="55"/>
        <v>Sim</v>
      </c>
      <c r="S1791" t="s">
        <v>3079</v>
      </c>
      <c r="T1791" t="s">
        <v>30</v>
      </c>
      <c r="U1791" t="s">
        <v>1508</v>
      </c>
      <c r="V1791" s="3">
        <v>-963.67</v>
      </c>
      <c r="W1791" t="s">
        <v>1115</v>
      </c>
      <c r="X1791" s="3">
        <v>-963.67</v>
      </c>
    </row>
    <row r="1792" spans="1:24" s="2" customFormat="1" x14ac:dyDescent="0.2">
      <c r="A1792" s="2">
        <v>1792</v>
      </c>
      <c r="B1792" t="s">
        <v>647</v>
      </c>
      <c r="C1792" t="s">
        <v>648</v>
      </c>
      <c r="D1792" t="s">
        <v>3083</v>
      </c>
      <c r="E1792" t="s">
        <v>30</v>
      </c>
      <c r="F1792" t="s">
        <v>63</v>
      </c>
      <c r="G1792" t="s">
        <v>25</v>
      </c>
      <c r="H1792" t="str">
        <f t="shared" si="54"/>
        <v xml:space="preserve">29/35 - DARF ISS 29/36 | Recorrência: | Observações: </v>
      </c>
      <c r="I1792" t="s">
        <v>26</v>
      </c>
      <c r="J1792" s="5">
        <v>-671.87</v>
      </c>
      <c r="K1792" s="4">
        <v>321495.53000000003</v>
      </c>
      <c r="L1792" t="s">
        <v>2723</v>
      </c>
      <c r="M1792" s="5">
        <v>-671.87</v>
      </c>
      <c r="N1792" s="3">
        <v>0</v>
      </c>
      <c r="O1792" t="s">
        <v>3082</v>
      </c>
      <c r="P1792" t="s">
        <v>1474</v>
      </c>
      <c r="Q1792" t="s">
        <v>3082</v>
      </c>
      <c r="R1792" t="str">
        <f t="shared" si="55"/>
        <v>Sim</v>
      </c>
      <c r="S1792" t="s">
        <v>3082</v>
      </c>
      <c r="T1792" t="s">
        <v>30</v>
      </c>
      <c r="U1792" t="s">
        <v>1098</v>
      </c>
      <c r="V1792" s="3">
        <v>-671.87</v>
      </c>
      <c r="W1792" t="s">
        <v>324</v>
      </c>
      <c r="X1792" s="3">
        <v>-671.87</v>
      </c>
    </row>
    <row r="1793" spans="1:24" s="2" customFormat="1" x14ac:dyDescent="0.2">
      <c r="A1793">
        <v>1793</v>
      </c>
      <c r="B1793"/>
      <c r="C1793" t="s">
        <v>828</v>
      </c>
      <c r="D1793" t="s">
        <v>830</v>
      </c>
      <c r="E1793" t="s">
        <v>3085</v>
      </c>
      <c r="F1793" t="s">
        <v>63</v>
      </c>
      <c r="G1793" t="s">
        <v>25</v>
      </c>
      <c r="H1793" t="str">
        <f t="shared" si="54"/>
        <v xml:space="preserve">PREFEITURA DO MUNICIPIO DE BERTIOGA | Recorrência:38/41 | Observações: REF.02 PAGAMENTOS </v>
      </c>
      <c r="I1793" t="s">
        <v>26</v>
      </c>
      <c r="J1793" s="5">
        <v>-228.16</v>
      </c>
      <c r="K1793" s="4">
        <v>321267.37</v>
      </c>
      <c r="L1793" t="s">
        <v>2723</v>
      </c>
      <c r="M1793" s="5">
        <v>-228.16</v>
      </c>
      <c r="N1793" s="3">
        <v>0</v>
      </c>
      <c r="O1793" t="s">
        <v>3084</v>
      </c>
      <c r="P1793" t="s">
        <v>3086</v>
      </c>
      <c r="Q1793" t="s">
        <v>3084</v>
      </c>
      <c r="R1793" t="str">
        <f t="shared" si="55"/>
        <v>Sim</v>
      </c>
      <c r="S1793" t="s">
        <v>3084</v>
      </c>
      <c r="T1793" t="s">
        <v>831</v>
      </c>
      <c r="U1793" t="s">
        <v>832</v>
      </c>
      <c r="V1793" s="3">
        <v>-228.16</v>
      </c>
    </row>
    <row r="1794" spans="1:24" s="2" customFormat="1" x14ac:dyDescent="0.2">
      <c r="A1794" s="2">
        <v>1794</v>
      </c>
      <c r="B1794" t="s">
        <v>647</v>
      </c>
      <c r="C1794" t="s">
        <v>648</v>
      </c>
      <c r="D1794" t="s">
        <v>3088</v>
      </c>
      <c r="E1794" t="s">
        <v>30</v>
      </c>
      <c r="F1794" t="s">
        <v>63</v>
      </c>
      <c r="G1794" t="s">
        <v>25</v>
      </c>
      <c r="H1794" t="str">
        <f t="shared" si="54"/>
        <v xml:space="preserve">30/35 - DARF ISS 30/36 | Recorrência: | Observações: </v>
      </c>
      <c r="I1794" t="s">
        <v>26</v>
      </c>
      <c r="J1794" s="5">
        <v>-671.87</v>
      </c>
      <c r="K1794" s="4">
        <v>320595.5</v>
      </c>
      <c r="L1794" t="s">
        <v>2723</v>
      </c>
      <c r="M1794" s="5">
        <v>-671.87</v>
      </c>
      <c r="N1794" s="3">
        <v>0</v>
      </c>
      <c r="O1794" t="s">
        <v>3087</v>
      </c>
      <c r="P1794" t="s">
        <v>1474</v>
      </c>
      <c r="Q1794" t="s">
        <v>3087</v>
      </c>
      <c r="R1794" t="str">
        <f t="shared" si="55"/>
        <v>Sim</v>
      </c>
      <c r="S1794" t="s">
        <v>3087</v>
      </c>
      <c r="T1794" t="s">
        <v>30</v>
      </c>
      <c r="U1794" t="s">
        <v>1098</v>
      </c>
      <c r="V1794" s="3">
        <v>-671.87</v>
      </c>
      <c r="W1794" t="s">
        <v>324</v>
      </c>
      <c r="X1794" s="3">
        <v>-671.87</v>
      </c>
    </row>
    <row r="1795" spans="1:24" s="2" customFormat="1" x14ac:dyDescent="0.2">
      <c r="A1795">
        <v>1795</v>
      </c>
      <c r="B1795"/>
      <c r="C1795" t="s">
        <v>828</v>
      </c>
      <c r="D1795" t="s">
        <v>830</v>
      </c>
      <c r="E1795" t="s">
        <v>3090</v>
      </c>
      <c r="F1795" t="s">
        <v>63</v>
      </c>
      <c r="G1795" t="s">
        <v>25</v>
      </c>
      <c r="H1795" t="str">
        <f t="shared" ref="H1795:H1807" si="56">D1795&amp;" | "&amp;$E$1&amp;E1795&amp;" | Observações: "&amp;T1795</f>
        <v xml:space="preserve">PREFEITURA DO MUNICIPIO DE BERTIOGA | Recorrência:39/41 | Observações: REF.02 PAGAMENTOS </v>
      </c>
      <c r="I1795" t="s">
        <v>26</v>
      </c>
      <c r="J1795" s="5">
        <v>-228.16</v>
      </c>
      <c r="K1795" s="4">
        <v>320367.34000000003</v>
      </c>
      <c r="L1795" t="s">
        <v>2723</v>
      </c>
      <c r="M1795" s="5">
        <v>-228.16</v>
      </c>
      <c r="N1795" s="3">
        <v>0</v>
      </c>
      <c r="O1795" t="s">
        <v>3089</v>
      </c>
      <c r="P1795" t="s">
        <v>3091</v>
      </c>
      <c r="Q1795" t="s">
        <v>3089</v>
      </c>
      <c r="R1795" t="str">
        <f t="shared" ref="R1795:R1807" si="57">IF(Q1795=S1795,"Sim","nao")</f>
        <v>Sim</v>
      </c>
      <c r="S1795" t="s">
        <v>3089</v>
      </c>
      <c r="T1795" t="s">
        <v>831</v>
      </c>
      <c r="U1795" t="s">
        <v>832</v>
      </c>
      <c r="V1795" s="3">
        <v>-228.16</v>
      </c>
    </row>
    <row r="1796" spans="1:24" s="2" customFormat="1" x14ac:dyDescent="0.2">
      <c r="A1796" s="2">
        <v>1796</v>
      </c>
      <c r="B1796" t="s">
        <v>647</v>
      </c>
      <c r="C1796" t="s">
        <v>648</v>
      </c>
      <c r="D1796" t="s">
        <v>3093</v>
      </c>
      <c r="E1796" t="s">
        <v>30</v>
      </c>
      <c r="F1796" t="s">
        <v>63</v>
      </c>
      <c r="G1796" t="s">
        <v>25</v>
      </c>
      <c r="H1796" t="str">
        <f t="shared" si="56"/>
        <v xml:space="preserve">31/35 - DARF ISS 31/36 | Recorrência: | Observações: </v>
      </c>
      <c r="I1796" t="s">
        <v>26</v>
      </c>
      <c r="J1796" s="5">
        <v>-671.87</v>
      </c>
      <c r="K1796" s="4">
        <v>319695.46999999997</v>
      </c>
      <c r="L1796" t="s">
        <v>2723</v>
      </c>
      <c r="M1796" s="5">
        <v>-671.87</v>
      </c>
      <c r="N1796" s="3">
        <v>0</v>
      </c>
      <c r="O1796" t="s">
        <v>3092</v>
      </c>
      <c r="P1796" t="s">
        <v>1474</v>
      </c>
      <c r="Q1796" t="s">
        <v>3092</v>
      </c>
      <c r="R1796" t="str">
        <f t="shared" si="57"/>
        <v>Sim</v>
      </c>
      <c r="S1796" t="s">
        <v>3092</v>
      </c>
      <c r="T1796" t="s">
        <v>30</v>
      </c>
      <c r="U1796" t="s">
        <v>1098</v>
      </c>
      <c r="V1796" s="3">
        <v>-671.87</v>
      </c>
      <c r="W1796" t="s">
        <v>324</v>
      </c>
      <c r="X1796" s="3">
        <v>-671.87</v>
      </c>
    </row>
    <row r="1797" spans="1:24" s="2" customFormat="1" x14ac:dyDescent="0.2">
      <c r="A1797">
        <v>1797</v>
      </c>
      <c r="B1797"/>
      <c r="C1797" t="s">
        <v>828</v>
      </c>
      <c r="D1797" t="s">
        <v>830</v>
      </c>
      <c r="E1797" t="s">
        <v>3095</v>
      </c>
      <c r="F1797" t="s">
        <v>63</v>
      </c>
      <c r="G1797" t="s">
        <v>25</v>
      </c>
      <c r="H1797" t="str">
        <f t="shared" si="56"/>
        <v xml:space="preserve">PREFEITURA DO MUNICIPIO DE BERTIOGA | Recorrência:40/41 | Observações: REF.02 PAGAMENTOS </v>
      </c>
      <c r="I1797" t="s">
        <v>26</v>
      </c>
      <c r="J1797" s="5">
        <v>-228.16</v>
      </c>
      <c r="K1797" s="4">
        <v>319467.31</v>
      </c>
      <c r="L1797" t="s">
        <v>2723</v>
      </c>
      <c r="M1797" s="5">
        <v>-228.16</v>
      </c>
      <c r="N1797" s="3">
        <v>0</v>
      </c>
      <c r="O1797" t="s">
        <v>3094</v>
      </c>
      <c r="P1797" t="s">
        <v>3096</v>
      </c>
      <c r="Q1797" t="s">
        <v>3094</v>
      </c>
      <c r="R1797" t="str">
        <f t="shared" si="57"/>
        <v>Sim</v>
      </c>
      <c r="S1797" t="s">
        <v>3094</v>
      </c>
      <c r="T1797" t="s">
        <v>831</v>
      </c>
      <c r="U1797" t="s">
        <v>832</v>
      </c>
      <c r="V1797" s="3">
        <v>-228.16</v>
      </c>
    </row>
    <row r="1798" spans="1:24" s="2" customFormat="1" x14ac:dyDescent="0.2">
      <c r="A1798" s="2">
        <v>1798</v>
      </c>
      <c r="B1798" t="s">
        <v>647</v>
      </c>
      <c r="C1798" t="s">
        <v>648</v>
      </c>
      <c r="D1798" t="s">
        <v>3098</v>
      </c>
      <c r="E1798" t="s">
        <v>30</v>
      </c>
      <c r="F1798" t="s">
        <v>63</v>
      </c>
      <c r="G1798" t="s">
        <v>25</v>
      </c>
      <c r="H1798" t="str">
        <f t="shared" si="56"/>
        <v xml:space="preserve">11/11 - DARF CSLL 11/12 | Recorrência: | Observações: </v>
      </c>
      <c r="I1798" t="s">
        <v>26</v>
      </c>
      <c r="J1798" s="5">
        <v>-322.11</v>
      </c>
      <c r="K1798" s="4">
        <v>319145.2</v>
      </c>
      <c r="L1798" t="s">
        <v>2723</v>
      </c>
      <c r="M1798" s="5">
        <v>-322.11</v>
      </c>
      <c r="N1798" s="3">
        <v>0</v>
      </c>
      <c r="O1798" t="s">
        <v>3097</v>
      </c>
      <c r="P1798" t="s">
        <v>1391</v>
      </c>
      <c r="Q1798" t="s">
        <v>3097</v>
      </c>
      <c r="R1798" t="str">
        <f t="shared" si="57"/>
        <v>Sim</v>
      </c>
      <c r="S1798" t="s">
        <v>3097</v>
      </c>
      <c r="T1798" t="s">
        <v>30</v>
      </c>
      <c r="U1798" t="s">
        <v>728</v>
      </c>
      <c r="V1798" s="3">
        <v>-322.11</v>
      </c>
      <c r="W1798" t="s">
        <v>1115</v>
      </c>
      <c r="X1798" s="3">
        <v>-322.11</v>
      </c>
    </row>
    <row r="1799" spans="1:24" s="2" customFormat="1" x14ac:dyDescent="0.2">
      <c r="A1799">
        <v>1799</v>
      </c>
      <c r="B1799" t="s">
        <v>647</v>
      </c>
      <c r="C1799" t="s">
        <v>648</v>
      </c>
      <c r="D1799" t="s">
        <v>3099</v>
      </c>
      <c r="E1799" t="s">
        <v>30</v>
      </c>
      <c r="F1799" t="s">
        <v>63</v>
      </c>
      <c r="G1799" t="s">
        <v>25</v>
      </c>
      <c r="H1799" t="str">
        <f t="shared" si="56"/>
        <v xml:space="preserve">11/12 - DARF IRPJ 11/12 | Recorrência: | Observações: </v>
      </c>
      <c r="I1799" t="s">
        <v>26</v>
      </c>
      <c r="J1799" s="5">
        <v>-963.67</v>
      </c>
      <c r="K1799" s="4">
        <v>318181.53000000003</v>
      </c>
      <c r="L1799" t="s">
        <v>2723</v>
      </c>
      <c r="M1799" s="5">
        <v>-963.67</v>
      </c>
      <c r="N1799" s="3">
        <v>0</v>
      </c>
      <c r="O1799" t="s">
        <v>3097</v>
      </c>
      <c r="P1799" t="s">
        <v>1392</v>
      </c>
      <c r="Q1799" t="s">
        <v>3097</v>
      </c>
      <c r="R1799" t="str">
        <f t="shared" si="57"/>
        <v>Sim</v>
      </c>
      <c r="S1799" t="s">
        <v>3097</v>
      </c>
      <c r="T1799" t="s">
        <v>30</v>
      </c>
      <c r="U1799" t="s">
        <v>1508</v>
      </c>
      <c r="V1799" s="3">
        <v>-963.67</v>
      </c>
      <c r="W1799" t="s">
        <v>1115</v>
      </c>
      <c r="X1799" s="3">
        <v>-963.67</v>
      </c>
    </row>
    <row r="1800" spans="1:24" s="2" customFormat="1" x14ac:dyDescent="0.2">
      <c r="A1800" s="2">
        <v>1800</v>
      </c>
      <c r="B1800" t="s">
        <v>647</v>
      </c>
      <c r="C1800" t="s">
        <v>648</v>
      </c>
      <c r="D1800" t="s">
        <v>3101</v>
      </c>
      <c r="E1800" t="s">
        <v>30</v>
      </c>
      <c r="F1800" t="s">
        <v>63</v>
      </c>
      <c r="G1800" t="s">
        <v>25</v>
      </c>
      <c r="H1800" t="str">
        <f t="shared" si="56"/>
        <v xml:space="preserve">32/35 - DARF ISS 32/36 | Recorrência: | Observações: </v>
      </c>
      <c r="I1800" t="s">
        <v>26</v>
      </c>
      <c r="J1800" s="5">
        <v>-671.87</v>
      </c>
      <c r="K1800" s="4">
        <v>317509.65999999997</v>
      </c>
      <c r="L1800" t="s">
        <v>2723</v>
      </c>
      <c r="M1800" s="5">
        <v>-671.87</v>
      </c>
      <c r="N1800" s="3">
        <v>0</v>
      </c>
      <c r="O1800" t="s">
        <v>3100</v>
      </c>
      <c r="P1800" t="s">
        <v>1474</v>
      </c>
      <c r="Q1800" t="s">
        <v>3100</v>
      </c>
      <c r="R1800" t="str">
        <f t="shared" si="57"/>
        <v>Sim</v>
      </c>
      <c r="S1800" t="s">
        <v>3100</v>
      </c>
      <c r="T1800" t="s">
        <v>30</v>
      </c>
      <c r="U1800" t="s">
        <v>1098</v>
      </c>
      <c r="V1800" s="3">
        <v>-671.87</v>
      </c>
      <c r="W1800" t="s">
        <v>324</v>
      </c>
      <c r="X1800" s="3">
        <v>-671.87</v>
      </c>
    </row>
    <row r="1801" spans="1:24" s="2" customFormat="1" x14ac:dyDescent="0.2">
      <c r="A1801">
        <v>1801</v>
      </c>
      <c r="B1801"/>
      <c r="C1801" t="s">
        <v>828</v>
      </c>
      <c r="D1801" t="s">
        <v>830</v>
      </c>
      <c r="E1801" t="s">
        <v>3103</v>
      </c>
      <c r="F1801" t="s">
        <v>63</v>
      </c>
      <c r="G1801" t="s">
        <v>25</v>
      </c>
      <c r="H1801" t="str">
        <f t="shared" si="56"/>
        <v xml:space="preserve">PREFEITURA DO MUNICIPIO DE BERTIOGA | Recorrência:41/41 | Observações: REF.02 PAGAMENTOS </v>
      </c>
      <c r="I1801" t="s">
        <v>26</v>
      </c>
      <c r="J1801" s="5">
        <v>-228.16</v>
      </c>
      <c r="K1801" s="4">
        <v>317281.5</v>
      </c>
      <c r="L1801" t="s">
        <v>2723</v>
      </c>
      <c r="M1801" s="5">
        <v>-228.16</v>
      </c>
      <c r="N1801" s="3">
        <v>0</v>
      </c>
      <c r="O1801" t="s">
        <v>3102</v>
      </c>
      <c r="P1801" t="s">
        <v>3104</v>
      </c>
      <c r="Q1801" t="s">
        <v>3102</v>
      </c>
      <c r="R1801" t="str">
        <f t="shared" si="57"/>
        <v>Sim</v>
      </c>
      <c r="S1801" t="s">
        <v>3102</v>
      </c>
      <c r="T1801" t="s">
        <v>831</v>
      </c>
      <c r="U1801" t="s">
        <v>832</v>
      </c>
      <c r="V1801" s="3">
        <v>-228.16</v>
      </c>
    </row>
    <row r="1802" spans="1:24" s="2" customFormat="1" x14ac:dyDescent="0.2">
      <c r="A1802" s="2">
        <v>1802</v>
      </c>
      <c r="B1802" t="s">
        <v>647</v>
      </c>
      <c r="C1802" t="s">
        <v>648</v>
      </c>
      <c r="D1802" t="s">
        <v>3106</v>
      </c>
      <c r="E1802" t="s">
        <v>30</v>
      </c>
      <c r="F1802" t="s">
        <v>63</v>
      </c>
      <c r="G1802" t="s">
        <v>25</v>
      </c>
      <c r="H1802" t="str">
        <f t="shared" si="56"/>
        <v xml:space="preserve">33/35 - DARF ISS 33/36 | Recorrência: | Observações: </v>
      </c>
      <c r="I1802" t="s">
        <v>26</v>
      </c>
      <c r="J1802" s="5">
        <v>-671.87</v>
      </c>
      <c r="K1802" s="4">
        <v>316609.63</v>
      </c>
      <c r="L1802" t="s">
        <v>2723</v>
      </c>
      <c r="M1802" s="5">
        <v>-671.87</v>
      </c>
      <c r="N1802" s="3">
        <v>0</v>
      </c>
      <c r="O1802" t="s">
        <v>3105</v>
      </c>
      <c r="P1802" t="s">
        <v>1474</v>
      </c>
      <c r="Q1802" t="s">
        <v>3105</v>
      </c>
      <c r="R1802" t="str">
        <f t="shared" si="57"/>
        <v>Sim</v>
      </c>
      <c r="S1802" t="s">
        <v>3105</v>
      </c>
      <c r="T1802" t="s">
        <v>30</v>
      </c>
      <c r="U1802" t="s">
        <v>1098</v>
      </c>
      <c r="V1802" s="3">
        <v>-671.87</v>
      </c>
      <c r="W1802" t="s">
        <v>324</v>
      </c>
      <c r="X1802" s="3">
        <v>-671.87</v>
      </c>
    </row>
    <row r="1803" spans="1:24" s="2" customFormat="1" x14ac:dyDescent="0.2">
      <c r="A1803">
        <v>1803</v>
      </c>
      <c r="B1803" t="s">
        <v>647</v>
      </c>
      <c r="C1803" t="s">
        <v>648</v>
      </c>
      <c r="D1803" t="s">
        <v>3108</v>
      </c>
      <c r="E1803" t="s">
        <v>30</v>
      </c>
      <c r="F1803" t="s">
        <v>63</v>
      </c>
      <c r="G1803" t="s">
        <v>25</v>
      </c>
      <c r="H1803" t="str">
        <f t="shared" si="56"/>
        <v xml:space="preserve">34/35 - DARF ISS 34/36 | Recorrência: | Observações: </v>
      </c>
      <c r="I1803" t="s">
        <v>26</v>
      </c>
      <c r="J1803" s="5">
        <v>-671.87</v>
      </c>
      <c r="K1803" s="4">
        <v>315937.76</v>
      </c>
      <c r="L1803" t="s">
        <v>2723</v>
      </c>
      <c r="M1803" s="5">
        <v>-671.87</v>
      </c>
      <c r="N1803" s="3">
        <v>0</v>
      </c>
      <c r="O1803" t="s">
        <v>3107</v>
      </c>
      <c r="P1803" t="s">
        <v>1474</v>
      </c>
      <c r="Q1803" t="s">
        <v>3107</v>
      </c>
      <c r="R1803" t="str">
        <f t="shared" si="57"/>
        <v>Sim</v>
      </c>
      <c r="S1803" t="s">
        <v>3107</v>
      </c>
      <c r="T1803" t="s">
        <v>30</v>
      </c>
      <c r="U1803" t="s">
        <v>1098</v>
      </c>
      <c r="V1803" s="3">
        <v>-671.87</v>
      </c>
      <c r="W1803" t="s">
        <v>324</v>
      </c>
      <c r="X1803" s="3">
        <v>-671.87</v>
      </c>
    </row>
    <row r="1804" spans="1:24" s="2" customFormat="1" x14ac:dyDescent="0.2">
      <c r="A1804" s="2">
        <v>1804</v>
      </c>
      <c r="B1804" t="s">
        <v>647</v>
      </c>
      <c r="C1804" t="s">
        <v>648</v>
      </c>
      <c r="D1804" t="s">
        <v>3110</v>
      </c>
      <c r="E1804" t="s">
        <v>30</v>
      </c>
      <c r="F1804" t="s">
        <v>63</v>
      </c>
      <c r="G1804" t="s">
        <v>25</v>
      </c>
      <c r="H1804" t="str">
        <f t="shared" si="56"/>
        <v xml:space="preserve">12/11 - DARF CSLL 12/12 | Recorrência: | Observações: </v>
      </c>
      <c r="I1804" t="s">
        <v>26</v>
      </c>
      <c r="J1804" s="5">
        <v>-322.11</v>
      </c>
      <c r="K1804" s="4">
        <v>315615.65000000002</v>
      </c>
      <c r="L1804" t="s">
        <v>2723</v>
      </c>
      <c r="M1804" s="5">
        <v>-322.11</v>
      </c>
      <c r="N1804" s="3">
        <v>0</v>
      </c>
      <c r="O1804" t="s">
        <v>3109</v>
      </c>
      <c r="P1804" t="s">
        <v>1391</v>
      </c>
      <c r="Q1804" t="s">
        <v>3109</v>
      </c>
      <c r="R1804" t="str">
        <f t="shared" si="57"/>
        <v>Sim</v>
      </c>
      <c r="S1804" t="s">
        <v>3109</v>
      </c>
      <c r="T1804" t="s">
        <v>30</v>
      </c>
      <c r="U1804" t="s">
        <v>728</v>
      </c>
      <c r="V1804" s="3">
        <v>-322.11</v>
      </c>
      <c r="W1804" t="s">
        <v>1115</v>
      </c>
      <c r="X1804" s="3">
        <v>-322.11</v>
      </c>
    </row>
    <row r="1805" spans="1:24" s="2" customFormat="1" x14ac:dyDescent="0.2">
      <c r="A1805">
        <v>1805</v>
      </c>
      <c r="B1805" t="s">
        <v>647</v>
      </c>
      <c r="C1805" t="s">
        <v>648</v>
      </c>
      <c r="D1805" t="s">
        <v>3111</v>
      </c>
      <c r="E1805" t="s">
        <v>30</v>
      </c>
      <c r="F1805" t="s">
        <v>63</v>
      </c>
      <c r="G1805" t="s">
        <v>25</v>
      </c>
      <c r="H1805" t="str">
        <f t="shared" si="56"/>
        <v xml:space="preserve">12/12 - DARF IRPJ 12/12 | Recorrência: | Observações: </v>
      </c>
      <c r="I1805" t="s">
        <v>26</v>
      </c>
      <c r="J1805" s="5">
        <v>-968.29</v>
      </c>
      <c r="K1805" s="4">
        <v>314647.36</v>
      </c>
      <c r="L1805" t="s">
        <v>2723</v>
      </c>
      <c r="M1805" s="5">
        <v>-968.29</v>
      </c>
      <c r="N1805" s="3">
        <v>0</v>
      </c>
      <c r="O1805" t="s">
        <v>3109</v>
      </c>
      <c r="P1805" t="s">
        <v>1392</v>
      </c>
      <c r="Q1805" t="s">
        <v>3109</v>
      </c>
      <c r="R1805" t="str">
        <f t="shared" si="57"/>
        <v>Sim</v>
      </c>
      <c r="S1805" t="s">
        <v>3109</v>
      </c>
      <c r="T1805" t="s">
        <v>30</v>
      </c>
      <c r="U1805" t="s">
        <v>1508</v>
      </c>
      <c r="V1805" s="3">
        <v>-968.29</v>
      </c>
      <c r="W1805" t="s">
        <v>1115</v>
      </c>
      <c r="X1805" s="3">
        <v>-968.29</v>
      </c>
    </row>
    <row r="1806" spans="1:24" s="2" customFormat="1" x14ac:dyDescent="0.2">
      <c r="A1806" s="2">
        <v>1806</v>
      </c>
      <c r="B1806" t="s">
        <v>647</v>
      </c>
      <c r="C1806" t="s">
        <v>648</v>
      </c>
      <c r="D1806" t="s">
        <v>3113</v>
      </c>
      <c r="E1806" t="s">
        <v>30</v>
      </c>
      <c r="F1806" t="s">
        <v>63</v>
      </c>
      <c r="G1806" t="s">
        <v>25</v>
      </c>
      <c r="H1806" t="str">
        <f t="shared" si="56"/>
        <v xml:space="preserve">35/35 - DARF ISS 35/36 | Recorrência: | Observações: </v>
      </c>
      <c r="I1806" t="s">
        <v>26</v>
      </c>
      <c r="J1806" s="5">
        <v>-671.87</v>
      </c>
      <c r="K1806" s="4">
        <v>313975.49</v>
      </c>
      <c r="L1806" t="s">
        <v>2723</v>
      </c>
      <c r="M1806" s="5">
        <v>-671.87</v>
      </c>
      <c r="N1806" s="3">
        <v>0</v>
      </c>
      <c r="O1806" t="s">
        <v>3112</v>
      </c>
      <c r="P1806" t="s">
        <v>1474</v>
      </c>
      <c r="Q1806" t="s">
        <v>3112</v>
      </c>
      <c r="R1806" t="str">
        <f t="shared" si="57"/>
        <v>Sim</v>
      </c>
      <c r="S1806" t="s">
        <v>3112</v>
      </c>
      <c r="T1806" t="s">
        <v>30</v>
      </c>
      <c r="U1806" t="s">
        <v>1098</v>
      </c>
      <c r="V1806" s="3">
        <v>-671.87</v>
      </c>
      <c r="W1806" t="s">
        <v>324</v>
      </c>
      <c r="X1806" s="3">
        <v>-671.87</v>
      </c>
    </row>
    <row r="1807" spans="1:24" s="2" customFormat="1" x14ac:dyDescent="0.2">
      <c r="A1807">
        <v>1807</v>
      </c>
      <c r="B1807" t="s">
        <v>647</v>
      </c>
      <c r="C1807" t="s">
        <v>648</v>
      </c>
      <c r="D1807" t="s">
        <v>3115</v>
      </c>
      <c r="E1807" t="s">
        <v>30</v>
      </c>
      <c r="F1807" t="s">
        <v>63</v>
      </c>
      <c r="G1807" t="s">
        <v>25</v>
      </c>
      <c r="H1807" t="str">
        <f t="shared" si="56"/>
        <v xml:space="preserve">36/35 - DARF ISS 36/36 | Recorrência: | Observações: </v>
      </c>
      <c r="I1807" t="s">
        <v>26</v>
      </c>
      <c r="J1807" s="5">
        <v>-671.87</v>
      </c>
      <c r="K1807" s="4">
        <v>313303.62</v>
      </c>
      <c r="L1807" t="s">
        <v>2723</v>
      </c>
      <c r="M1807" s="5">
        <v>-671.87</v>
      </c>
      <c r="N1807" s="3">
        <v>0</v>
      </c>
      <c r="O1807" t="s">
        <v>3114</v>
      </c>
      <c r="P1807" t="s">
        <v>1474</v>
      </c>
      <c r="Q1807" t="s">
        <v>3114</v>
      </c>
      <c r="R1807" t="str">
        <f t="shared" si="57"/>
        <v>Sim</v>
      </c>
      <c r="S1807" t="s">
        <v>3114</v>
      </c>
      <c r="T1807" t="s">
        <v>30</v>
      </c>
      <c r="U1807" t="s">
        <v>1098</v>
      </c>
      <c r="V1807" s="3">
        <v>-671.87</v>
      </c>
      <c r="W1807" t="s">
        <v>324</v>
      </c>
      <c r="X1807" s="3">
        <v>-671.87</v>
      </c>
    </row>
  </sheetData>
  <autoFilter ref="B1:X1807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9CE0-7158-3B45-95BE-E06DC955FA71}">
  <dimension ref="A1:V490"/>
  <sheetViews>
    <sheetView zoomScale="75" workbookViewId="0">
      <selection activeCell="E28" sqref="E28"/>
    </sheetView>
  </sheetViews>
  <sheetFormatPr baseColWidth="10" defaultRowHeight="15" x14ac:dyDescent="0.2"/>
  <cols>
    <col min="1" max="1" width="62.5" bestFit="1" customWidth="1"/>
    <col min="2" max="2" width="109.83203125" bestFit="1" customWidth="1"/>
    <col min="7" max="7" width="173.33203125" bestFit="1" customWidth="1"/>
  </cols>
  <sheetData>
    <row r="1" spans="1:22" x14ac:dyDescent="0.2">
      <c r="A1" s="7" t="s">
        <v>3116</v>
      </c>
      <c r="B1" s="7" t="s">
        <v>3117</v>
      </c>
      <c r="C1" s="7" t="s">
        <v>3118</v>
      </c>
      <c r="D1" s="7" t="s">
        <v>3119</v>
      </c>
      <c r="E1" s="7" t="s">
        <v>3120</v>
      </c>
      <c r="F1" s="7" t="s">
        <v>3121</v>
      </c>
      <c r="G1" s="7" t="s">
        <v>15</v>
      </c>
      <c r="H1" s="7" t="s">
        <v>3122</v>
      </c>
      <c r="I1" s="7" t="s">
        <v>3123</v>
      </c>
      <c r="J1" s="7" t="s">
        <v>3124</v>
      </c>
      <c r="K1" s="7" t="s">
        <v>3125</v>
      </c>
      <c r="L1" s="7" t="s">
        <v>3126</v>
      </c>
      <c r="M1" s="7" t="s">
        <v>3127</v>
      </c>
      <c r="N1" s="7" t="s">
        <v>3128</v>
      </c>
      <c r="O1" s="7" t="s">
        <v>3129</v>
      </c>
      <c r="P1" s="7" t="s">
        <v>3130</v>
      </c>
      <c r="Q1" s="7" t="s">
        <v>3131</v>
      </c>
      <c r="R1" s="7" t="s">
        <v>3132</v>
      </c>
      <c r="S1" s="7" t="s">
        <v>3133</v>
      </c>
      <c r="T1" s="7" t="s">
        <v>3134</v>
      </c>
      <c r="U1" s="7" t="s">
        <v>3135</v>
      </c>
      <c r="V1" s="7" t="s">
        <v>3136</v>
      </c>
    </row>
    <row r="2" spans="1:22" ht="16" x14ac:dyDescent="0.2">
      <c r="A2" s="7" t="s">
        <v>1674</v>
      </c>
      <c r="B2" s="8" t="s">
        <v>3137</v>
      </c>
      <c r="C2" s="8" t="s">
        <v>3138</v>
      </c>
      <c r="D2" s="9"/>
      <c r="E2" s="9"/>
      <c r="F2" s="10">
        <v>44988</v>
      </c>
      <c r="G2" s="8" t="s">
        <v>3139</v>
      </c>
      <c r="H2" s="8" t="s">
        <v>3140</v>
      </c>
      <c r="I2" s="9"/>
      <c r="J2" s="9"/>
      <c r="K2" s="11" t="s">
        <v>3141</v>
      </c>
      <c r="L2" s="8" t="s">
        <v>3142</v>
      </c>
      <c r="M2" s="10">
        <v>41729</v>
      </c>
      <c r="N2" s="8" t="s">
        <v>3143</v>
      </c>
      <c r="O2" s="8" t="s">
        <v>3144</v>
      </c>
      <c r="P2" s="8" t="s">
        <v>3145</v>
      </c>
      <c r="Q2" s="8" t="s">
        <v>3146</v>
      </c>
      <c r="R2" s="8">
        <v>126</v>
      </c>
      <c r="S2" s="8" t="s">
        <v>3147</v>
      </c>
      <c r="T2" s="8" t="s">
        <v>3148</v>
      </c>
      <c r="U2" s="8" t="s">
        <v>3149</v>
      </c>
      <c r="V2" s="9"/>
    </row>
    <row r="3" spans="1:22" ht="16" x14ac:dyDescent="0.2">
      <c r="A3" s="7" t="s">
        <v>1834</v>
      </c>
      <c r="B3" s="8" t="s">
        <v>3150</v>
      </c>
      <c r="C3" s="8" t="s">
        <v>3151</v>
      </c>
      <c r="D3" s="9"/>
      <c r="E3" s="9"/>
      <c r="F3" s="10">
        <v>45056</v>
      </c>
      <c r="G3" s="9"/>
      <c r="H3" s="8" t="s">
        <v>3140</v>
      </c>
      <c r="I3" s="9"/>
      <c r="J3" s="9"/>
      <c r="K3" s="11" t="s">
        <v>3152</v>
      </c>
      <c r="L3" s="8" t="s">
        <v>3153</v>
      </c>
      <c r="M3" s="10">
        <v>37585</v>
      </c>
      <c r="N3" s="8" t="s">
        <v>3154</v>
      </c>
      <c r="O3" s="8" t="s">
        <v>3144</v>
      </c>
      <c r="P3" s="8" t="s">
        <v>3155</v>
      </c>
      <c r="Q3" s="8" t="s">
        <v>3156</v>
      </c>
      <c r="R3" s="8">
        <v>911</v>
      </c>
      <c r="S3" s="8" t="s">
        <v>3157</v>
      </c>
      <c r="T3" s="9"/>
      <c r="U3" s="8" t="s">
        <v>3158</v>
      </c>
      <c r="V3" s="11" t="s">
        <v>3159</v>
      </c>
    </row>
    <row r="4" spans="1:22" x14ac:dyDescent="0.2">
      <c r="A4" s="13" t="s">
        <v>46</v>
      </c>
      <c r="B4" s="14"/>
      <c r="C4" s="14"/>
      <c r="D4" s="15" t="s">
        <v>3160</v>
      </c>
      <c r="E4" s="14"/>
      <c r="F4" s="16">
        <v>44158</v>
      </c>
      <c r="G4" s="8" t="s">
        <v>3161</v>
      </c>
      <c r="H4" s="15" t="s">
        <v>3140</v>
      </c>
      <c r="I4" s="14"/>
      <c r="J4" s="14"/>
      <c r="K4" s="17" t="s">
        <v>3172</v>
      </c>
      <c r="L4" s="15" t="s">
        <v>3173</v>
      </c>
      <c r="M4" s="14"/>
      <c r="N4" s="15" t="s">
        <v>3174</v>
      </c>
      <c r="O4" s="15" t="s">
        <v>3144</v>
      </c>
      <c r="P4" s="15" t="s">
        <v>3175</v>
      </c>
      <c r="Q4" s="15" t="s">
        <v>3176</v>
      </c>
      <c r="R4" s="15">
        <v>52</v>
      </c>
      <c r="S4" s="15" t="s">
        <v>3177</v>
      </c>
      <c r="T4" s="15" t="s">
        <v>3178</v>
      </c>
      <c r="U4" s="14"/>
      <c r="V4" s="14"/>
    </row>
    <row r="5" spans="1:22" x14ac:dyDescent="0.2">
      <c r="A5" s="13"/>
      <c r="B5" s="14"/>
      <c r="C5" s="14"/>
      <c r="D5" s="15"/>
      <c r="E5" s="14"/>
      <c r="F5" s="16"/>
      <c r="G5" s="8"/>
      <c r="H5" s="15"/>
      <c r="I5" s="14"/>
      <c r="J5" s="14"/>
      <c r="K5" s="17"/>
      <c r="L5" s="15"/>
      <c r="M5" s="14"/>
      <c r="N5" s="15"/>
      <c r="O5" s="15"/>
      <c r="P5" s="15"/>
      <c r="Q5" s="15"/>
      <c r="R5" s="15"/>
      <c r="S5" s="15"/>
      <c r="T5" s="15"/>
      <c r="U5" s="14"/>
      <c r="V5" s="14"/>
    </row>
    <row r="6" spans="1:22" x14ac:dyDescent="0.2">
      <c r="A6" s="13"/>
      <c r="B6" s="14"/>
      <c r="C6" s="14"/>
      <c r="D6" s="15"/>
      <c r="E6" s="14"/>
      <c r="F6" s="16"/>
      <c r="G6" s="8" t="s">
        <v>3162</v>
      </c>
      <c r="H6" s="15"/>
      <c r="I6" s="14"/>
      <c r="J6" s="14"/>
      <c r="K6" s="17"/>
      <c r="L6" s="15"/>
      <c r="M6" s="14"/>
      <c r="N6" s="15"/>
      <c r="O6" s="15"/>
      <c r="P6" s="15"/>
      <c r="Q6" s="15"/>
      <c r="R6" s="15"/>
      <c r="S6" s="15"/>
      <c r="T6" s="15"/>
      <c r="U6" s="14"/>
      <c r="V6" s="14"/>
    </row>
    <row r="7" spans="1:22" x14ac:dyDescent="0.2">
      <c r="A7" s="13"/>
      <c r="B7" s="14"/>
      <c r="C7" s="14"/>
      <c r="D7" s="15"/>
      <c r="E7" s="14"/>
      <c r="F7" s="16"/>
      <c r="G7" s="8" t="s">
        <v>3163</v>
      </c>
      <c r="H7" s="15"/>
      <c r="I7" s="14"/>
      <c r="J7" s="14"/>
      <c r="K7" s="17"/>
      <c r="L7" s="15"/>
      <c r="M7" s="14"/>
      <c r="N7" s="15"/>
      <c r="O7" s="15"/>
      <c r="P7" s="15"/>
      <c r="Q7" s="15"/>
      <c r="R7" s="15"/>
      <c r="S7" s="15"/>
      <c r="T7" s="15"/>
      <c r="U7" s="14"/>
      <c r="V7" s="14"/>
    </row>
    <row r="8" spans="1:22" x14ac:dyDescent="0.2">
      <c r="A8" s="13"/>
      <c r="B8" s="14"/>
      <c r="C8" s="14"/>
      <c r="D8" s="15"/>
      <c r="E8" s="14"/>
      <c r="F8" s="16"/>
      <c r="G8" s="11" t="s">
        <v>3164</v>
      </c>
      <c r="H8" s="15"/>
      <c r="I8" s="14"/>
      <c r="J8" s="14"/>
      <c r="K8" s="17"/>
      <c r="L8" s="15"/>
      <c r="M8" s="14"/>
      <c r="N8" s="15"/>
      <c r="O8" s="15"/>
      <c r="P8" s="15"/>
      <c r="Q8" s="15"/>
      <c r="R8" s="15"/>
      <c r="S8" s="15"/>
      <c r="T8" s="15"/>
      <c r="U8" s="14"/>
      <c r="V8" s="14"/>
    </row>
    <row r="9" spans="1:22" x14ac:dyDescent="0.2">
      <c r="A9" s="13"/>
      <c r="B9" s="14"/>
      <c r="C9" s="14"/>
      <c r="D9" s="15"/>
      <c r="E9" s="14"/>
      <c r="F9" s="16"/>
      <c r="G9" s="8" t="s">
        <v>3165</v>
      </c>
      <c r="H9" s="15"/>
      <c r="I9" s="14"/>
      <c r="J9" s="14"/>
      <c r="K9" s="17"/>
      <c r="L9" s="15"/>
      <c r="M9" s="14"/>
      <c r="N9" s="15"/>
      <c r="O9" s="15"/>
      <c r="P9" s="15"/>
      <c r="Q9" s="15"/>
      <c r="R9" s="15"/>
      <c r="S9" s="15"/>
      <c r="T9" s="15"/>
      <c r="U9" s="14"/>
      <c r="V9" s="14"/>
    </row>
    <row r="10" spans="1:22" x14ac:dyDescent="0.2">
      <c r="A10" s="13"/>
      <c r="B10" s="14"/>
      <c r="C10" s="14"/>
      <c r="D10" s="15"/>
      <c r="E10" s="14"/>
      <c r="F10" s="16"/>
      <c r="G10" s="8"/>
      <c r="H10" s="15"/>
      <c r="I10" s="14"/>
      <c r="J10" s="14"/>
      <c r="K10" s="17"/>
      <c r="L10" s="15"/>
      <c r="M10" s="14"/>
      <c r="N10" s="15"/>
      <c r="O10" s="15"/>
      <c r="P10" s="15"/>
      <c r="Q10" s="15"/>
      <c r="R10" s="15"/>
      <c r="S10" s="15"/>
      <c r="T10" s="15"/>
      <c r="U10" s="14"/>
      <c r="V10" s="14"/>
    </row>
    <row r="11" spans="1:22" x14ac:dyDescent="0.2">
      <c r="A11" s="13"/>
      <c r="B11" s="14"/>
      <c r="C11" s="14"/>
      <c r="D11" s="15"/>
      <c r="E11" s="14"/>
      <c r="F11" s="16"/>
      <c r="G11" s="8" t="s">
        <v>3166</v>
      </c>
      <c r="H11" s="15"/>
      <c r="I11" s="14"/>
      <c r="J11" s="14"/>
      <c r="K11" s="17"/>
      <c r="L11" s="15"/>
      <c r="M11" s="14"/>
      <c r="N11" s="15"/>
      <c r="O11" s="15"/>
      <c r="P11" s="15"/>
      <c r="Q11" s="15"/>
      <c r="R11" s="15"/>
      <c r="S11" s="15"/>
      <c r="T11" s="15"/>
      <c r="U11" s="14"/>
      <c r="V11" s="14"/>
    </row>
    <row r="12" spans="1:22" x14ac:dyDescent="0.2">
      <c r="A12" s="13"/>
      <c r="B12" s="14"/>
      <c r="C12" s="14"/>
      <c r="D12" s="15"/>
      <c r="E12" s="14"/>
      <c r="F12" s="16"/>
      <c r="G12" s="8" t="s">
        <v>3167</v>
      </c>
      <c r="H12" s="15"/>
      <c r="I12" s="14"/>
      <c r="J12" s="14"/>
      <c r="K12" s="17"/>
      <c r="L12" s="15"/>
      <c r="M12" s="14"/>
      <c r="N12" s="15"/>
      <c r="O12" s="15"/>
      <c r="P12" s="15"/>
      <c r="Q12" s="15"/>
      <c r="R12" s="15"/>
      <c r="S12" s="15"/>
      <c r="T12" s="15"/>
      <c r="U12" s="14"/>
      <c r="V12" s="14"/>
    </row>
    <row r="13" spans="1:22" x14ac:dyDescent="0.2">
      <c r="A13" s="13"/>
      <c r="B13" s="14"/>
      <c r="C13" s="14"/>
      <c r="D13" s="15"/>
      <c r="E13" s="14"/>
      <c r="F13" s="16"/>
      <c r="H13" s="15"/>
      <c r="I13" s="14"/>
      <c r="J13" s="14"/>
      <c r="K13" s="17"/>
      <c r="L13" s="15"/>
      <c r="M13" s="14"/>
      <c r="N13" s="15"/>
      <c r="O13" s="15"/>
      <c r="P13" s="15"/>
      <c r="Q13" s="15"/>
      <c r="R13" s="15"/>
      <c r="S13" s="15"/>
      <c r="T13" s="15"/>
      <c r="U13" s="14"/>
      <c r="V13" s="14"/>
    </row>
    <row r="14" spans="1:22" x14ac:dyDescent="0.2">
      <c r="A14" s="13"/>
      <c r="B14" s="14"/>
      <c r="C14" s="14"/>
      <c r="D14" s="15"/>
      <c r="E14" s="14"/>
      <c r="F14" s="16"/>
      <c r="H14" s="15"/>
      <c r="I14" s="14"/>
      <c r="J14" s="14"/>
      <c r="K14" s="17"/>
      <c r="L14" s="15"/>
      <c r="M14" s="14"/>
      <c r="N14" s="15"/>
      <c r="O14" s="15"/>
      <c r="P14" s="15"/>
      <c r="Q14" s="15"/>
      <c r="R14" s="15"/>
      <c r="S14" s="15"/>
      <c r="T14" s="15"/>
      <c r="U14" s="14"/>
      <c r="V14" s="14"/>
    </row>
    <row r="15" spans="1:22" x14ac:dyDescent="0.2">
      <c r="A15" s="13"/>
      <c r="B15" s="14"/>
      <c r="C15" s="14"/>
      <c r="D15" s="15"/>
      <c r="E15" s="14"/>
      <c r="F15" s="16"/>
      <c r="H15" s="15"/>
      <c r="I15" s="14"/>
      <c r="J15" s="14"/>
      <c r="K15" s="17"/>
      <c r="L15" s="15"/>
      <c r="M15" s="14"/>
      <c r="N15" s="15"/>
      <c r="O15" s="15"/>
      <c r="P15" s="15"/>
      <c r="Q15" s="15"/>
      <c r="R15" s="15"/>
      <c r="S15" s="15"/>
      <c r="T15" s="15"/>
      <c r="U15" s="14"/>
      <c r="V15" s="14"/>
    </row>
    <row r="16" spans="1:22" x14ac:dyDescent="0.2">
      <c r="A16" s="13"/>
      <c r="B16" s="14"/>
      <c r="C16" s="14"/>
      <c r="D16" s="15"/>
      <c r="E16" s="14"/>
      <c r="F16" s="16"/>
      <c r="G16" s="8" t="s">
        <v>3168</v>
      </c>
      <c r="H16" s="15"/>
      <c r="I16" s="14"/>
      <c r="J16" s="14"/>
      <c r="K16" s="17"/>
      <c r="L16" s="15"/>
      <c r="M16" s="14"/>
      <c r="N16" s="15"/>
      <c r="O16" s="15"/>
      <c r="P16" s="15"/>
      <c r="Q16" s="15"/>
      <c r="R16" s="15"/>
      <c r="S16" s="15"/>
      <c r="T16" s="15"/>
      <c r="U16" s="14"/>
      <c r="V16" s="14"/>
    </row>
    <row r="17" spans="1:22" x14ac:dyDescent="0.2">
      <c r="A17" s="13"/>
      <c r="B17" s="14"/>
      <c r="C17" s="14"/>
      <c r="D17" s="15"/>
      <c r="E17" s="14"/>
      <c r="F17" s="16"/>
      <c r="G17" s="8" t="s">
        <v>3169</v>
      </c>
      <c r="H17" s="15"/>
      <c r="I17" s="14"/>
      <c r="J17" s="14"/>
      <c r="K17" s="17"/>
      <c r="L17" s="15"/>
      <c r="M17" s="14"/>
      <c r="N17" s="15"/>
      <c r="O17" s="15"/>
      <c r="P17" s="15"/>
      <c r="Q17" s="15"/>
      <c r="R17" s="15"/>
      <c r="S17" s="15"/>
      <c r="T17" s="15"/>
      <c r="U17" s="14"/>
      <c r="V17" s="14"/>
    </row>
    <row r="18" spans="1:22" x14ac:dyDescent="0.2">
      <c r="A18" s="13"/>
      <c r="B18" s="14"/>
      <c r="C18" s="14"/>
      <c r="D18" s="15"/>
      <c r="E18" s="14"/>
      <c r="F18" s="16"/>
      <c r="G18" s="8" t="s">
        <v>3170</v>
      </c>
      <c r="H18" s="15"/>
      <c r="I18" s="14"/>
      <c r="J18" s="14"/>
      <c r="K18" s="17"/>
      <c r="L18" s="15"/>
      <c r="M18" s="14"/>
      <c r="N18" s="15"/>
      <c r="O18" s="15"/>
      <c r="P18" s="15"/>
      <c r="Q18" s="15"/>
      <c r="R18" s="15"/>
      <c r="S18" s="15"/>
      <c r="T18" s="15"/>
      <c r="U18" s="14"/>
      <c r="V18" s="14"/>
    </row>
    <row r="19" spans="1:22" x14ac:dyDescent="0.2">
      <c r="A19" s="13"/>
      <c r="B19" s="14"/>
      <c r="C19" s="14"/>
      <c r="D19" s="15"/>
      <c r="E19" s="14"/>
      <c r="F19" s="16"/>
      <c r="G19" s="8" t="s">
        <v>3171</v>
      </c>
      <c r="H19" s="15"/>
      <c r="I19" s="14"/>
      <c r="J19" s="14"/>
      <c r="K19" s="17"/>
      <c r="L19" s="15"/>
      <c r="M19" s="14"/>
      <c r="N19" s="15"/>
      <c r="O19" s="15"/>
      <c r="P19" s="15"/>
      <c r="Q19" s="15"/>
      <c r="R19" s="15"/>
      <c r="S19" s="15"/>
      <c r="T19" s="15"/>
      <c r="U19" s="14"/>
      <c r="V19" s="14"/>
    </row>
    <row r="20" spans="1:22" ht="16" x14ac:dyDescent="0.2">
      <c r="A20" s="7" t="s">
        <v>412</v>
      </c>
      <c r="B20" s="9"/>
      <c r="C20" s="9"/>
      <c r="D20" s="9"/>
      <c r="E20" s="9"/>
      <c r="F20" s="10">
        <v>44440</v>
      </c>
      <c r="G20" s="9"/>
      <c r="H20" s="8" t="s">
        <v>3140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6" x14ac:dyDescent="0.2">
      <c r="A21" s="7" t="s">
        <v>2120</v>
      </c>
      <c r="B21" s="8" t="s">
        <v>3179</v>
      </c>
      <c r="C21" s="8" t="s">
        <v>3180</v>
      </c>
      <c r="D21" s="9"/>
      <c r="E21" s="9"/>
      <c r="F21" s="10">
        <v>45166</v>
      </c>
      <c r="G21" s="9"/>
      <c r="H21" s="8" t="s">
        <v>3140</v>
      </c>
      <c r="I21" s="9"/>
      <c r="J21" s="9"/>
      <c r="K21" s="11" t="s">
        <v>3181</v>
      </c>
      <c r="L21" s="8" t="s">
        <v>3182</v>
      </c>
      <c r="M21" s="10">
        <v>42206</v>
      </c>
      <c r="N21" s="8" t="s">
        <v>3183</v>
      </c>
      <c r="O21" s="8" t="s">
        <v>3144</v>
      </c>
      <c r="P21" s="8" t="s">
        <v>3145</v>
      </c>
      <c r="Q21" s="8" t="s">
        <v>3184</v>
      </c>
      <c r="R21" s="8">
        <v>190</v>
      </c>
      <c r="S21" s="8" t="s">
        <v>3185</v>
      </c>
      <c r="T21" s="8" t="s">
        <v>3186</v>
      </c>
      <c r="U21" s="9"/>
      <c r="V21" s="9"/>
    </row>
    <row r="22" spans="1:22" ht="16" x14ac:dyDescent="0.2">
      <c r="A22" s="7" t="s">
        <v>1814</v>
      </c>
      <c r="B22" s="8" t="s">
        <v>3187</v>
      </c>
      <c r="C22" s="8" t="s">
        <v>3188</v>
      </c>
      <c r="D22" s="9"/>
      <c r="E22" s="9"/>
      <c r="F22" s="10">
        <v>45015</v>
      </c>
      <c r="G22" s="9"/>
      <c r="H22" s="8" t="s">
        <v>3140</v>
      </c>
      <c r="I22" s="9"/>
      <c r="J22" s="9"/>
      <c r="K22" s="11" t="s">
        <v>3189</v>
      </c>
      <c r="L22" s="8" t="s">
        <v>3190</v>
      </c>
      <c r="M22" s="10">
        <v>40758</v>
      </c>
      <c r="N22" s="8" t="s">
        <v>3191</v>
      </c>
      <c r="O22" s="8" t="s">
        <v>3144</v>
      </c>
      <c r="P22" s="8" t="s">
        <v>3175</v>
      </c>
      <c r="Q22" s="8" t="s">
        <v>3192</v>
      </c>
      <c r="R22" s="8">
        <v>586</v>
      </c>
      <c r="S22" s="8" t="s">
        <v>3193</v>
      </c>
      <c r="T22" s="8" t="s">
        <v>3194</v>
      </c>
      <c r="U22" s="9"/>
      <c r="V22" s="9"/>
    </row>
    <row r="23" spans="1:22" ht="16" x14ac:dyDescent="0.2">
      <c r="A23" s="7" t="s">
        <v>2113</v>
      </c>
      <c r="B23" s="8" t="s">
        <v>3195</v>
      </c>
      <c r="C23" s="8" t="s">
        <v>3196</v>
      </c>
      <c r="D23" s="9"/>
      <c r="E23" s="9"/>
      <c r="F23" s="10">
        <v>45140</v>
      </c>
      <c r="G23" s="9"/>
      <c r="H23" s="8" t="s">
        <v>3140</v>
      </c>
      <c r="I23" s="9"/>
      <c r="J23" s="9"/>
      <c r="K23" s="11" t="s">
        <v>3197</v>
      </c>
      <c r="L23" s="8" t="s">
        <v>3198</v>
      </c>
      <c r="M23" s="10">
        <v>44392</v>
      </c>
      <c r="N23" s="8" t="s">
        <v>3199</v>
      </c>
      <c r="O23" s="8" t="s">
        <v>3144</v>
      </c>
      <c r="P23" s="8" t="s">
        <v>3175</v>
      </c>
      <c r="Q23" s="8" t="s">
        <v>3200</v>
      </c>
      <c r="R23" s="8">
        <v>619</v>
      </c>
      <c r="S23" s="8" t="s">
        <v>3193</v>
      </c>
      <c r="T23" s="8" t="s">
        <v>3201</v>
      </c>
      <c r="U23" s="9"/>
      <c r="V23" s="9"/>
    </row>
    <row r="24" spans="1:22" ht="16" x14ac:dyDescent="0.2">
      <c r="A24" s="7" t="s">
        <v>2053</v>
      </c>
      <c r="B24" s="9"/>
      <c r="C24" s="9"/>
      <c r="D24" s="9"/>
      <c r="E24" s="9"/>
      <c r="F24" s="10">
        <v>45138</v>
      </c>
      <c r="G24" s="9"/>
      <c r="H24" s="8" t="s">
        <v>3140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6" x14ac:dyDescent="0.2">
      <c r="A25" s="7" t="s">
        <v>251</v>
      </c>
      <c r="B25" s="9"/>
      <c r="C25" s="9"/>
      <c r="D25" s="9"/>
      <c r="E25" s="9"/>
      <c r="F25" s="10">
        <v>44329</v>
      </c>
      <c r="G25" s="9"/>
      <c r="H25" s="8" t="s">
        <v>3140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6" x14ac:dyDescent="0.2">
      <c r="A26" s="7" t="s">
        <v>3202</v>
      </c>
      <c r="B26" s="9"/>
      <c r="C26" s="9"/>
      <c r="D26" s="9"/>
      <c r="E26" s="9"/>
      <c r="F26" s="10">
        <v>44623</v>
      </c>
      <c r="G26" s="9"/>
      <c r="H26" s="8" t="s">
        <v>3140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6" x14ac:dyDescent="0.2">
      <c r="A27" s="7" t="s">
        <v>3203</v>
      </c>
      <c r="B27" s="9"/>
      <c r="C27" s="9"/>
      <c r="D27" s="9"/>
      <c r="E27" s="9"/>
      <c r="F27" s="10">
        <v>44623</v>
      </c>
      <c r="G27" s="9"/>
      <c r="H27" s="8" t="s">
        <v>3140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6" x14ac:dyDescent="0.2">
      <c r="A28" s="7" t="s">
        <v>416</v>
      </c>
      <c r="B28" s="9"/>
      <c r="C28" s="9"/>
      <c r="D28" s="9"/>
      <c r="E28" s="9"/>
      <c r="F28" s="10">
        <v>44454</v>
      </c>
      <c r="G28" s="9"/>
      <c r="H28" s="8" t="s">
        <v>3140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6" x14ac:dyDescent="0.2">
      <c r="A29" s="7" t="s">
        <v>747</v>
      </c>
      <c r="B29" s="9"/>
      <c r="C29" s="9"/>
      <c r="D29" s="9"/>
      <c r="E29" s="9"/>
      <c r="F29" s="10">
        <v>44594</v>
      </c>
      <c r="G29" s="9"/>
      <c r="H29" s="8" t="s">
        <v>3140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6" x14ac:dyDescent="0.2">
      <c r="A30" s="7" t="s">
        <v>768</v>
      </c>
      <c r="B30" s="9"/>
      <c r="C30" s="9"/>
      <c r="D30" s="9"/>
      <c r="E30" s="9"/>
      <c r="F30" s="10">
        <v>44600</v>
      </c>
      <c r="G30" s="9"/>
      <c r="H30" s="8" t="s">
        <v>3140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6" x14ac:dyDescent="0.2">
      <c r="A31" s="7" t="s">
        <v>3204</v>
      </c>
      <c r="B31" s="9"/>
      <c r="C31" s="9"/>
      <c r="D31" s="9"/>
      <c r="E31" s="9"/>
      <c r="F31" s="10">
        <v>44763</v>
      </c>
      <c r="G31" s="9"/>
      <c r="H31" s="8" t="s">
        <v>3140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6" x14ac:dyDescent="0.2">
      <c r="A32" s="7" t="s">
        <v>539</v>
      </c>
      <c r="B32" s="9"/>
      <c r="C32" s="9"/>
      <c r="D32" s="9"/>
      <c r="E32" s="9"/>
      <c r="F32" s="10">
        <v>44519</v>
      </c>
      <c r="G32" s="9"/>
      <c r="H32" s="8" t="s">
        <v>3140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6" x14ac:dyDescent="0.2">
      <c r="A33" s="7" t="s">
        <v>1289</v>
      </c>
      <c r="B33" s="8" t="s">
        <v>3205</v>
      </c>
      <c r="C33" s="8" t="s">
        <v>3206</v>
      </c>
      <c r="D33" s="9"/>
      <c r="E33" s="9"/>
      <c r="F33" s="10">
        <v>44818</v>
      </c>
      <c r="G33" s="9"/>
      <c r="H33" s="8" t="s">
        <v>3140</v>
      </c>
      <c r="I33" s="9"/>
      <c r="J33" s="9"/>
      <c r="K33" s="11" t="s">
        <v>3207</v>
      </c>
      <c r="L33" s="8" t="s">
        <v>3208</v>
      </c>
      <c r="M33" s="10">
        <v>41676</v>
      </c>
      <c r="N33" s="8" t="s">
        <v>3209</v>
      </c>
      <c r="O33" s="8" t="s">
        <v>3210</v>
      </c>
      <c r="P33" s="8" t="s">
        <v>3211</v>
      </c>
      <c r="Q33" s="8" t="s">
        <v>3212</v>
      </c>
      <c r="R33" s="8">
        <v>518</v>
      </c>
      <c r="S33" s="8" t="s">
        <v>3213</v>
      </c>
      <c r="T33" s="8" t="s">
        <v>3214</v>
      </c>
      <c r="U33" s="8" t="s">
        <v>3215</v>
      </c>
      <c r="V33" s="11" t="s">
        <v>3216</v>
      </c>
    </row>
    <row r="34" spans="1:22" ht="16" x14ac:dyDescent="0.2">
      <c r="A34" s="7" t="s">
        <v>1655</v>
      </c>
      <c r="B34" s="8" t="s">
        <v>3217</v>
      </c>
      <c r="C34" s="8" t="s">
        <v>3218</v>
      </c>
      <c r="D34" s="9"/>
      <c r="E34" s="9"/>
      <c r="F34" s="10">
        <v>44963</v>
      </c>
      <c r="G34" s="9"/>
      <c r="H34" s="8" t="s">
        <v>3140</v>
      </c>
      <c r="I34" s="9"/>
      <c r="J34" s="9"/>
      <c r="K34" s="11" t="s">
        <v>3219</v>
      </c>
      <c r="L34" s="8" t="s">
        <v>3220</v>
      </c>
      <c r="M34" s="10">
        <v>34841</v>
      </c>
      <c r="N34" s="8" t="s">
        <v>3221</v>
      </c>
      <c r="O34" s="8" t="s">
        <v>3144</v>
      </c>
      <c r="P34" s="8" t="s">
        <v>3175</v>
      </c>
      <c r="Q34" s="8" t="s">
        <v>3222</v>
      </c>
      <c r="R34" s="8">
        <v>601</v>
      </c>
      <c r="S34" s="8" t="s">
        <v>3223</v>
      </c>
      <c r="T34" s="8" t="s">
        <v>3224</v>
      </c>
      <c r="U34" s="8" t="s">
        <v>3225</v>
      </c>
      <c r="V34" s="11" t="s">
        <v>3226</v>
      </c>
    </row>
    <row r="35" spans="1:22" ht="16" x14ac:dyDescent="0.2">
      <c r="A35" s="7" t="s">
        <v>2696</v>
      </c>
      <c r="B35" s="8" t="s">
        <v>3227</v>
      </c>
      <c r="C35" s="8" t="s">
        <v>3228</v>
      </c>
      <c r="D35" s="9"/>
      <c r="E35" s="9"/>
      <c r="F35" s="10">
        <v>45355</v>
      </c>
      <c r="G35" s="9"/>
      <c r="H35" s="8" t="s">
        <v>3140</v>
      </c>
      <c r="I35" s="9"/>
      <c r="J35" s="9"/>
      <c r="K35" s="11" t="s">
        <v>3229</v>
      </c>
      <c r="L35" s="8" t="s">
        <v>3230</v>
      </c>
      <c r="M35" s="10">
        <v>36243</v>
      </c>
      <c r="N35" s="8" t="s">
        <v>3231</v>
      </c>
      <c r="O35" s="8" t="s">
        <v>3144</v>
      </c>
      <c r="P35" s="8" t="s">
        <v>3145</v>
      </c>
      <c r="Q35" s="8" t="s">
        <v>3232</v>
      </c>
      <c r="R35" s="8">
        <v>260</v>
      </c>
      <c r="S35" s="8" t="s">
        <v>3233</v>
      </c>
      <c r="T35" s="8" t="s">
        <v>3234</v>
      </c>
      <c r="U35" s="9"/>
      <c r="V35" s="9"/>
    </row>
    <row r="36" spans="1:22" ht="16" x14ac:dyDescent="0.2">
      <c r="A36" s="7" t="s">
        <v>2018</v>
      </c>
      <c r="B36" s="9"/>
      <c r="C36" s="8" t="s">
        <v>3235</v>
      </c>
      <c r="D36" s="9"/>
      <c r="E36" s="9"/>
      <c r="F36" s="10">
        <v>45106</v>
      </c>
      <c r="G36" s="9"/>
      <c r="H36" s="8" t="s">
        <v>3140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6" x14ac:dyDescent="0.2">
      <c r="A37" s="7" t="s">
        <v>1678</v>
      </c>
      <c r="B37" s="9"/>
      <c r="C37" s="9"/>
      <c r="D37" s="8" t="s">
        <v>3236</v>
      </c>
      <c r="E37" s="9"/>
      <c r="F37" s="10">
        <v>45029</v>
      </c>
      <c r="G37" s="9"/>
      <c r="H37" s="8" t="s">
        <v>3140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6" x14ac:dyDescent="0.2">
      <c r="A38" s="7" t="s">
        <v>3237</v>
      </c>
      <c r="B38" s="9"/>
      <c r="C38" s="9"/>
      <c r="D38" s="9"/>
      <c r="E38" s="9"/>
      <c r="F38" s="10">
        <v>44329</v>
      </c>
      <c r="G38" s="9"/>
      <c r="H38" s="8" t="s">
        <v>3140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6" x14ac:dyDescent="0.2">
      <c r="A39" s="7" t="s">
        <v>1790</v>
      </c>
      <c r="B39" s="8" t="s">
        <v>3238</v>
      </c>
      <c r="C39" s="8" t="s">
        <v>3239</v>
      </c>
      <c r="D39" s="9"/>
      <c r="E39" s="9"/>
      <c r="F39" s="10">
        <v>45014</v>
      </c>
      <c r="G39" s="9"/>
      <c r="H39" s="8" t="s">
        <v>3140</v>
      </c>
      <c r="I39" s="9"/>
      <c r="J39" s="9"/>
      <c r="K39" s="11" t="s">
        <v>3240</v>
      </c>
      <c r="L39" s="8" t="s">
        <v>3241</v>
      </c>
      <c r="M39" s="10">
        <v>44615</v>
      </c>
      <c r="N39" s="8" t="s">
        <v>3242</v>
      </c>
      <c r="O39" s="8" t="s">
        <v>3144</v>
      </c>
      <c r="P39" s="8" t="s">
        <v>3175</v>
      </c>
      <c r="Q39" s="8" t="s">
        <v>3243</v>
      </c>
      <c r="R39" s="8">
        <v>79</v>
      </c>
      <c r="S39" s="8" t="s">
        <v>3244</v>
      </c>
      <c r="T39" s="9"/>
      <c r="U39" s="9"/>
      <c r="V39" s="9"/>
    </row>
    <row r="40" spans="1:22" ht="16" x14ac:dyDescent="0.2">
      <c r="A40" s="7" t="s">
        <v>1708</v>
      </c>
      <c r="B40" s="8" t="s">
        <v>1708</v>
      </c>
      <c r="C40" s="8" t="s">
        <v>3245</v>
      </c>
      <c r="D40" s="9"/>
      <c r="E40" s="9"/>
      <c r="F40" s="10">
        <v>44999</v>
      </c>
      <c r="G40" s="9"/>
      <c r="H40" s="8" t="s">
        <v>3140</v>
      </c>
      <c r="I40" s="9"/>
      <c r="J40" s="9"/>
      <c r="K40" s="11" t="s">
        <v>3246</v>
      </c>
      <c r="L40" s="8" t="s">
        <v>3247</v>
      </c>
      <c r="M40" s="10">
        <v>44671</v>
      </c>
      <c r="N40" s="8" t="s">
        <v>3248</v>
      </c>
      <c r="O40" s="8" t="s">
        <v>3144</v>
      </c>
      <c r="P40" s="8" t="s">
        <v>3175</v>
      </c>
      <c r="Q40" s="8" t="s">
        <v>3249</v>
      </c>
      <c r="R40" s="8">
        <v>362</v>
      </c>
      <c r="S40" s="8" t="s">
        <v>3250</v>
      </c>
      <c r="T40" s="9"/>
      <c r="U40" s="8" t="s">
        <v>3251</v>
      </c>
      <c r="V40" s="11" t="s">
        <v>3252</v>
      </c>
    </row>
    <row r="41" spans="1:22" ht="16" x14ac:dyDescent="0.2">
      <c r="A41" s="7" t="s">
        <v>3253</v>
      </c>
      <c r="B41" s="8" t="s">
        <v>3254</v>
      </c>
      <c r="C41" s="8" t="s">
        <v>3255</v>
      </c>
      <c r="D41" s="9"/>
      <c r="E41" s="9"/>
      <c r="F41" s="10">
        <v>44140</v>
      </c>
      <c r="G41" s="9"/>
      <c r="H41" s="8" t="s">
        <v>3140</v>
      </c>
      <c r="I41" s="9"/>
      <c r="J41" s="9"/>
      <c r="K41" s="11" t="s">
        <v>3256</v>
      </c>
      <c r="L41" s="8" t="s">
        <v>3257</v>
      </c>
      <c r="M41" s="10">
        <v>36798</v>
      </c>
      <c r="N41" s="8" t="s">
        <v>3258</v>
      </c>
      <c r="O41" s="8" t="s">
        <v>3144</v>
      </c>
      <c r="P41" s="8" t="s">
        <v>3175</v>
      </c>
      <c r="Q41" s="8" t="s">
        <v>3259</v>
      </c>
      <c r="R41" s="8">
        <v>66</v>
      </c>
      <c r="S41" s="8" t="s">
        <v>3260</v>
      </c>
      <c r="T41" s="9"/>
      <c r="U41" s="9"/>
      <c r="V41" s="9"/>
    </row>
    <row r="42" spans="1:22" ht="16" x14ac:dyDescent="0.2">
      <c r="A42" s="7" t="s">
        <v>2652</v>
      </c>
      <c r="B42" s="9"/>
      <c r="C42" s="9"/>
      <c r="D42" s="8" t="s">
        <v>3261</v>
      </c>
      <c r="E42" s="9"/>
      <c r="F42" s="10">
        <v>45357</v>
      </c>
      <c r="G42" s="11" t="s">
        <v>3262</v>
      </c>
      <c r="H42" s="8" t="s">
        <v>3140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ht="16" x14ac:dyDescent="0.2">
      <c r="A43" s="7" t="s">
        <v>1171</v>
      </c>
      <c r="B43" s="8" t="s">
        <v>3263</v>
      </c>
      <c r="C43" s="8" t="s">
        <v>3264</v>
      </c>
      <c r="D43" s="9"/>
      <c r="E43" s="9"/>
      <c r="F43" s="10">
        <v>44319</v>
      </c>
      <c r="G43" s="8" t="s">
        <v>3265</v>
      </c>
      <c r="H43" s="8" t="s">
        <v>3140</v>
      </c>
      <c r="I43" s="9"/>
      <c r="J43" s="9"/>
      <c r="K43" s="11" t="s">
        <v>3266</v>
      </c>
      <c r="L43" s="8" t="s">
        <v>3267</v>
      </c>
      <c r="M43" s="10">
        <v>37617</v>
      </c>
      <c r="N43" s="8" t="s">
        <v>3268</v>
      </c>
      <c r="O43" s="8" t="s">
        <v>3144</v>
      </c>
      <c r="P43" s="8" t="s">
        <v>3175</v>
      </c>
      <c r="Q43" s="8" t="s">
        <v>3269</v>
      </c>
      <c r="R43" s="8">
        <v>925</v>
      </c>
      <c r="S43" s="8" t="s">
        <v>3270</v>
      </c>
      <c r="T43" s="8" t="s">
        <v>3271</v>
      </c>
      <c r="U43" s="8" t="s">
        <v>3272</v>
      </c>
      <c r="V43" s="9"/>
    </row>
    <row r="44" spans="1:22" ht="16" x14ac:dyDescent="0.2">
      <c r="A44" s="7" t="s">
        <v>1407</v>
      </c>
      <c r="B44" s="8" t="s">
        <v>3273</v>
      </c>
      <c r="C44" s="8" t="s">
        <v>3274</v>
      </c>
      <c r="D44" s="9"/>
      <c r="E44" s="9"/>
      <c r="F44" s="10">
        <v>44258</v>
      </c>
      <c r="G44" s="8" t="s">
        <v>3275</v>
      </c>
      <c r="H44" s="8" t="s">
        <v>3140</v>
      </c>
      <c r="I44" s="9"/>
      <c r="J44" s="8">
        <v>116124610110</v>
      </c>
      <c r="K44" s="11" t="s">
        <v>3276</v>
      </c>
      <c r="L44" s="8" t="s">
        <v>3277</v>
      </c>
      <c r="M44" s="10">
        <v>43783</v>
      </c>
      <c r="N44" s="8" t="s">
        <v>3278</v>
      </c>
      <c r="O44" s="8" t="s">
        <v>3144</v>
      </c>
      <c r="P44" s="8" t="s">
        <v>3175</v>
      </c>
      <c r="Q44" s="8" t="s">
        <v>3279</v>
      </c>
      <c r="R44" s="8">
        <v>12555</v>
      </c>
      <c r="S44" s="8" t="s">
        <v>3280</v>
      </c>
      <c r="T44" s="8" t="s">
        <v>3281</v>
      </c>
      <c r="U44" s="8" t="s">
        <v>3282</v>
      </c>
      <c r="V44" s="11" t="s">
        <v>3283</v>
      </c>
    </row>
    <row r="45" spans="1:22" x14ac:dyDescent="0.2">
      <c r="A45" s="13" t="s">
        <v>1196</v>
      </c>
      <c r="B45" s="15" t="s">
        <v>3284</v>
      </c>
      <c r="C45" s="15" t="s">
        <v>3285</v>
      </c>
      <c r="D45" s="14"/>
      <c r="E45" s="14"/>
      <c r="F45" s="16">
        <v>44390</v>
      </c>
      <c r="G45" s="8" t="s">
        <v>3286</v>
      </c>
      <c r="H45" s="15" t="s">
        <v>3140</v>
      </c>
      <c r="I45" s="14"/>
      <c r="J45" s="15">
        <v>286682199119</v>
      </c>
      <c r="K45" s="17" t="s">
        <v>3290</v>
      </c>
      <c r="L45" s="15" t="s">
        <v>3291</v>
      </c>
      <c r="M45" s="16">
        <v>41242</v>
      </c>
      <c r="N45" s="15" t="s">
        <v>3292</v>
      </c>
      <c r="O45" s="15" t="s">
        <v>3144</v>
      </c>
      <c r="P45" s="15" t="s">
        <v>3293</v>
      </c>
      <c r="Q45" s="15" t="s">
        <v>3294</v>
      </c>
      <c r="R45" s="15">
        <v>239</v>
      </c>
      <c r="S45" s="15" t="s">
        <v>3295</v>
      </c>
      <c r="T45" s="15" t="s">
        <v>3296</v>
      </c>
      <c r="U45" s="15" t="s">
        <v>3297</v>
      </c>
      <c r="V45" s="17" t="s">
        <v>3298</v>
      </c>
    </row>
    <row r="46" spans="1:22" x14ac:dyDescent="0.2">
      <c r="A46" s="13"/>
      <c r="B46" s="15"/>
      <c r="C46" s="15"/>
      <c r="D46" s="14"/>
      <c r="E46" s="14"/>
      <c r="F46" s="16"/>
      <c r="G46" s="8" t="s">
        <v>3287</v>
      </c>
      <c r="H46" s="15"/>
      <c r="I46" s="14"/>
      <c r="J46" s="15"/>
      <c r="K46" s="17"/>
      <c r="L46" s="15"/>
      <c r="M46" s="16"/>
      <c r="N46" s="15"/>
      <c r="O46" s="15"/>
      <c r="P46" s="15"/>
      <c r="Q46" s="15"/>
      <c r="R46" s="15"/>
      <c r="S46" s="15"/>
      <c r="T46" s="15"/>
      <c r="U46" s="15"/>
      <c r="V46" s="17"/>
    </row>
    <row r="47" spans="1:22" x14ac:dyDescent="0.2">
      <c r="A47" s="13"/>
      <c r="B47" s="15"/>
      <c r="C47" s="15"/>
      <c r="D47" s="14"/>
      <c r="E47" s="14"/>
      <c r="F47" s="16"/>
      <c r="G47" s="8" t="s">
        <v>3288</v>
      </c>
      <c r="H47" s="15"/>
      <c r="I47" s="14"/>
      <c r="J47" s="15"/>
      <c r="K47" s="17"/>
      <c r="L47" s="15"/>
      <c r="M47" s="16"/>
      <c r="N47" s="15"/>
      <c r="O47" s="15"/>
      <c r="P47" s="15"/>
      <c r="Q47" s="15"/>
      <c r="R47" s="15"/>
      <c r="S47" s="15"/>
      <c r="T47" s="15"/>
      <c r="U47" s="15"/>
      <c r="V47" s="17"/>
    </row>
    <row r="48" spans="1:22" x14ac:dyDescent="0.2">
      <c r="A48" s="13"/>
      <c r="B48" s="15"/>
      <c r="C48" s="15"/>
      <c r="D48" s="14"/>
      <c r="E48" s="14"/>
      <c r="F48" s="16"/>
      <c r="G48" s="8" t="s">
        <v>3289</v>
      </c>
      <c r="H48" s="15"/>
      <c r="I48" s="14"/>
      <c r="J48" s="15"/>
      <c r="K48" s="17"/>
      <c r="L48" s="15"/>
      <c r="M48" s="16"/>
      <c r="N48" s="15"/>
      <c r="O48" s="15"/>
      <c r="P48" s="15"/>
      <c r="Q48" s="15"/>
      <c r="R48" s="15"/>
      <c r="S48" s="15"/>
      <c r="T48" s="15"/>
      <c r="U48" s="15"/>
      <c r="V48" s="17"/>
    </row>
    <row r="49" spans="1:22" ht="16" x14ac:dyDescent="0.2">
      <c r="A49" s="7" t="s">
        <v>737</v>
      </c>
      <c r="B49" s="9"/>
      <c r="C49" s="9"/>
      <c r="D49" s="9"/>
      <c r="E49" s="9"/>
      <c r="F49" s="10">
        <v>44596</v>
      </c>
      <c r="G49" s="9"/>
      <c r="H49" s="8" t="s">
        <v>3140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ht="16" x14ac:dyDescent="0.2">
      <c r="A50" s="7" t="s">
        <v>341</v>
      </c>
      <c r="B50" s="9"/>
      <c r="C50" s="9"/>
      <c r="D50" s="9"/>
      <c r="E50" s="9"/>
      <c r="F50" s="10">
        <v>44406</v>
      </c>
      <c r="G50" s="9"/>
      <c r="H50" s="8" t="s">
        <v>3140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16" x14ac:dyDescent="0.2">
      <c r="A51" s="7" t="s">
        <v>3299</v>
      </c>
      <c r="B51" s="9"/>
      <c r="C51" s="9"/>
      <c r="D51" s="9"/>
      <c r="E51" s="9"/>
      <c r="F51" s="10">
        <v>44139</v>
      </c>
      <c r="G51" s="9"/>
      <c r="H51" s="8" t="s">
        <v>3140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ht="16" x14ac:dyDescent="0.2">
      <c r="A52" s="7" t="s">
        <v>799</v>
      </c>
      <c r="B52" s="9"/>
      <c r="C52" s="9"/>
      <c r="D52" s="9"/>
      <c r="E52" s="9"/>
      <c r="F52" s="10">
        <v>44279</v>
      </c>
      <c r="G52" s="9"/>
      <c r="H52" s="8" t="s">
        <v>3140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ht="16" x14ac:dyDescent="0.2">
      <c r="A53" s="7" t="s">
        <v>3300</v>
      </c>
      <c r="B53" s="9"/>
      <c r="C53" s="9"/>
      <c r="D53" s="8" t="s">
        <v>3301</v>
      </c>
      <c r="E53" s="9"/>
      <c r="F53" s="10">
        <v>45282</v>
      </c>
      <c r="G53" s="9"/>
      <c r="H53" s="8" t="s">
        <v>3140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2">
      <c r="A54" s="13" t="s">
        <v>1244</v>
      </c>
      <c r="B54" s="15" t="s">
        <v>3302</v>
      </c>
      <c r="C54" s="15" t="s">
        <v>3303</v>
      </c>
      <c r="D54" s="14"/>
      <c r="E54" s="14"/>
      <c r="F54" s="16">
        <v>44795</v>
      </c>
      <c r="G54" s="8" t="s">
        <v>3304</v>
      </c>
      <c r="H54" s="15" t="s">
        <v>3140</v>
      </c>
      <c r="I54" s="14"/>
      <c r="J54" s="15">
        <v>12618095811</v>
      </c>
      <c r="K54" s="17" t="s">
        <v>3315</v>
      </c>
      <c r="L54" s="15" t="s">
        <v>3316</v>
      </c>
      <c r="M54" s="16">
        <v>43616</v>
      </c>
      <c r="N54" s="15" t="s">
        <v>3317</v>
      </c>
      <c r="O54" s="15" t="s">
        <v>3144</v>
      </c>
      <c r="P54" s="15" t="s">
        <v>3175</v>
      </c>
      <c r="Q54" s="15" t="s">
        <v>3318</v>
      </c>
      <c r="R54" s="15">
        <v>2219</v>
      </c>
      <c r="S54" s="15" t="s">
        <v>3260</v>
      </c>
      <c r="T54" s="15" t="s">
        <v>3319</v>
      </c>
      <c r="U54" s="15" t="s">
        <v>3320</v>
      </c>
      <c r="V54" s="17" t="s">
        <v>3321</v>
      </c>
    </row>
    <row r="55" spans="1:22" x14ac:dyDescent="0.2">
      <c r="A55" s="13"/>
      <c r="B55" s="15"/>
      <c r="C55" s="15"/>
      <c r="D55" s="14"/>
      <c r="E55" s="14"/>
      <c r="F55" s="16"/>
      <c r="H55" s="15"/>
      <c r="I55" s="14"/>
      <c r="J55" s="15"/>
      <c r="K55" s="17"/>
      <c r="L55" s="15"/>
      <c r="M55" s="16"/>
      <c r="N55" s="15"/>
      <c r="O55" s="15"/>
      <c r="P55" s="15"/>
      <c r="Q55" s="15"/>
      <c r="R55" s="15"/>
      <c r="S55" s="15"/>
      <c r="T55" s="15"/>
      <c r="U55" s="15"/>
      <c r="V55" s="17"/>
    </row>
    <row r="56" spans="1:22" x14ac:dyDescent="0.2">
      <c r="A56" s="13"/>
      <c r="B56" s="15"/>
      <c r="C56" s="15"/>
      <c r="D56" s="14"/>
      <c r="E56" s="14"/>
      <c r="F56" s="16"/>
      <c r="G56" s="8" t="s">
        <v>3305</v>
      </c>
      <c r="H56" s="15"/>
      <c r="I56" s="14"/>
      <c r="J56" s="15"/>
      <c r="K56" s="17"/>
      <c r="L56" s="15"/>
      <c r="M56" s="16"/>
      <c r="N56" s="15"/>
      <c r="O56" s="15"/>
      <c r="P56" s="15"/>
      <c r="Q56" s="15"/>
      <c r="R56" s="15"/>
      <c r="S56" s="15"/>
      <c r="T56" s="15"/>
      <c r="U56" s="15"/>
      <c r="V56" s="17"/>
    </row>
    <row r="57" spans="1:22" x14ac:dyDescent="0.2">
      <c r="A57" s="13"/>
      <c r="B57" s="15"/>
      <c r="C57" s="15"/>
      <c r="D57" s="14"/>
      <c r="E57" s="14"/>
      <c r="F57" s="16"/>
      <c r="G57" s="8" t="s">
        <v>3306</v>
      </c>
      <c r="H57" s="15"/>
      <c r="I57" s="14"/>
      <c r="J57" s="15"/>
      <c r="K57" s="17"/>
      <c r="L57" s="15"/>
      <c r="M57" s="16"/>
      <c r="N57" s="15"/>
      <c r="O57" s="15"/>
      <c r="P57" s="15"/>
      <c r="Q57" s="15"/>
      <c r="R57" s="15"/>
      <c r="S57" s="15"/>
      <c r="T57" s="15"/>
      <c r="U57" s="15"/>
      <c r="V57" s="17"/>
    </row>
    <row r="58" spans="1:22" x14ac:dyDescent="0.2">
      <c r="A58" s="13"/>
      <c r="B58" s="15"/>
      <c r="C58" s="15"/>
      <c r="D58" s="14"/>
      <c r="E58" s="14"/>
      <c r="F58" s="16"/>
      <c r="G58" s="8" t="s">
        <v>3307</v>
      </c>
      <c r="H58" s="15"/>
      <c r="I58" s="14"/>
      <c r="J58" s="15"/>
      <c r="K58" s="17"/>
      <c r="L58" s="15"/>
      <c r="M58" s="16"/>
      <c r="N58" s="15"/>
      <c r="O58" s="15"/>
      <c r="P58" s="15"/>
      <c r="Q58" s="15"/>
      <c r="R58" s="15"/>
      <c r="S58" s="15"/>
      <c r="T58" s="15"/>
      <c r="U58" s="15"/>
      <c r="V58" s="17"/>
    </row>
    <row r="59" spans="1:22" x14ac:dyDescent="0.2">
      <c r="A59" s="13"/>
      <c r="B59" s="15"/>
      <c r="C59" s="15"/>
      <c r="D59" s="14"/>
      <c r="E59" s="14"/>
      <c r="F59" s="16"/>
      <c r="G59" s="8" t="s">
        <v>3308</v>
      </c>
      <c r="H59" s="15"/>
      <c r="I59" s="14"/>
      <c r="J59" s="15"/>
      <c r="K59" s="17"/>
      <c r="L59" s="15"/>
      <c r="M59" s="16"/>
      <c r="N59" s="15"/>
      <c r="O59" s="15"/>
      <c r="P59" s="15"/>
      <c r="Q59" s="15"/>
      <c r="R59" s="15"/>
      <c r="S59" s="15"/>
      <c r="T59" s="15"/>
      <c r="U59" s="15"/>
      <c r="V59" s="17"/>
    </row>
    <row r="60" spans="1:22" x14ac:dyDescent="0.2">
      <c r="A60" s="13"/>
      <c r="B60" s="15"/>
      <c r="C60" s="15"/>
      <c r="D60" s="14"/>
      <c r="E60" s="14"/>
      <c r="F60" s="16"/>
      <c r="G60" s="8" t="s">
        <v>3309</v>
      </c>
      <c r="H60" s="15"/>
      <c r="I60" s="14"/>
      <c r="J60" s="15"/>
      <c r="K60" s="17"/>
      <c r="L60" s="15"/>
      <c r="M60" s="16"/>
      <c r="N60" s="15"/>
      <c r="O60" s="15"/>
      <c r="P60" s="15"/>
      <c r="Q60" s="15"/>
      <c r="R60" s="15"/>
      <c r="S60" s="15"/>
      <c r="T60" s="15"/>
      <c r="U60" s="15"/>
      <c r="V60" s="17"/>
    </row>
    <row r="61" spans="1:22" x14ac:dyDescent="0.2">
      <c r="A61" s="13"/>
      <c r="B61" s="15"/>
      <c r="C61" s="15"/>
      <c r="D61" s="14"/>
      <c r="E61" s="14"/>
      <c r="F61" s="16"/>
      <c r="G61" s="8" t="s">
        <v>3310</v>
      </c>
      <c r="H61" s="15"/>
      <c r="I61" s="14"/>
      <c r="J61" s="15"/>
      <c r="K61" s="17"/>
      <c r="L61" s="15"/>
      <c r="M61" s="16"/>
      <c r="N61" s="15"/>
      <c r="O61" s="15"/>
      <c r="P61" s="15"/>
      <c r="Q61" s="15"/>
      <c r="R61" s="15"/>
      <c r="S61" s="15"/>
      <c r="T61" s="15"/>
      <c r="U61" s="15"/>
      <c r="V61" s="17"/>
    </row>
    <row r="62" spans="1:22" x14ac:dyDescent="0.2">
      <c r="A62" s="13"/>
      <c r="B62" s="15"/>
      <c r="C62" s="15"/>
      <c r="D62" s="14"/>
      <c r="E62" s="14"/>
      <c r="F62" s="16"/>
      <c r="H62" s="15"/>
      <c r="I62" s="14"/>
      <c r="J62" s="15"/>
      <c r="K62" s="17"/>
      <c r="L62" s="15"/>
      <c r="M62" s="16"/>
      <c r="N62" s="15"/>
      <c r="O62" s="15"/>
      <c r="P62" s="15"/>
      <c r="Q62" s="15"/>
      <c r="R62" s="15"/>
      <c r="S62" s="15"/>
      <c r="T62" s="15"/>
      <c r="U62" s="15"/>
      <c r="V62" s="17"/>
    </row>
    <row r="63" spans="1:22" x14ac:dyDescent="0.2">
      <c r="A63" s="13"/>
      <c r="B63" s="15"/>
      <c r="C63" s="15"/>
      <c r="D63" s="14"/>
      <c r="E63" s="14"/>
      <c r="F63" s="16"/>
      <c r="G63" s="8" t="s">
        <v>3311</v>
      </c>
      <c r="H63" s="15"/>
      <c r="I63" s="14"/>
      <c r="J63" s="15"/>
      <c r="K63" s="17"/>
      <c r="L63" s="15"/>
      <c r="M63" s="16"/>
      <c r="N63" s="15"/>
      <c r="O63" s="15"/>
      <c r="P63" s="15"/>
      <c r="Q63" s="15"/>
      <c r="R63" s="15"/>
      <c r="S63" s="15"/>
      <c r="T63" s="15"/>
      <c r="U63" s="15"/>
      <c r="V63" s="17"/>
    </row>
    <row r="64" spans="1:22" x14ac:dyDescent="0.2">
      <c r="A64" s="13"/>
      <c r="B64" s="15"/>
      <c r="C64" s="15"/>
      <c r="D64" s="14"/>
      <c r="E64" s="14"/>
      <c r="F64" s="16"/>
      <c r="H64" s="15"/>
      <c r="I64" s="14"/>
      <c r="J64" s="15"/>
      <c r="K64" s="17"/>
      <c r="L64" s="15"/>
      <c r="M64" s="16"/>
      <c r="N64" s="15"/>
      <c r="O64" s="15"/>
      <c r="P64" s="15"/>
      <c r="Q64" s="15"/>
      <c r="R64" s="15"/>
      <c r="S64" s="15"/>
      <c r="T64" s="15"/>
      <c r="U64" s="15"/>
      <c r="V64" s="17"/>
    </row>
    <row r="65" spans="1:22" x14ac:dyDescent="0.2">
      <c r="A65" s="13"/>
      <c r="B65" s="15"/>
      <c r="C65" s="15"/>
      <c r="D65" s="14"/>
      <c r="E65" s="14"/>
      <c r="F65" s="16"/>
      <c r="G65" s="8" t="s">
        <v>3312</v>
      </c>
      <c r="H65" s="15"/>
      <c r="I65" s="14"/>
      <c r="J65" s="15"/>
      <c r="K65" s="17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7"/>
    </row>
    <row r="66" spans="1:22" x14ac:dyDescent="0.2">
      <c r="A66" s="13"/>
      <c r="B66" s="15"/>
      <c r="C66" s="15"/>
      <c r="D66" s="14"/>
      <c r="E66" s="14"/>
      <c r="F66" s="16"/>
      <c r="G66" s="8" t="s">
        <v>3313</v>
      </c>
      <c r="H66" s="15"/>
      <c r="I66" s="14"/>
      <c r="J66" s="15"/>
      <c r="K66" s="17"/>
      <c r="L66" s="15"/>
      <c r="M66" s="16"/>
      <c r="N66" s="15"/>
      <c r="O66" s="15"/>
      <c r="P66" s="15"/>
      <c r="Q66" s="15"/>
      <c r="R66" s="15"/>
      <c r="S66" s="15"/>
      <c r="T66" s="15"/>
      <c r="U66" s="15"/>
      <c r="V66" s="17"/>
    </row>
    <row r="67" spans="1:22" x14ac:dyDescent="0.2">
      <c r="A67" s="13"/>
      <c r="B67" s="15"/>
      <c r="C67" s="15"/>
      <c r="D67" s="14"/>
      <c r="E67" s="14"/>
      <c r="F67" s="16"/>
      <c r="G67" s="8" t="s">
        <v>3314</v>
      </c>
      <c r="H67" s="15"/>
      <c r="I67" s="14"/>
      <c r="J67" s="15"/>
      <c r="K67" s="17"/>
      <c r="L67" s="15"/>
      <c r="M67" s="16"/>
      <c r="N67" s="15"/>
      <c r="O67" s="15"/>
      <c r="P67" s="15"/>
      <c r="Q67" s="15"/>
      <c r="R67" s="15"/>
      <c r="S67" s="15"/>
      <c r="T67" s="15"/>
      <c r="U67" s="15"/>
      <c r="V67" s="17"/>
    </row>
    <row r="68" spans="1:22" ht="16" x14ac:dyDescent="0.2">
      <c r="A68" s="7" t="s">
        <v>1854</v>
      </c>
      <c r="B68" s="8" t="s">
        <v>3322</v>
      </c>
      <c r="C68" s="8" t="s">
        <v>3323</v>
      </c>
      <c r="D68" s="9"/>
      <c r="E68" s="9"/>
      <c r="F68" s="10">
        <v>45064</v>
      </c>
      <c r="G68" s="9"/>
      <c r="H68" s="8" t="s">
        <v>3140</v>
      </c>
      <c r="I68" s="9"/>
      <c r="J68" s="9"/>
      <c r="K68" s="9"/>
      <c r="L68" s="8" t="s">
        <v>3324</v>
      </c>
      <c r="M68" s="10">
        <v>36221</v>
      </c>
      <c r="N68" s="8" t="s">
        <v>3325</v>
      </c>
      <c r="O68" s="8" t="s">
        <v>3326</v>
      </c>
      <c r="P68" s="8" t="s">
        <v>3327</v>
      </c>
      <c r="Q68" s="8" t="s">
        <v>3328</v>
      </c>
      <c r="R68" s="8">
        <v>1990</v>
      </c>
      <c r="S68" s="8" t="s">
        <v>3185</v>
      </c>
      <c r="T68" s="8" t="s">
        <v>3329</v>
      </c>
      <c r="U68" s="9"/>
      <c r="V68" s="9"/>
    </row>
    <row r="69" spans="1:22" ht="16" x14ac:dyDescent="0.2">
      <c r="A69" s="7" t="s">
        <v>1904</v>
      </c>
      <c r="B69" s="8" t="s">
        <v>3330</v>
      </c>
      <c r="C69" s="8" t="s">
        <v>3331</v>
      </c>
      <c r="D69" s="9"/>
      <c r="E69" s="9"/>
      <c r="F69" s="10">
        <v>44781</v>
      </c>
      <c r="G69" s="8" t="s">
        <v>3332</v>
      </c>
      <c r="H69" s="8" t="s">
        <v>3140</v>
      </c>
      <c r="I69" s="9"/>
      <c r="J69" s="9"/>
      <c r="K69" s="11" t="s">
        <v>3333</v>
      </c>
      <c r="L69" s="8" t="s">
        <v>3334</v>
      </c>
      <c r="M69" s="10">
        <v>41653</v>
      </c>
      <c r="N69" s="8" t="s">
        <v>3335</v>
      </c>
      <c r="O69" s="8" t="s">
        <v>3144</v>
      </c>
      <c r="P69" s="8" t="s">
        <v>3175</v>
      </c>
      <c r="Q69" s="8" t="s">
        <v>3336</v>
      </c>
      <c r="R69" s="8">
        <v>500</v>
      </c>
      <c r="S69" s="8" t="s">
        <v>3270</v>
      </c>
      <c r="T69" s="8" t="s">
        <v>3337</v>
      </c>
      <c r="U69" s="8" t="s">
        <v>3338</v>
      </c>
      <c r="V69" s="11" t="s">
        <v>3339</v>
      </c>
    </row>
    <row r="70" spans="1:22" ht="16" x14ac:dyDescent="0.2">
      <c r="A70" s="7" t="s">
        <v>235</v>
      </c>
      <c r="B70" s="9"/>
      <c r="C70" s="9"/>
      <c r="D70" s="9"/>
      <c r="E70" s="9"/>
      <c r="F70" s="10">
        <v>44355</v>
      </c>
      <c r="G70" s="9"/>
      <c r="H70" s="8" t="s">
        <v>3140</v>
      </c>
      <c r="I70" s="9"/>
      <c r="J70" s="9"/>
      <c r="K70" s="11" t="s">
        <v>3340</v>
      </c>
      <c r="L70" s="9"/>
      <c r="M70" s="9"/>
      <c r="N70" s="8" t="s">
        <v>3341</v>
      </c>
      <c r="O70" s="8" t="s">
        <v>3144</v>
      </c>
      <c r="P70" s="8" t="s">
        <v>3175</v>
      </c>
      <c r="Q70" s="8" t="s">
        <v>3342</v>
      </c>
      <c r="R70" s="8">
        <v>310</v>
      </c>
      <c r="S70" s="8" t="s">
        <v>3343</v>
      </c>
      <c r="T70" s="8" t="s">
        <v>3344</v>
      </c>
      <c r="U70" s="8" t="s">
        <v>3345</v>
      </c>
      <c r="V70" s="11" t="s">
        <v>3340</v>
      </c>
    </row>
    <row r="71" spans="1:22" ht="16" x14ac:dyDescent="0.2">
      <c r="A71" s="7" t="s">
        <v>873</v>
      </c>
      <c r="B71" s="8" t="s">
        <v>3346</v>
      </c>
      <c r="C71" s="8" t="s">
        <v>3347</v>
      </c>
      <c r="D71" s="9"/>
      <c r="E71" s="9"/>
      <c r="F71" s="10">
        <v>44813</v>
      </c>
      <c r="G71" s="9"/>
      <c r="H71" s="8" t="s">
        <v>3140</v>
      </c>
      <c r="I71" s="9"/>
      <c r="J71" s="9"/>
      <c r="K71" s="11" t="s">
        <v>3348</v>
      </c>
      <c r="L71" s="8" t="s">
        <v>3349</v>
      </c>
      <c r="M71" s="10">
        <v>34939</v>
      </c>
      <c r="N71" s="8" t="s">
        <v>3350</v>
      </c>
      <c r="O71" s="8" t="s">
        <v>3144</v>
      </c>
      <c r="P71" s="8" t="s">
        <v>3175</v>
      </c>
      <c r="Q71" s="8" t="s">
        <v>3351</v>
      </c>
      <c r="R71" s="8">
        <v>1400</v>
      </c>
      <c r="S71" s="8" t="s">
        <v>3352</v>
      </c>
      <c r="T71" s="9"/>
      <c r="U71" s="8" t="s">
        <v>3353</v>
      </c>
      <c r="V71" s="9"/>
    </row>
    <row r="72" spans="1:22" ht="16" x14ac:dyDescent="0.2">
      <c r="A72" s="7" t="s">
        <v>1778</v>
      </c>
      <c r="B72" s="8" t="s">
        <v>3354</v>
      </c>
      <c r="C72" s="8" t="s">
        <v>3355</v>
      </c>
      <c r="D72" s="9"/>
      <c r="E72" s="9"/>
      <c r="F72" s="10">
        <v>45020</v>
      </c>
      <c r="G72" s="9"/>
      <c r="H72" s="8" t="s">
        <v>3140</v>
      </c>
      <c r="I72" s="9"/>
      <c r="J72" s="9"/>
      <c r="K72" s="11" t="s">
        <v>3356</v>
      </c>
      <c r="L72" s="8" t="s">
        <v>3357</v>
      </c>
      <c r="M72" s="10">
        <v>25520</v>
      </c>
      <c r="N72" s="8" t="s">
        <v>3358</v>
      </c>
      <c r="O72" s="8" t="s">
        <v>3144</v>
      </c>
      <c r="P72" s="8" t="s">
        <v>3359</v>
      </c>
      <c r="Q72" s="8" t="s">
        <v>3360</v>
      </c>
      <c r="R72" s="8">
        <v>114</v>
      </c>
      <c r="S72" s="8" t="s">
        <v>3361</v>
      </c>
      <c r="T72" s="8" t="s">
        <v>3362</v>
      </c>
      <c r="U72" s="9"/>
      <c r="V72" s="9"/>
    </row>
    <row r="73" spans="1:22" ht="16" x14ac:dyDescent="0.2">
      <c r="A73" s="7" t="s">
        <v>1470</v>
      </c>
      <c r="B73" s="9"/>
      <c r="C73" s="9"/>
      <c r="D73" s="9"/>
      <c r="E73" s="9"/>
      <c r="F73" s="10">
        <v>44684</v>
      </c>
      <c r="G73" s="9"/>
      <c r="H73" s="8" t="s">
        <v>3140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ht="16" x14ac:dyDescent="0.2">
      <c r="A74" s="7" t="s">
        <v>40</v>
      </c>
      <c r="B74" s="9"/>
      <c r="C74" s="9"/>
      <c r="D74" s="9"/>
      <c r="E74" s="9"/>
      <c r="F74" s="10">
        <v>44279</v>
      </c>
      <c r="G74" s="9"/>
      <c r="H74" s="8" t="s">
        <v>3140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ht="16" x14ac:dyDescent="0.2">
      <c r="A75" s="7" t="s">
        <v>622</v>
      </c>
      <c r="B75" s="9"/>
      <c r="C75" s="9"/>
      <c r="D75" s="9"/>
      <c r="E75" s="9"/>
      <c r="F75" s="10">
        <v>44539</v>
      </c>
      <c r="G75" s="9"/>
      <c r="H75" s="8" t="s">
        <v>3140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ht="16" x14ac:dyDescent="0.2">
      <c r="A76" s="7" t="s">
        <v>849</v>
      </c>
      <c r="B76" s="8" t="s">
        <v>3363</v>
      </c>
      <c r="C76" s="8" t="s">
        <v>3364</v>
      </c>
      <c r="D76" s="9"/>
      <c r="E76" s="9"/>
      <c r="F76" s="10">
        <v>44785</v>
      </c>
      <c r="G76" s="9"/>
      <c r="H76" s="8" t="s">
        <v>3140</v>
      </c>
      <c r="I76" s="9"/>
      <c r="J76" s="9"/>
      <c r="K76" s="11" t="s">
        <v>3365</v>
      </c>
      <c r="L76" s="8" t="s">
        <v>3366</v>
      </c>
      <c r="M76" s="10">
        <v>41736</v>
      </c>
      <c r="N76" s="8" t="s">
        <v>3367</v>
      </c>
      <c r="O76" s="8" t="s">
        <v>3144</v>
      </c>
      <c r="P76" s="8" t="s">
        <v>3175</v>
      </c>
      <c r="Q76" s="8" t="s">
        <v>3351</v>
      </c>
      <c r="R76" s="8">
        <v>338</v>
      </c>
      <c r="S76" s="8" t="s">
        <v>3352</v>
      </c>
      <c r="T76" s="9"/>
      <c r="U76" s="8" t="s">
        <v>3368</v>
      </c>
      <c r="V76" s="11" t="s">
        <v>3369</v>
      </c>
    </row>
    <row r="77" spans="1:22" ht="16" x14ac:dyDescent="0.2">
      <c r="A77" s="7" t="s">
        <v>3370</v>
      </c>
      <c r="B77" s="9"/>
      <c r="C77" s="9"/>
      <c r="D77" s="9"/>
      <c r="E77" s="9"/>
      <c r="F77" s="10">
        <v>44141</v>
      </c>
      <c r="G77" s="9"/>
      <c r="H77" s="8" t="s">
        <v>3140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x14ac:dyDescent="0.2">
      <c r="A78" s="13" t="s">
        <v>2755</v>
      </c>
      <c r="B78" s="15" t="s">
        <v>3371</v>
      </c>
      <c r="C78" s="15" t="s">
        <v>3372</v>
      </c>
      <c r="D78" s="14"/>
      <c r="E78" s="14"/>
      <c r="F78" s="16">
        <v>44244</v>
      </c>
      <c r="G78" s="8" t="s">
        <v>3373</v>
      </c>
      <c r="H78" s="15" t="s">
        <v>3140</v>
      </c>
      <c r="I78" s="14"/>
      <c r="J78" s="14"/>
      <c r="K78" s="17" t="s">
        <v>3377</v>
      </c>
      <c r="L78" s="15" t="s">
        <v>3378</v>
      </c>
      <c r="M78" s="16">
        <v>29454</v>
      </c>
      <c r="N78" s="15" t="s">
        <v>3350</v>
      </c>
      <c r="O78" s="15" t="s">
        <v>3144</v>
      </c>
      <c r="P78" s="15" t="s">
        <v>3175</v>
      </c>
      <c r="Q78" s="15" t="s">
        <v>3379</v>
      </c>
      <c r="R78" s="15">
        <v>1522</v>
      </c>
      <c r="S78" s="15" t="s">
        <v>3380</v>
      </c>
      <c r="T78" s="14"/>
      <c r="U78" s="15" t="s">
        <v>3381</v>
      </c>
      <c r="V78" s="17" t="s">
        <v>3382</v>
      </c>
    </row>
    <row r="79" spans="1:22" x14ac:dyDescent="0.2">
      <c r="A79" s="13"/>
      <c r="B79" s="15"/>
      <c r="C79" s="15"/>
      <c r="D79" s="14"/>
      <c r="E79" s="14"/>
      <c r="F79" s="16"/>
      <c r="G79" s="8" t="s">
        <v>3374</v>
      </c>
      <c r="H79" s="15"/>
      <c r="I79" s="14"/>
      <c r="J79" s="14"/>
      <c r="K79" s="17"/>
      <c r="L79" s="15"/>
      <c r="M79" s="16"/>
      <c r="N79" s="15"/>
      <c r="O79" s="15"/>
      <c r="P79" s="15"/>
      <c r="Q79" s="15"/>
      <c r="R79" s="15"/>
      <c r="S79" s="15"/>
      <c r="T79" s="14"/>
      <c r="U79" s="15"/>
      <c r="V79" s="17"/>
    </row>
    <row r="80" spans="1:22" x14ac:dyDescent="0.2">
      <c r="A80" s="13"/>
      <c r="B80" s="15"/>
      <c r="C80" s="15"/>
      <c r="D80" s="14"/>
      <c r="E80" s="14"/>
      <c r="F80" s="16"/>
      <c r="G80" s="8" t="s">
        <v>3375</v>
      </c>
      <c r="H80" s="15"/>
      <c r="I80" s="14"/>
      <c r="J80" s="14"/>
      <c r="K80" s="17"/>
      <c r="L80" s="15"/>
      <c r="M80" s="16"/>
      <c r="N80" s="15"/>
      <c r="O80" s="15"/>
      <c r="P80" s="15"/>
      <c r="Q80" s="15"/>
      <c r="R80" s="15"/>
      <c r="S80" s="15"/>
      <c r="T80" s="14"/>
      <c r="U80" s="15"/>
      <c r="V80" s="17"/>
    </row>
    <row r="81" spans="1:22" x14ac:dyDescent="0.2">
      <c r="A81" s="13"/>
      <c r="B81" s="15"/>
      <c r="C81" s="15"/>
      <c r="D81" s="14"/>
      <c r="E81" s="14"/>
      <c r="F81" s="16"/>
      <c r="G81" s="8" t="s">
        <v>3376</v>
      </c>
      <c r="H81" s="15"/>
      <c r="I81" s="14"/>
      <c r="J81" s="14"/>
      <c r="K81" s="17"/>
      <c r="L81" s="15"/>
      <c r="M81" s="16"/>
      <c r="N81" s="15"/>
      <c r="O81" s="15"/>
      <c r="P81" s="15"/>
      <c r="Q81" s="15"/>
      <c r="R81" s="15"/>
      <c r="S81" s="15"/>
      <c r="T81" s="14"/>
      <c r="U81" s="15"/>
      <c r="V81" s="17"/>
    </row>
    <row r="82" spans="1:22" ht="16" x14ac:dyDescent="0.2">
      <c r="A82" s="7" t="s">
        <v>2275</v>
      </c>
      <c r="B82" s="8" t="s">
        <v>3383</v>
      </c>
      <c r="C82" s="8" t="s">
        <v>3384</v>
      </c>
      <c r="D82" s="9"/>
      <c r="E82" s="9"/>
      <c r="F82" s="10">
        <v>45146</v>
      </c>
      <c r="G82" s="9"/>
      <c r="H82" s="8" t="s">
        <v>3140</v>
      </c>
      <c r="I82" s="9"/>
      <c r="J82" s="9"/>
      <c r="K82" s="11" t="s">
        <v>3385</v>
      </c>
      <c r="L82" s="8" t="s">
        <v>3386</v>
      </c>
      <c r="M82" s="10">
        <v>44832</v>
      </c>
      <c r="N82" s="8" t="s">
        <v>3387</v>
      </c>
      <c r="O82" s="8" t="s">
        <v>3144</v>
      </c>
      <c r="P82" s="8" t="s">
        <v>3388</v>
      </c>
      <c r="Q82" s="8" t="s">
        <v>3389</v>
      </c>
      <c r="R82" s="8">
        <v>129</v>
      </c>
      <c r="S82" s="8" t="s">
        <v>3390</v>
      </c>
      <c r="T82" s="8" t="s">
        <v>3391</v>
      </c>
      <c r="U82" s="9"/>
      <c r="V82" s="9"/>
    </row>
    <row r="83" spans="1:22" ht="16" x14ac:dyDescent="0.2">
      <c r="A83" s="7" t="s">
        <v>2027</v>
      </c>
      <c r="B83" s="8" t="s">
        <v>3392</v>
      </c>
      <c r="C83" s="8" t="s">
        <v>3393</v>
      </c>
      <c r="D83" s="9"/>
      <c r="E83" s="9"/>
      <c r="F83" s="10">
        <v>45113</v>
      </c>
      <c r="G83" s="9"/>
      <c r="H83" s="8" t="s">
        <v>3140</v>
      </c>
      <c r="I83" s="9"/>
      <c r="J83" s="9"/>
      <c r="K83" s="9"/>
      <c r="L83" s="9"/>
      <c r="M83" s="10">
        <v>34450</v>
      </c>
      <c r="N83" s="8" t="s">
        <v>3394</v>
      </c>
      <c r="O83" s="8" t="s">
        <v>3144</v>
      </c>
      <c r="P83" s="8" t="s">
        <v>3175</v>
      </c>
      <c r="Q83" s="8" t="s">
        <v>544</v>
      </c>
      <c r="R83" s="8">
        <v>820</v>
      </c>
      <c r="S83" s="8" t="s">
        <v>3395</v>
      </c>
      <c r="T83" s="9"/>
      <c r="U83" s="9"/>
      <c r="V83" s="9"/>
    </row>
    <row r="84" spans="1:22" ht="16" x14ac:dyDescent="0.2">
      <c r="A84" s="7" t="s">
        <v>3396</v>
      </c>
      <c r="B84" s="9"/>
      <c r="C84" s="9"/>
      <c r="D84" s="9"/>
      <c r="E84" s="9"/>
      <c r="F84" s="10">
        <v>44265</v>
      </c>
      <c r="G84" s="9"/>
      <c r="H84" s="8" t="s">
        <v>3140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16" x14ac:dyDescent="0.2">
      <c r="A85" s="7" t="s">
        <v>428</v>
      </c>
      <c r="B85" s="9"/>
      <c r="C85" s="9"/>
      <c r="D85" s="9"/>
      <c r="E85" s="9"/>
      <c r="F85" s="10">
        <v>44452</v>
      </c>
      <c r="G85" s="9"/>
      <c r="H85" s="8" t="s">
        <v>3140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16" x14ac:dyDescent="0.2">
      <c r="A86" s="7" t="s">
        <v>2389</v>
      </c>
      <c r="B86" s="8" t="s">
        <v>1420</v>
      </c>
      <c r="C86" s="8" t="s">
        <v>3397</v>
      </c>
      <c r="D86" s="9"/>
      <c r="E86" s="9"/>
      <c r="F86" s="10">
        <v>44795</v>
      </c>
      <c r="G86" s="9"/>
      <c r="H86" s="8" t="s">
        <v>3140</v>
      </c>
      <c r="I86" s="9"/>
      <c r="J86" s="9"/>
      <c r="K86" s="11" t="s">
        <v>3398</v>
      </c>
      <c r="L86" s="8" t="s">
        <v>3399</v>
      </c>
      <c r="M86" s="10">
        <v>37452</v>
      </c>
      <c r="N86" s="8" t="s">
        <v>3400</v>
      </c>
      <c r="O86" s="8" t="s">
        <v>3326</v>
      </c>
      <c r="P86" s="8" t="s">
        <v>3401</v>
      </c>
      <c r="Q86" s="8" t="s">
        <v>3402</v>
      </c>
      <c r="R86" s="12">
        <v>8300</v>
      </c>
      <c r="S86" s="8" t="s">
        <v>3403</v>
      </c>
      <c r="T86" s="8" t="s">
        <v>3404</v>
      </c>
      <c r="U86" s="8" t="s">
        <v>3405</v>
      </c>
      <c r="V86" s="11" t="s">
        <v>3406</v>
      </c>
    </row>
    <row r="87" spans="1:22" x14ac:dyDescent="0.2">
      <c r="A87" s="13" t="s">
        <v>1011</v>
      </c>
      <c r="B87" s="15" t="s">
        <v>3407</v>
      </c>
      <c r="C87" s="15" t="s">
        <v>3408</v>
      </c>
      <c r="D87" s="14"/>
      <c r="E87" s="14"/>
      <c r="F87" s="16">
        <v>44797</v>
      </c>
      <c r="G87" s="8" t="s">
        <v>3409</v>
      </c>
      <c r="H87" s="15" t="s">
        <v>3140</v>
      </c>
      <c r="I87" s="14"/>
      <c r="J87" s="14"/>
      <c r="K87" s="17" t="s">
        <v>3412</v>
      </c>
      <c r="L87" s="15" t="s">
        <v>3413</v>
      </c>
      <c r="M87" s="16">
        <v>40450</v>
      </c>
      <c r="N87" s="15" t="s">
        <v>3414</v>
      </c>
      <c r="O87" s="15" t="s">
        <v>3144</v>
      </c>
      <c r="P87" s="15" t="s">
        <v>3175</v>
      </c>
      <c r="Q87" s="15" t="s">
        <v>3415</v>
      </c>
      <c r="R87" s="15">
        <v>125</v>
      </c>
      <c r="S87" s="15" t="s">
        <v>3416</v>
      </c>
      <c r="T87" s="14"/>
      <c r="U87" s="14"/>
      <c r="V87" s="14"/>
    </row>
    <row r="88" spans="1:22" x14ac:dyDescent="0.2">
      <c r="A88" s="13"/>
      <c r="B88" s="15"/>
      <c r="C88" s="15"/>
      <c r="D88" s="14"/>
      <c r="E88" s="14"/>
      <c r="F88" s="16"/>
      <c r="H88" s="15"/>
      <c r="I88" s="14"/>
      <c r="J88" s="14"/>
      <c r="K88" s="17"/>
      <c r="L88" s="15"/>
      <c r="M88" s="16"/>
      <c r="N88" s="15"/>
      <c r="O88" s="15"/>
      <c r="P88" s="15"/>
      <c r="Q88" s="15"/>
      <c r="R88" s="15"/>
      <c r="S88" s="15"/>
      <c r="T88" s="14"/>
      <c r="U88" s="14"/>
      <c r="V88" s="14"/>
    </row>
    <row r="89" spans="1:22" x14ac:dyDescent="0.2">
      <c r="A89" s="13"/>
      <c r="B89" s="15"/>
      <c r="C89" s="15"/>
      <c r="D89" s="14"/>
      <c r="E89" s="14"/>
      <c r="F89" s="16"/>
      <c r="G89" s="8" t="s">
        <v>3410</v>
      </c>
      <c r="H89" s="15"/>
      <c r="I89" s="14"/>
      <c r="J89" s="14"/>
      <c r="K89" s="17"/>
      <c r="L89" s="15"/>
      <c r="M89" s="16"/>
      <c r="N89" s="15"/>
      <c r="O89" s="15"/>
      <c r="P89" s="15"/>
      <c r="Q89" s="15"/>
      <c r="R89" s="15"/>
      <c r="S89" s="15"/>
      <c r="T89" s="14"/>
      <c r="U89" s="14"/>
      <c r="V89" s="14"/>
    </row>
    <row r="90" spans="1:22" x14ac:dyDescent="0.2">
      <c r="A90" s="13"/>
      <c r="B90" s="15"/>
      <c r="C90" s="15"/>
      <c r="D90" s="14"/>
      <c r="E90" s="14"/>
      <c r="F90" s="16"/>
      <c r="H90" s="15"/>
      <c r="I90" s="14"/>
      <c r="J90" s="14"/>
      <c r="K90" s="17"/>
      <c r="L90" s="15"/>
      <c r="M90" s="16"/>
      <c r="N90" s="15"/>
      <c r="O90" s="15"/>
      <c r="P90" s="15"/>
      <c r="Q90" s="15"/>
      <c r="R90" s="15"/>
      <c r="S90" s="15"/>
      <c r="T90" s="14"/>
      <c r="U90" s="14"/>
      <c r="V90" s="14"/>
    </row>
    <row r="91" spans="1:22" x14ac:dyDescent="0.2">
      <c r="A91" s="13"/>
      <c r="B91" s="15"/>
      <c r="C91" s="15"/>
      <c r="D91" s="14"/>
      <c r="E91" s="14"/>
      <c r="F91" s="16"/>
      <c r="G91" s="11" t="s">
        <v>3411</v>
      </c>
      <c r="H91" s="15"/>
      <c r="I91" s="14"/>
      <c r="J91" s="14"/>
      <c r="K91" s="17"/>
      <c r="L91" s="15"/>
      <c r="M91" s="16"/>
      <c r="N91" s="15"/>
      <c r="O91" s="15"/>
      <c r="P91" s="15"/>
      <c r="Q91" s="15"/>
      <c r="R91" s="15"/>
      <c r="S91" s="15"/>
      <c r="T91" s="14"/>
      <c r="U91" s="14"/>
      <c r="V91" s="14"/>
    </row>
    <row r="92" spans="1:22" ht="16" x14ac:dyDescent="0.2">
      <c r="A92" s="7" t="s">
        <v>129</v>
      </c>
      <c r="B92" s="9"/>
      <c r="C92" s="9"/>
      <c r="D92" s="9"/>
      <c r="E92" s="9"/>
      <c r="F92" s="10">
        <v>44315</v>
      </c>
      <c r="G92" s="9"/>
      <c r="H92" s="8" t="s">
        <v>3140</v>
      </c>
      <c r="I92" s="9"/>
      <c r="J92" s="9"/>
      <c r="K92" s="11" t="s">
        <v>3417</v>
      </c>
      <c r="L92" s="8" t="s">
        <v>3418</v>
      </c>
      <c r="M92" s="9"/>
      <c r="N92" s="8" t="s">
        <v>3419</v>
      </c>
      <c r="O92" s="8" t="s">
        <v>3144</v>
      </c>
      <c r="P92" s="8" t="s">
        <v>3175</v>
      </c>
      <c r="Q92" s="8" t="s">
        <v>3420</v>
      </c>
      <c r="R92" s="8">
        <v>825</v>
      </c>
      <c r="S92" s="8" t="s">
        <v>3421</v>
      </c>
      <c r="T92" s="9"/>
      <c r="U92" s="8" t="s">
        <v>3422</v>
      </c>
      <c r="V92" s="11" t="s">
        <v>3417</v>
      </c>
    </row>
    <row r="93" spans="1:22" ht="16" x14ac:dyDescent="0.2">
      <c r="A93" s="7" t="s">
        <v>822</v>
      </c>
      <c r="B93" s="9"/>
      <c r="C93" s="9"/>
      <c r="D93" s="9"/>
      <c r="E93" s="9"/>
      <c r="F93" s="10">
        <v>44428</v>
      </c>
      <c r="G93" s="9"/>
      <c r="H93" s="8" t="s">
        <v>3140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2">
      <c r="A94" s="13" t="s">
        <v>180</v>
      </c>
      <c r="B94" s="14"/>
      <c r="C94" s="14"/>
      <c r="D94" s="14"/>
      <c r="E94" s="14"/>
      <c r="F94" s="16">
        <v>44320</v>
      </c>
      <c r="G94" s="8" t="s">
        <v>3423</v>
      </c>
      <c r="H94" s="15" t="s">
        <v>3140</v>
      </c>
      <c r="I94" s="14"/>
      <c r="J94" s="14"/>
      <c r="K94" s="15" t="s">
        <v>3429</v>
      </c>
      <c r="L94" s="14"/>
      <c r="M94" s="14"/>
      <c r="N94" s="15" t="s">
        <v>3419</v>
      </c>
      <c r="O94" s="15" t="s">
        <v>3144</v>
      </c>
      <c r="P94" s="15" t="s">
        <v>3175</v>
      </c>
      <c r="Q94" s="15" t="s">
        <v>3420</v>
      </c>
      <c r="R94" s="15">
        <v>825</v>
      </c>
      <c r="S94" s="15" t="s">
        <v>3421</v>
      </c>
      <c r="T94" s="15" t="s">
        <v>3430</v>
      </c>
      <c r="U94" s="15" t="s">
        <v>3431</v>
      </c>
      <c r="V94" s="17" t="s">
        <v>3432</v>
      </c>
    </row>
    <row r="95" spans="1:22" x14ac:dyDescent="0.2">
      <c r="A95" s="13"/>
      <c r="B95" s="14"/>
      <c r="C95" s="14"/>
      <c r="D95" s="14"/>
      <c r="E95" s="14"/>
      <c r="F95" s="16"/>
      <c r="H95" s="15"/>
      <c r="I95" s="14"/>
      <c r="J95" s="14"/>
      <c r="K95" s="15"/>
      <c r="L95" s="14"/>
      <c r="M95" s="14"/>
      <c r="N95" s="15"/>
      <c r="O95" s="15"/>
      <c r="P95" s="15"/>
      <c r="Q95" s="15"/>
      <c r="R95" s="15"/>
      <c r="S95" s="15"/>
      <c r="T95" s="15"/>
      <c r="U95" s="15"/>
      <c r="V95" s="17"/>
    </row>
    <row r="96" spans="1:22" x14ac:dyDescent="0.2">
      <c r="A96" s="13"/>
      <c r="B96" s="14"/>
      <c r="C96" s="14"/>
      <c r="D96" s="14"/>
      <c r="E96" s="14"/>
      <c r="F96" s="16"/>
      <c r="G96" s="8" t="s">
        <v>3424</v>
      </c>
      <c r="H96" s="15"/>
      <c r="I96" s="14"/>
      <c r="J96" s="14"/>
      <c r="K96" s="15"/>
      <c r="L96" s="14"/>
      <c r="M96" s="14"/>
      <c r="N96" s="15"/>
      <c r="O96" s="15"/>
      <c r="P96" s="15"/>
      <c r="Q96" s="15"/>
      <c r="R96" s="15"/>
      <c r="S96" s="15"/>
      <c r="T96" s="15"/>
      <c r="U96" s="15"/>
      <c r="V96" s="17"/>
    </row>
    <row r="97" spans="1:22" x14ac:dyDescent="0.2">
      <c r="A97" s="13"/>
      <c r="B97" s="14"/>
      <c r="C97" s="14"/>
      <c r="D97" s="14"/>
      <c r="E97" s="14"/>
      <c r="F97" s="16"/>
      <c r="G97" s="8" t="s">
        <v>3425</v>
      </c>
      <c r="H97" s="15"/>
      <c r="I97" s="14"/>
      <c r="J97" s="14"/>
      <c r="K97" s="15"/>
      <c r="L97" s="14"/>
      <c r="M97" s="14"/>
      <c r="N97" s="15"/>
      <c r="O97" s="15"/>
      <c r="P97" s="15"/>
      <c r="Q97" s="15"/>
      <c r="R97" s="15"/>
      <c r="S97" s="15"/>
      <c r="T97" s="15"/>
      <c r="U97" s="15"/>
      <c r="V97" s="17"/>
    </row>
    <row r="98" spans="1:22" x14ac:dyDescent="0.2">
      <c r="A98" s="13"/>
      <c r="B98" s="14"/>
      <c r="C98" s="14"/>
      <c r="D98" s="14"/>
      <c r="E98" s="14"/>
      <c r="F98" s="16"/>
      <c r="G98" s="8" t="s">
        <v>3426</v>
      </c>
      <c r="H98" s="15"/>
      <c r="I98" s="14"/>
      <c r="J98" s="14"/>
      <c r="K98" s="15"/>
      <c r="L98" s="14"/>
      <c r="M98" s="14"/>
      <c r="N98" s="15"/>
      <c r="O98" s="15"/>
      <c r="P98" s="15"/>
      <c r="Q98" s="15"/>
      <c r="R98" s="15"/>
      <c r="S98" s="15"/>
      <c r="T98" s="15"/>
      <c r="U98" s="15"/>
      <c r="V98" s="17"/>
    </row>
    <row r="99" spans="1:22" x14ac:dyDescent="0.2">
      <c r="A99" s="13"/>
      <c r="B99" s="14"/>
      <c r="C99" s="14"/>
      <c r="D99" s="14"/>
      <c r="E99" s="14"/>
      <c r="F99" s="16"/>
      <c r="G99" s="11" t="s">
        <v>3427</v>
      </c>
      <c r="H99" s="15"/>
      <c r="I99" s="14"/>
      <c r="J99" s="14"/>
      <c r="K99" s="15"/>
      <c r="L99" s="14"/>
      <c r="M99" s="14"/>
      <c r="N99" s="15"/>
      <c r="O99" s="15"/>
      <c r="P99" s="15"/>
      <c r="Q99" s="15"/>
      <c r="R99" s="15"/>
      <c r="S99" s="15"/>
      <c r="T99" s="15"/>
      <c r="U99" s="15"/>
      <c r="V99" s="17"/>
    </row>
    <row r="100" spans="1:22" x14ac:dyDescent="0.2">
      <c r="A100" s="13"/>
      <c r="B100" s="14"/>
      <c r="C100" s="14"/>
      <c r="D100" s="14"/>
      <c r="E100" s="14"/>
      <c r="F100" s="16"/>
      <c r="G100" s="8" t="s">
        <v>3428</v>
      </c>
      <c r="H100" s="15"/>
      <c r="I100" s="14"/>
      <c r="J100" s="14"/>
      <c r="K100" s="15"/>
      <c r="L100" s="14"/>
      <c r="M100" s="14"/>
      <c r="N100" s="15"/>
      <c r="O100" s="15"/>
      <c r="P100" s="15"/>
      <c r="Q100" s="15"/>
      <c r="R100" s="15"/>
      <c r="S100" s="15"/>
      <c r="T100" s="15"/>
      <c r="U100" s="15"/>
      <c r="V100" s="17"/>
    </row>
    <row r="101" spans="1:22" ht="16" x14ac:dyDescent="0.2">
      <c r="A101" s="7" t="s">
        <v>3433</v>
      </c>
      <c r="B101" s="9"/>
      <c r="C101" s="9"/>
      <c r="D101" s="9"/>
      <c r="E101" s="9"/>
      <c r="F101" s="10">
        <v>44581</v>
      </c>
      <c r="G101" s="9"/>
      <c r="H101" s="8" t="s">
        <v>3140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16" x14ac:dyDescent="0.2">
      <c r="A102" s="7" t="s">
        <v>863</v>
      </c>
      <c r="B102" s="9"/>
      <c r="C102" s="9"/>
      <c r="D102" s="9"/>
      <c r="E102" s="9"/>
      <c r="F102" s="10">
        <v>44581</v>
      </c>
      <c r="G102" s="9"/>
      <c r="H102" s="8" t="s">
        <v>3140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16" x14ac:dyDescent="0.2">
      <c r="A103" s="7" t="s">
        <v>3434</v>
      </c>
      <c r="B103" s="9"/>
      <c r="C103" s="9"/>
      <c r="D103" s="9"/>
      <c r="E103" s="9"/>
      <c r="F103" s="10">
        <v>44687</v>
      </c>
      <c r="G103" s="9"/>
      <c r="H103" s="8" t="s">
        <v>3140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16" x14ac:dyDescent="0.2">
      <c r="A104" s="7" t="s">
        <v>1253</v>
      </c>
      <c r="B104" s="9"/>
      <c r="C104" s="9"/>
      <c r="D104" s="9"/>
      <c r="E104" s="9"/>
      <c r="F104" s="10">
        <v>44804</v>
      </c>
      <c r="G104" s="9"/>
      <c r="H104" s="8" t="s">
        <v>3140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16" x14ac:dyDescent="0.2">
      <c r="A105" s="7" t="s">
        <v>835</v>
      </c>
      <c r="B105" s="9"/>
      <c r="C105" s="9"/>
      <c r="D105" s="9"/>
      <c r="E105" s="9"/>
      <c r="F105" s="10">
        <v>44676</v>
      </c>
      <c r="G105" s="9"/>
      <c r="H105" s="8" t="s">
        <v>3140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6" x14ac:dyDescent="0.2">
      <c r="A106" s="7" t="s">
        <v>3435</v>
      </c>
      <c r="B106" s="8" t="s">
        <v>3436</v>
      </c>
      <c r="C106" s="8" t="s">
        <v>3437</v>
      </c>
      <c r="D106" s="9"/>
      <c r="E106" s="9"/>
      <c r="F106" s="10">
        <v>44805</v>
      </c>
      <c r="G106" s="8" t="s">
        <v>3438</v>
      </c>
      <c r="H106" s="8" t="s">
        <v>3140</v>
      </c>
      <c r="I106" s="9"/>
      <c r="J106" s="9"/>
      <c r="K106" s="11" t="s">
        <v>3439</v>
      </c>
      <c r="L106" s="8" t="s">
        <v>3440</v>
      </c>
      <c r="M106" s="10">
        <v>40890</v>
      </c>
      <c r="N106" s="8" t="s">
        <v>3441</v>
      </c>
      <c r="O106" s="8" t="s">
        <v>3144</v>
      </c>
      <c r="P106" s="8" t="s">
        <v>3175</v>
      </c>
      <c r="Q106" s="8" t="s">
        <v>3442</v>
      </c>
      <c r="R106" s="8">
        <v>1731</v>
      </c>
      <c r="S106" s="8" t="s">
        <v>3443</v>
      </c>
      <c r="T106" s="9"/>
      <c r="U106" s="8" t="s">
        <v>3444</v>
      </c>
      <c r="V106" s="11" t="s">
        <v>3445</v>
      </c>
    </row>
    <row r="107" spans="1:22" ht="16" x14ac:dyDescent="0.2">
      <c r="A107" s="7" t="s">
        <v>1630</v>
      </c>
      <c r="B107" s="8" t="s">
        <v>3446</v>
      </c>
      <c r="C107" s="8" t="s">
        <v>3447</v>
      </c>
      <c r="D107" s="9"/>
      <c r="E107" s="9"/>
      <c r="F107" s="10">
        <v>44966</v>
      </c>
      <c r="G107" s="9"/>
      <c r="H107" s="8" t="s">
        <v>3140</v>
      </c>
      <c r="I107" s="9"/>
      <c r="J107" s="9"/>
      <c r="K107" s="11" t="s">
        <v>3448</v>
      </c>
      <c r="L107" s="8" t="s">
        <v>3449</v>
      </c>
      <c r="M107" s="10">
        <v>42815</v>
      </c>
      <c r="N107" s="8" t="s">
        <v>3450</v>
      </c>
      <c r="O107" s="8" t="s">
        <v>3144</v>
      </c>
      <c r="P107" s="8" t="s">
        <v>3175</v>
      </c>
      <c r="Q107" s="8" t="s">
        <v>3451</v>
      </c>
      <c r="R107" s="8">
        <v>1158</v>
      </c>
      <c r="S107" s="8" t="s">
        <v>3452</v>
      </c>
      <c r="T107" s="8" t="s">
        <v>3453</v>
      </c>
      <c r="U107" s="9"/>
      <c r="V107" s="9"/>
    </row>
    <row r="108" spans="1:22" ht="16" x14ac:dyDescent="0.2">
      <c r="A108" s="7" t="s">
        <v>3454</v>
      </c>
      <c r="B108" s="9"/>
      <c r="C108" s="9"/>
      <c r="D108" s="9"/>
      <c r="E108" s="9"/>
      <c r="F108" s="10">
        <v>44861</v>
      </c>
      <c r="G108" s="9"/>
      <c r="H108" s="8" t="s">
        <v>3140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6" x14ac:dyDescent="0.2">
      <c r="A109" s="7" t="s">
        <v>3455</v>
      </c>
      <c r="B109" s="9"/>
      <c r="C109" s="9"/>
      <c r="D109" s="9"/>
      <c r="E109" s="9"/>
      <c r="F109" s="10">
        <v>44861</v>
      </c>
      <c r="G109" s="9"/>
      <c r="H109" s="8" t="s">
        <v>3140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8" t="s">
        <v>3454</v>
      </c>
      <c r="V109" s="9"/>
    </row>
    <row r="110" spans="1:22" ht="16" x14ac:dyDescent="0.2">
      <c r="A110" s="7" t="s">
        <v>3455</v>
      </c>
      <c r="B110" s="9"/>
      <c r="C110" s="9"/>
      <c r="D110" s="9"/>
      <c r="E110" s="9"/>
      <c r="F110" s="10">
        <v>44861</v>
      </c>
      <c r="G110" s="9"/>
      <c r="H110" s="8" t="s">
        <v>3140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16" x14ac:dyDescent="0.2">
      <c r="A111" s="7" t="s">
        <v>1374</v>
      </c>
      <c r="B111" s="9"/>
      <c r="C111" s="9"/>
      <c r="D111" s="8" t="s">
        <v>3456</v>
      </c>
      <c r="E111" s="9"/>
      <c r="F111" s="10">
        <v>44868</v>
      </c>
      <c r="G111" s="9"/>
      <c r="H111" s="8" t="s">
        <v>3140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6" x14ac:dyDescent="0.2">
      <c r="A112" s="7" t="s">
        <v>1310</v>
      </c>
      <c r="B112" s="8" t="s">
        <v>3457</v>
      </c>
      <c r="C112" s="8" t="s">
        <v>3458</v>
      </c>
      <c r="D112" s="9"/>
      <c r="E112" s="9"/>
      <c r="F112" s="10">
        <v>44818</v>
      </c>
      <c r="G112" s="8" t="s">
        <v>1281</v>
      </c>
      <c r="H112" s="8" t="s">
        <v>3140</v>
      </c>
      <c r="I112" s="9"/>
      <c r="J112" s="9"/>
      <c r="K112" s="11" t="s">
        <v>3459</v>
      </c>
      <c r="L112" s="8" t="s">
        <v>3460</v>
      </c>
      <c r="M112" s="10">
        <v>44447</v>
      </c>
      <c r="N112" s="8" t="s">
        <v>3367</v>
      </c>
      <c r="O112" s="8" t="s">
        <v>3144</v>
      </c>
      <c r="P112" s="8" t="s">
        <v>3175</v>
      </c>
      <c r="Q112" s="8" t="s">
        <v>3351</v>
      </c>
      <c r="R112" s="8">
        <v>224</v>
      </c>
      <c r="S112" s="8" t="s">
        <v>3352</v>
      </c>
      <c r="T112" s="8" t="s">
        <v>3461</v>
      </c>
      <c r="U112" s="8" t="s">
        <v>49</v>
      </c>
      <c r="V112" s="11" t="s">
        <v>3462</v>
      </c>
    </row>
    <row r="113" spans="1:22" ht="16" x14ac:dyDescent="0.2">
      <c r="A113" s="7" t="s">
        <v>1608</v>
      </c>
      <c r="B113" s="8" t="s">
        <v>3463</v>
      </c>
      <c r="C113" s="8" t="s">
        <v>3464</v>
      </c>
      <c r="D113" s="9"/>
      <c r="E113" s="9"/>
      <c r="F113" s="10">
        <v>44964</v>
      </c>
      <c r="G113" s="8" t="s">
        <v>3465</v>
      </c>
      <c r="H113" s="8" t="s">
        <v>3140</v>
      </c>
      <c r="I113" s="9"/>
      <c r="J113" s="9"/>
      <c r="K113" s="11" t="s">
        <v>3466</v>
      </c>
      <c r="L113" s="8" t="s">
        <v>3467</v>
      </c>
      <c r="M113" s="10">
        <v>36433</v>
      </c>
      <c r="N113" s="8" t="s">
        <v>3468</v>
      </c>
      <c r="O113" s="8" t="s">
        <v>3144</v>
      </c>
      <c r="P113" s="8" t="s">
        <v>3175</v>
      </c>
      <c r="Q113" s="8" t="s">
        <v>3469</v>
      </c>
      <c r="R113" s="8">
        <v>58</v>
      </c>
      <c r="S113" s="8" t="s">
        <v>3470</v>
      </c>
      <c r="T113" s="9"/>
      <c r="U113" s="8" t="s">
        <v>3471</v>
      </c>
      <c r="V113" s="9"/>
    </row>
    <row r="114" spans="1:22" ht="16" x14ac:dyDescent="0.2">
      <c r="A114" s="7" t="s">
        <v>1174</v>
      </c>
      <c r="B114" s="9"/>
      <c r="C114" s="9"/>
      <c r="D114" s="9"/>
      <c r="E114" s="9"/>
      <c r="F114" s="10">
        <v>44805</v>
      </c>
      <c r="G114" s="9"/>
      <c r="H114" s="8" t="s">
        <v>3140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6" x14ac:dyDescent="0.2">
      <c r="A115" s="7" t="s">
        <v>3472</v>
      </c>
      <c r="B115" s="8" t="s">
        <v>3473</v>
      </c>
      <c r="C115" s="8" t="s">
        <v>3474</v>
      </c>
      <c r="D115" s="9"/>
      <c r="E115" s="9"/>
      <c r="F115" s="10">
        <v>45352</v>
      </c>
      <c r="G115" s="9"/>
      <c r="H115" s="8" t="s">
        <v>3140</v>
      </c>
      <c r="I115" s="9"/>
      <c r="J115" s="9"/>
      <c r="K115" s="11" t="s">
        <v>3475</v>
      </c>
      <c r="L115" s="8" t="s">
        <v>3476</v>
      </c>
      <c r="M115" s="10">
        <v>41978</v>
      </c>
      <c r="N115" s="8" t="s">
        <v>3477</v>
      </c>
      <c r="O115" s="8" t="s">
        <v>3144</v>
      </c>
      <c r="P115" s="8" t="s">
        <v>3175</v>
      </c>
      <c r="Q115" s="8" t="s">
        <v>3478</v>
      </c>
      <c r="R115" s="8">
        <v>1700</v>
      </c>
      <c r="S115" s="8" t="s">
        <v>3479</v>
      </c>
      <c r="T115" s="8" t="s">
        <v>3480</v>
      </c>
      <c r="U115" s="9"/>
      <c r="V115" s="9"/>
    </row>
    <row r="116" spans="1:22" x14ac:dyDescent="0.2">
      <c r="A116" s="13" t="s">
        <v>1062</v>
      </c>
      <c r="B116" s="15" t="s">
        <v>3481</v>
      </c>
      <c r="C116" s="15" t="s">
        <v>3482</v>
      </c>
      <c r="D116" s="14"/>
      <c r="E116" s="14"/>
      <c r="F116" s="16">
        <v>44217</v>
      </c>
      <c r="G116" s="8" t="s">
        <v>3483</v>
      </c>
      <c r="H116" s="15" t="s">
        <v>3140</v>
      </c>
      <c r="I116" s="14"/>
      <c r="J116" s="14"/>
      <c r="K116" s="17" t="s">
        <v>3490</v>
      </c>
      <c r="L116" s="15" t="s">
        <v>3491</v>
      </c>
      <c r="M116" s="16">
        <v>42069</v>
      </c>
      <c r="N116" s="15" t="s">
        <v>3492</v>
      </c>
      <c r="O116" s="15" t="s">
        <v>3144</v>
      </c>
      <c r="P116" s="15" t="s">
        <v>3175</v>
      </c>
      <c r="Q116" s="15" t="s">
        <v>3351</v>
      </c>
      <c r="R116" s="15">
        <v>1250</v>
      </c>
      <c r="S116" s="15" t="s">
        <v>3352</v>
      </c>
      <c r="T116" s="14"/>
      <c r="U116" s="15" t="s">
        <v>3493</v>
      </c>
      <c r="V116" s="17" t="s">
        <v>3490</v>
      </c>
    </row>
    <row r="117" spans="1:22" x14ac:dyDescent="0.2">
      <c r="A117" s="13"/>
      <c r="B117" s="15"/>
      <c r="C117" s="15"/>
      <c r="D117" s="14"/>
      <c r="E117" s="14"/>
      <c r="F117" s="16"/>
      <c r="G117" s="8" t="s">
        <v>1281</v>
      </c>
      <c r="H117" s="15"/>
      <c r="I117" s="14"/>
      <c r="J117" s="14"/>
      <c r="K117" s="17"/>
      <c r="L117" s="15"/>
      <c r="M117" s="16"/>
      <c r="N117" s="15"/>
      <c r="O117" s="15"/>
      <c r="P117" s="15"/>
      <c r="Q117" s="15"/>
      <c r="R117" s="15"/>
      <c r="S117" s="15"/>
      <c r="T117" s="14"/>
      <c r="U117" s="15"/>
      <c r="V117" s="17"/>
    </row>
    <row r="118" spans="1:22" x14ac:dyDescent="0.2">
      <c r="A118" s="13"/>
      <c r="B118" s="15"/>
      <c r="C118" s="15"/>
      <c r="D118" s="14"/>
      <c r="E118" s="14"/>
      <c r="F118" s="16"/>
      <c r="H118" s="15"/>
      <c r="I118" s="14"/>
      <c r="J118" s="14"/>
      <c r="K118" s="17"/>
      <c r="L118" s="15"/>
      <c r="M118" s="16"/>
      <c r="N118" s="15"/>
      <c r="O118" s="15"/>
      <c r="P118" s="15"/>
      <c r="Q118" s="15"/>
      <c r="R118" s="15"/>
      <c r="S118" s="15"/>
      <c r="T118" s="14"/>
      <c r="U118" s="15"/>
      <c r="V118" s="17"/>
    </row>
    <row r="119" spans="1:22" x14ac:dyDescent="0.2">
      <c r="A119" s="13"/>
      <c r="B119" s="15"/>
      <c r="C119" s="15"/>
      <c r="D119" s="14"/>
      <c r="E119" s="14"/>
      <c r="F119" s="16"/>
      <c r="G119" s="8" t="s">
        <v>3484</v>
      </c>
      <c r="H119" s="15"/>
      <c r="I119" s="14"/>
      <c r="J119" s="14"/>
      <c r="K119" s="17"/>
      <c r="L119" s="15"/>
      <c r="M119" s="16"/>
      <c r="N119" s="15"/>
      <c r="O119" s="15"/>
      <c r="P119" s="15"/>
      <c r="Q119" s="15"/>
      <c r="R119" s="15"/>
      <c r="S119" s="15"/>
      <c r="T119" s="14"/>
      <c r="U119" s="15"/>
      <c r="V119" s="17"/>
    </row>
    <row r="120" spans="1:22" x14ac:dyDescent="0.2">
      <c r="A120" s="13"/>
      <c r="B120" s="15"/>
      <c r="C120" s="15"/>
      <c r="D120" s="14"/>
      <c r="E120" s="14"/>
      <c r="F120" s="16"/>
      <c r="H120" s="15"/>
      <c r="I120" s="14"/>
      <c r="J120" s="14"/>
      <c r="K120" s="17"/>
      <c r="L120" s="15"/>
      <c r="M120" s="16"/>
      <c r="N120" s="15"/>
      <c r="O120" s="15"/>
      <c r="P120" s="15"/>
      <c r="Q120" s="15"/>
      <c r="R120" s="15"/>
      <c r="S120" s="15"/>
      <c r="T120" s="14"/>
      <c r="U120" s="15"/>
      <c r="V120" s="17"/>
    </row>
    <row r="121" spans="1:22" x14ac:dyDescent="0.2">
      <c r="A121" s="13"/>
      <c r="B121" s="15"/>
      <c r="C121" s="15"/>
      <c r="D121" s="14"/>
      <c r="E121" s="14"/>
      <c r="F121" s="16"/>
      <c r="G121" s="8" t="s">
        <v>3485</v>
      </c>
      <c r="H121" s="15"/>
      <c r="I121" s="14"/>
      <c r="J121" s="14"/>
      <c r="K121" s="17"/>
      <c r="L121" s="15"/>
      <c r="M121" s="16"/>
      <c r="N121" s="15"/>
      <c r="O121" s="15"/>
      <c r="P121" s="15"/>
      <c r="Q121" s="15"/>
      <c r="R121" s="15"/>
      <c r="S121" s="15"/>
      <c r="T121" s="14"/>
      <c r="U121" s="15"/>
      <c r="V121" s="17"/>
    </row>
    <row r="122" spans="1:22" x14ac:dyDescent="0.2">
      <c r="A122" s="13"/>
      <c r="B122" s="15"/>
      <c r="C122" s="15"/>
      <c r="D122" s="14"/>
      <c r="E122" s="14"/>
      <c r="F122" s="16"/>
      <c r="G122" s="8" t="s">
        <v>3486</v>
      </c>
      <c r="H122" s="15"/>
      <c r="I122" s="14"/>
      <c r="J122" s="14"/>
      <c r="K122" s="17"/>
      <c r="L122" s="15"/>
      <c r="M122" s="16"/>
      <c r="N122" s="15"/>
      <c r="O122" s="15"/>
      <c r="P122" s="15"/>
      <c r="Q122" s="15"/>
      <c r="R122" s="15"/>
      <c r="S122" s="15"/>
      <c r="T122" s="14"/>
      <c r="U122" s="15"/>
      <c r="V122" s="17"/>
    </row>
    <row r="123" spans="1:22" x14ac:dyDescent="0.2">
      <c r="A123" s="13"/>
      <c r="B123" s="15"/>
      <c r="C123" s="15"/>
      <c r="D123" s="14"/>
      <c r="E123" s="14"/>
      <c r="F123" s="16"/>
      <c r="G123" s="8" t="s">
        <v>3487</v>
      </c>
      <c r="H123" s="15"/>
      <c r="I123" s="14"/>
      <c r="J123" s="14"/>
      <c r="K123" s="17"/>
      <c r="L123" s="15"/>
      <c r="M123" s="16"/>
      <c r="N123" s="15"/>
      <c r="O123" s="15"/>
      <c r="P123" s="15"/>
      <c r="Q123" s="15"/>
      <c r="R123" s="15"/>
      <c r="S123" s="15"/>
      <c r="T123" s="14"/>
      <c r="U123" s="15"/>
      <c r="V123" s="17"/>
    </row>
    <row r="124" spans="1:22" x14ac:dyDescent="0.2">
      <c r="A124" s="13"/>
      <c r="B124" s="15"/>
      <c r="C124" s="15"/>
      <c r="D124" s="14"/>
      <c r="E124" s="14"/>
      <c r="F124" s="16"/>
      <c r="G124" s="11" t="s">
        <v>3488</v>
      </c>
      <c r="H124" s="15"/>
      <c r="I124" s="14"/>
      <c r="J124" s="14"/>
      <c r="K124" s="17"/>
      <c r="L124" s="15"/>
      <c r="M124" s="16"/>
      <c r="N124" s="15"/>
      <c r="O124" s="15"/>
      <c r="P124" s="15"/>
      <c r="Q124" s="15"/>
      <c r="R124" s="15"/>
      <c r="S124" s="15"/>
      <c r="T124" s="14"/>
      <c r="U124" s="15"/>
      <c r="V124" s="17"/>
    </row>
    <row r="125" spans="1:22" x14ac:dyDescent="0.2">
      <c r="A125" s="13"/>
      <c r="B125" s="15"/>
      <c r="C125" s="15"/>
      <c r="D125" s="14"/>
      <c r="E125" s="14"/>
      <c r="F125" s="16"/>
      <c r="G125" s="8" t="s">
        <v>3489</v>
      </c>
      <c r="H125" s="15"/>
      <c r="I125" s="14"/>
      <c r="J125" s="14"/>
      <c r="K125" s="17"/>
      <c r="L125" s="15"/>
      <c r="M125" s="16"/>
      <c r="N125" s="15"/>
      <c r="O125" s="15"/>
      <c r="P125" s="15"/>
      <c r="Q125" s="15"/>
      <c r="R125" s="15"/>
      <c r="S125" s="15"/>
      <c r="T125" s="14"/>
      <c r="U125" s="15"/>
      <c r="V125" s="17"/>
    </row>
    <row r="126" spans="1:22" ht="16" x14ac:dyDescent="0.2">
      <c r="A126" s="7" t="s">
        <v>1364</v>
      </c>
      <c r="B126" s="8" t="s">
        <v>3494</v>
      </c>
      <c r="C126" s="8" t="s">
        <v>3495</v>
      </c>
      <c r="D126" s="9"/>
      <c r="E126" s="9"/>
      <c r="F126" s="10">
        <v>44810</v>
      </c>
      <c r="G126" s="9"/>
      <c r="H126" s="8" t="s">
        <v>3140</v>
      </c>
      <c r="I126" s="9"/>
      <c r="J126" s="9"/>
      <c r="K126" s="11" t="s">
        <v>3496</v>
      </c>
      <c r="L126" s="8" t="s">
        <v>3497</v>
      </c>
      <c r="M126" s="10">
        <v>41549</v>
      </c>
      <c r="N126" s="8" t="s">
        <v>3350</v>
      </c>
      <c r="O126" s="8" t="s">
        <v>3144</v>
      </c>
      <c r="P126" s="8" t="s">
        <v>3175</v>
      </c>
      <c r="Q126" s="8" t="s">
        <v>3351</v>
      </c>
      <c r="R126" s="8">
        <v>1718</v>
      </c>
      <c r="S126" s="8" t="s">
        <v>3352</v>
      </c>
      <c r="T126" s="9"/>
      <c r="U126" s="8" t="s">
        <v>3498</v>
      </c>
      <c r="V126" s="9"/>
    </row>
    <row r="127" spans="1:22" ht="16" x14ac:dyDescent="0.2">
      <c r="A127" s="7" t="s">
        <v>792</v>
      </c>
      <c r="B127" s="9"/>
      <c r="C127" s="9"/>
      <c r="D127" s="9"/>
      <c r="E127" s="9"/>
      <c r="F127" s="10">
        <v>44615</v>
      </c>
      <c r="G127" s="9"/>
      <c r="H127" s="8" t="s">
        <v>3140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6" x14ac:dyDescent="0.2">
      <c r="A128" s="7" t="s">
        <v>1510</v>
      </c>
      <c r="B128" s="8" t="s">
        <v>3499</v>
      </c>
      <c r="C128" s="8" t="s">
        <v>3500</v>
      </c>
      <c r="D128" s="9"/>
      <c r="E128" s="9"/>
      <c r="F128" s="10">
        <v>44938</v>
      </c>
      <c r="G128" s="9"/>
      <c r="H128" s="8" t="s">
        <v>3140</v>
      </c>
      <c r="I128" s="9"/>
      <c r="J128" s="9"/>
      <c r="K128" s="9"/>
      <c r="L128" s="8" t="s">
        <v>3501</v>
      </c>
      <c r="M128" s="10">
        <v>36846</v>
      </c>
      <c r="N128" s="8" t="s">
        <v>3502</v>
      </c>
      <c r="O128" s="8" t="s">
        <v>3144</v>
      </c>
      <c r="P128" s="8" t="s">
        <v>3175</v>
      </c>
      <c r="Q128" s="8" t="s">
        <v>3503</v>
      </c>
      <c r="R128" s="8">
        <v>1637</v>
      </c>
      <c r="S128" s="8" t="s">
        <v>3504</v>
      </c>
      <c r="T128" s="9"/>
      <c r="U128" s="9"/>
      <c r="V128" s="9"/>
    </row>
    <row r="129" spans="1:22" ht="16" x14ac:dyDescent="0.2">
      <c r="A129" s="7" t="s">
        <v>2197</v>
      </c>
      <c r="B129" s="8" t="s">
        <v>3505</v>
      </c>
      <c r="C129" s="8" t="s">
        <v>3506</v>
      </c>
      <c r="D129" s="9"/>
      <c r="E129" s="9"/>
      <c r="F129" s="10">
        <v>45187</v>
      </c>
      <c r="G129" s="9"/>
      <c r="H129" s="8" t="s">
        <v>3140</v>
      </c>
      <c r="I129" s="9"/>
      <c r="J129" s="9"/>
      <c r="K129" s="11" t="s">
        <v>3507</v>
      </c>
      <c r="L129" s="8" t="s">
        <v>3508</v>
      </c>
      <c r="M129" s="10">
        <v>39665</v>
      </c>
      <c r="N129" s="8" t="s">
        <v>3509</v>
      </c>
      <c r="O129" s="8" t="s">
        <v>3144</v>
      </c>
      <c r="P129" s="8" t="s">
        <v>3175</v>
      </c>
      <c r="Q129" s="8" t="s">
        <v>3510</v>
      </c>
      <c r="R129" s="8">
        <v>450</v>
      </c>
      <c r="S129" s="8" t="s">
        <v>3511</v>
      </c>
      <c r="T129" s="9"/>
      <c r="U129" s="8" t="s">
        <v>3512</v>
      </c>
      <c r="V129" s="9"/>
    </row>
    <row r="130" spans="1:22" ht="16" x14ac:dyDescent="0.2">
      <c r="A130" s="7" t="s">
        <v>1054</v>
      </c>
      <c r="B130" s="8" t="s">
        <v>3513</v>
      </c>
      <c r="C130" s="8" t="s">
        <v>3514</v>
      </c>
      <c r="D130" s="9"/>
      <c r="E130" s="9"/>
      <c r="F130" s="10">
        <v>44764</v>
      </c>
      <c r="G130" s="9"/>
      <c r="H130" s="8" t="s">
        <v>3140</v>
      </c>
      <c r="I130" s="9"/>
      <c r="J130" s="9"/>
      <c r="K130" s="11" t="s">
        <v>3515</v>
      </c>
      <c r="L130" s="8" t="s">
        <v>3516</v>
      </c>
      <c r="M130" s="10">
        <v>38805</v>
      </c>
      <c r="N130" s="8" t="s">
        <v>3517</v>
      </c>
      <c r="O130" s="8" t="s">
        <v>3144</v>
      </c>
      <c r="P130" s="8" t="s">
        <v>3175</v>
      </c>
      <c r="Q130" s="8" t="s">
        <v>3518</v>
      </c>
      <c r="R130" s="8">
        <v>85</v>
      </c>
      <c r="S130" s="8" t="s">
        <v>3519</v>
      </c>
      <c r="T130" s="9"/>
      <c r="U130" s="8" t="s">
        <v>3520</v>
      </c>
      <c r="V130" s="11" t="s">
        <v>3515</v>
      </c>
    </row>
    <row r="131" spans="1:22" ht="16" x14ac:dyDescent="0.2">
      <c r="A131" s="7" t="s">
        <v>2131</v>
      </c>
      <c r="B131" s="9"/>
      <c r="C131" s="9"/>
      <c r="D131" s="8" t="s">
        <v>3521</v>
      </c>
      <c r="E131" s="9"/>
      <c r="F131" s="10">
        <v>45161</v>
      </c>
      <c r="G131" s="9"/>
      <c r="H131" s="8" t="s">
        <v>3140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8" t="s">
        <v>3522</v>
      </c>
      <c r="V131" s="9"/>
    </row>
    <row r="132" spans="1:22" ht="16" x14ac:dyDescent="0.2">
      <c r="A132" s="7" t="s">
        <v>1256</v>
      </c>
      <c r="B132" s="9"/>
      <c r="C132" s="9"/>
      <c r="D132" s="9"/>
      <c r="E132" s="9"/>
      <c r="F132" s="10">
        <v>44805</v>
      </c>
      <c r="G132" s="9"/>
      <c r="H132" s="8" t="s">
        <v>3140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6" x14ac:dyDescent="0.2">
      <c r="A133" s="7" t="s">
        <v>1089</v>
      </c>
      <c r="B133" s="8" t="s">
        <v>3523</v>
      </c>
      <c r="C133" s="8" t="s">
        <v>3524</v>
      </c>
      <c r="D133" s="9"/>
      <c r="E133" s="9"/>
      <c r="F133" s="10">
        <v>44761</v>
      </c>
      <c r="G133" s="9"/>
      <c r="H133" s="8" t="s">
        <v>3140</v>
      </c>
      <c r="I133" s="9"/>
      <c r="J133" s="9"/>
      <c r="K133" s="11" t="s">
        <v>3525</v>
      </c>
      <c r="L133" s="8" t="s">
        <v>3526</v>
      </c>
      <c r="M133" s="10">
        <v>40157</v>
      </c>
      <c r="N133" s="8" t="s">
        <v>3527</v>
      </c>
      <c r="O133" s="8" t="s">
        <v>3144</v>
      </c>
      <c r="P133" s="8" t="s">
        <v>3175</v>
      </c>
      <c r="Q133" s="8" t="s">
        <v>3528</v>
      </c>
      <c r="R133" s="8">
        <v>46</v>
      </c>
      <c r="S133" s="8" t="s">
        <v>3529</v>
      </c>
      <c r="T133" s="8" t="s">
        <v>3271</v>
      </c>
      <c r="U133" s="9"/>
      <c r="V133" s="9"/>
    </row>
    <row r="134" spans="1:22" ht="16" x14ac:dyDescent="0.2">
      <c r="A134" s="7" t="s">
        <v>2209</v>
      </c>
      <c r="B134" s="8" t="s">
        <v>3530</v>
      </c>
      <c r="C134" s="8" t="s">
        <v>3531</v>
      </c>
      <c r="D134" s="9"/>
      <c r="E134" s="9"/>
      <c r="F134" s="10">
        <v>45168</v>
      </c>
      <c r="G134" s="9"/>
      <c r="H134" s="8" t="s">
        <v>3140</v>
      </c>
      <c r="I134" s="9"/>
      <c r="J134" s="9"/>
      <c r="K134" s="11" t="s">
        <v>3532</v>
      </c>
      <c r="L134" s="8" t="s">
        <v>3533</v>
      </c>
      <c r="M134" s="10">
        <v>44753</v>
      </c>
      <c r="N134" s="8" t="s">
        <v>3534</v>
      </c>
      <c r="O134" s="8" t="s">
        <v>3144</v>
      </c>
      <c r="P134" s="8" t="s">
        <v>3175</v>
      </c>
      <c r="Q134" s="8" t="s">
        <v>3535</v>
      </c>
      <c r="R134" s="8">
        <v>80</v>
      </c>
      <c r="S134" s="8" t="s">
        <v>3536</v>
      </c>
      <c r="T134" s="8" t="s">
        <v>3537</v>
      </c>
      <c r="U134" s="9"/>
      <c r="V134" s="9"/>
    </row>
    <row r="135" spans="1:22" ht="16" x14ac:dyDescent="0.2">
      <c r="A135" s="7" t="s">
        <v>1485</v>
      </c>
      <c r="B135" s="8" t="s">
        <v>3538</v>
      </c>
      <c r="C135" s="8" t="s">
        <v>3539</v>
      </c>
      <c r="D135" s="9"/>
      <c r="E135" s="9"/>
      <c r="F135" s="10">
        <v>44848</v>
      </c>
      <c r="G135" s="9"/>
      <c r="H135" s="8" t="s">
        <v>3140</v>
      </c>
      <c r="I135" s="9"/>
      <c r="J135" s="9"/>
      <c r="K135" s="11" t="s">
        <v>3540</v>
      </c>
      <c r="L135" s="8" t="s">
        <v>3541</v>
      </c>
      <c r="M135" s="10">
        <v>35198</v>
      </c>
      <c r="N135" s="8" t="s">
        <v>3542</v>
      </c>
      <c r="O135" s="8" t="s">
        <v>3543</v>
      </c>
      <c r="P135" s="8" t="s">
        <v>3544</v>
      </c>
      <c r="Q135" s="8" t="s">
        <v>3545</v>
      </c>
      <c r="R135" s="8">
        <v>719</v>
      </c>
      <c r="S135" s="8" t="s">
        <v>3546</v>
      </c>
      <c r="T135" s="8" t="s">
        <v>3547</v>
      </c>
      <c r="U135" s="9"/>
      <c r="V135" s="9"/>
    </row>
    <row r="136" spans="1:22" ht="16" x14ac:dyDescent="0.2">
      <c r="A136" s="7" t="s">
        <v>2299</v>
      </c>
      <c r="B136" s="8" t="s">
        <v>3548</v>
      </c>
      <c r="C136" s="8" t="s">
        <v>3549</v>
      </c>
      <c r="D136" s="9"/>
      <c r="E136" s="9"/>
      <c r="F136" s="10">
        <v>45194</v>
      </c>
      <c r="G136" s="9"/>
      <c r="H136" s="8" t="s">
        <v>3140</v>
      </c>
      <c r="I136" s="9"/>
      <c r="J136" s="9"/>
      <c r="K136" s="11" t="s">
        <v>3550</v>
      </c>
      <c r="L136" s="8" t="s">
        <v>3551</v>
      </c>
      <c r="M136" s="10">
        <v>40605</v>
      </c>
      <c r="N136" s="8" t="s">
        <v>3542</v>
      </c>
      <c r="O136" s="8" t="s">
        <v>3543</v>
      </c>
      <c r="P136" s="8" t="s">
        <v>3544</v>
      </c>
      <c r="Q136" s="8" t="s">
        <v>3545</v>
      </c>
      <c r="R136" s="8">
        <v>719</v>
      </c>
      <c r="S136" s="8" t="s">
        <v>3546</v>
      </c>
      <c r="T136" s="8" t="s">
        <v>3547</v>
      </c>
      <c r="U136" s="9"/>
      <c r="V136" s="9"/>
    </row>
    <row r="137" spans="1:22" ht="16" x14ac:dyDescent="0.2">
      <c r="A137" s="7" t="s">
        <v>1049</v>
      </c>
      <c r="B137" s="8" t="s">
        <v>3552</v>
      </c>
      <c r="C137" s="8" t="s">
        <v>3553</v>
      </c>
      <c r="D137" s="9"/>
      <c r="E137" s="9"/>
      <c r="F137" s="10">
        <v>44232</v>
      </c>
      <c r="G137" s="8" t="s">
        <v>3554</v>
      </c>
      <c r="H137" s="8" t="s">
        <v>3140</v>
      </c>
      <c r="I137" s="9"/>
      <c r="J137" s="9"/>
      <c r="K137" s="11" t="s">
        <v>3555</v>
      </c>
      <c r="L137" s="8" t="s">
        <v>3556</v>
      </c>
      <c r="M137" s="10">
        <v>41484</v>
      </c>
      <c r="N137" s="8" t="s">
        <v>3557</v>
      </c>
      <c r="O137" s="8" t="s">
        <v>3144</v>
      </c>
      <c r="P137" s="8" t="s">
        <v>3175</v>
      </c>
      <c r="Q137" s="8" t="s">
        <v>3558</v>
      </c>
      <c r="R137" s="8">
        <v>216</v>
      </c>
      <c r="S137" s="8" t="s">
        <v>3559</v>
      </c>
      <c r="T137" s="9"/>
      <c r="U137" s="8" t="s">
        <v>3560</v>
      </c>
      <c r="V137" s="11" t="s">
        <v>3555</v>
      </c>
    </row>
    <row r="138" spans="1:22" ht="16" x14ac:dyDescent="0.2">
      <c r="A138" s="7" t="s">
        <v>1075</v>
      </c>
      <c r="B138" s="8" t="s">
        <v>3561</v>
      </c>
      <c r="C138" s="8" t="s">
        <v>3562</v>
      </c>
      <c r="D138" s="9"/>
      <c r="E138" s="9"/>
      <c r="F138" s="10">
        <v>44761</v>
      </c>
      <c r="G138" s="8" t="s">
        <v>3563</v>
      </c>
      <c r="H138" s="8" t="s">
        <v>3140</v>
      </c>
      <c r="I138" s="9"/>
      <c r="J138" s="9"/>
      <c r="K138" s="11" t="s">
        <v>3564</v>
      </c>
      <c r="L138" s="8" t="s">
        <v>3565</v>
      </c>
      <c r="M138" s="10">
        <v>40161</v>
      </c>
      <c r="N138" s="8" t="s">
        <v>3566</v>
      </c>
      <c r="O138" s="8" t="s">
        <v>3144</v>
      </c>
      <c r="P138" s="8" t="s">
        <v>3145</v>
      </c>
      <c r="Q138" s="8" t="s">
        <v>3567</v>
      </c>
      <c r="R138" s="8">
        <v>277</v>
      </c>
      <c r="S138" s="8" t="s">
        <v>3568</v>
      </c>
      <c r="T138" s="9"/>
      <c r="U138" s="8" t="s">
        <v>3569</v>
      </c>
      <c r="V138" s="11" t="s">
        <v>3570</v>
      </c>
    </row>
    <row r="139" spans="1:22" ht="16" x14ac:dyDescent="0.2">
      <c r="A139" s="7" t="s">
        <v>1898</v>
      </c>
      <c r="B139" s="9"/>
      <c r="C139" s="9"/>
      <c r="D139" s="9"/>
      <c r="E139" s="9"/>
      <c r="F139" s="10">
        <v>45057</v>
      </c>
      <c r="G139" s="9"/>
      <c r="H139" s="8" t="s">
        <v>3140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ht="16" x14ac:dyDescent="0.2">
      <c r="A140" s="7" t="s">
        <v>1570</v>
      </c>
      <c r="B140" s="8" t="s">
        <v>3571</v>
      </c>
      <c r="C140" s="8" t="s">
        <v>3572</v>
      </c>
      <c r="D140" s="9"/>
      <c r="E140" s="9"/>
      <c r="F140" s="10">
        <v>44950</v>
      </c>
      <c r="G140" s="9"/>
      <c r="H140" s="8" t="s">
        <v>3140</v>
      </c>
      <c r="I140" s="9"/>
      <c r="J140" s="9"/>
      <c r="K140" s="11" t="s">
        <v>3573</v>
      </c>
      <c r="L140" s="8" t="s">
        <v>3574</v>
      </c>
      <c r="M140" s="10">
        <v>41372</v>
      </c>
      <c r="N140" s="8" t="s">
        <v>3575</v>
      </c>
      <c r="O140" s="8" t="s">
        <v>3144</v>
      </c>
      <c r="P140" s="8" t="s">
        <v>3155</v>
      </c>
      <c r="Q140" s="8" t="s">
        <v>3576</v>
      </c>
      <c r="R140" s="8">
        <v>598</v>
      </c>
      <c r="S140" s="8" t="s">
        <v>3157</v>
      </c>
      <c r="T140" s="9"/>
      <c r="U140" s="8" t="s">
        <v>3577</v>
      </c>
      <c r="V140" s="9"/>
    </row>
    <row r="141" spans="1:22" ht="16" x14ac:dyDescent="0.2">
      <c r="A141" s="7" t="s">
        <v>23</v>
      </c>
      <c r="B141" s="8" t="s">
        <v>3578</v>
      </c>
      <c r="C141" s="8" t="s">
        <v>3579</v>
      </c>
      <c r="D141" s="9"/>
      <c r="E141" s="9"/>
      <c r="F141" s="10">
        <v>44141</v>
      </c>
      <c r="G141" s="9"/>
      <c r="H141" s="8" t="s">
        <v>3140</v>
      </c>
      <c r="I141" s="9"/>
      <c r="J141" s="9"/>
      <c r="K141" s="11" t="s">
        <v>3580</v>
      </c>
      <c r="L141" s="8" t="s">
        <v>3581</v>
      </c>
      <c r="M141" s="10">
        <v>38121</v>
      </c>
      <c r="N141" s="8" t="s">
        <v>3582</v>
      </c>
      <c r="O141" s="8" t="s">
        <v>3144</v>
      </c>
      <c r="P141" s="8" t="s">
        <v>3175</v>
      </c>
      <c r="Q141" s="8" t="s">
        <v>3583</v>
      </c>
      <c r="R141" s="8">
        <v>2601</v>
      </c>
      <c r="S141" s="8" t="s">
        <v>3584</v>
      </c>
      <c r="T141" s="8" t="s">
        <v>3585</v>
      </c>
      <c r="U141" s="9"/>
      <c r="V141" s="9"/>
    </row>
    <row r="142" spans="1:22" ht="16" x14ac:dyDescent="0.2">
      <c r="A142" s="7" t="s">
        <v>21</v>
      </c>
      <c r="B142" s="9"/>
      <c r="C142" s="9"/>
      <c r="D142" s="9"/>
      <c r="E142" s="9"/>
      <c r="F142" s="10">
        <v>44407</v>
      </c>
      <c r="G142" s="9"/>
      <c r="H142" s="8" t="s">
        <v>3140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ht="16" x14ac:dyDescent="0.2">
      <c r="A143" s="7" t="s">
        <v>943</v>
      </c>
      <c r="B143" s="9"/>
      <c r="C143" s="9"/>
      <c r="D143" s="9"/>
      <c r="E143" s="9"/>
      <c r="F143" s="10">
        <v>44764</v>
      </c>
      <c r="G143" s="9"/>
      <c r="H143" s="8" t="s">
        <v>3140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ht="16" x14ac:dyDescent="0.2">
      <c r="A144" s="7" t="s">
        <v>3586</v>
      </c>
      <c r="B144" s="9"/>
      <c r="C144" s="9"/>
      <c r="D144" s="9"/>
      <c r="E144" s="9"/>
      <c r="F144" s="10">
        <v>44700</v>
      </c>
      <c r="G144" s="9"/>
      <c r="H144" s="8" t="s">
        <v>3140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x14ac:dyDescent="0.2">
      <c r="A145" s="13" t="s">
        <v>107</v>
      </c>
      <c r="B145" s="14"/>
      <c r="C145" s="14"/>
      <c r="D145" s="15" t="s">
        <v>3587</v>
      </c>
      <c r="E145" s="14"/>
      <c r="F145" s="16">
        <v>44267</v>
      </c>
      <c r="G145" s="8" t="s">
        <v>3588</v>
      </c>
      <c r="H145" s="15" t="s">
        <v>3140</v>
      </c>
      <c r="I145" s="14"/>
      <c r="J145" s="14"/>
      <c r="K145" s="17" t="s">
        <v>3593</v>
      </c>
      <c r="L145" s="15" t="s">
        <v>3594</v>
      </c>
      <c r="M145" s="14"/>
      <c r="N145" s="15" t="s">
        <v>3595</v>
      </c>
      <c r="O145" s="15" t="s">
        <v>3144</v>
      </c>
      <c r="P145" s="15" t="s">
        <v>3175</v>
      </c>
      <c r="Q145" s="15" t="s">
        <v>3596</v>
      </c>
      <c r="R145" s="15">
        <v>154</v>
      </c>
      <c r="S145" s="15" t="s">
        <v>3597</v>
      </c>
      <c r="T145" s="15" t="s">
        <v>3598</v>
      </c>
      <c r="U145" s="15" t="s">
        <v>3599</v>
      </c>
      <c r="V145" s="14"/>
    </row>
    <row r="146" spans="1:22" x14ac:dyDescent="0.2">
      <c r="A146" s="13"/>
      <c r="B146" s="14"/>
      <c r="C146" s="14"/>
      <c r="D146" s="15"/>
      <c r="E146" s="14"/>
      <c r="F146" s="16"/>
      <c r="H146" s="15"/>
      <c r="I146" s="14"/>
      <c r="J146" s="14"/>
      <c r="K146" s="17"/>
      <c r="L146" s="15"/>
      <c r="M146" s="14"/>
      <c r="N146" s="15"/>
      <c r="O146" s="15"/>
      <c r="P146" s="15"/>
      <c r="Q146" s="15"/>
      <c r="R146" s="15"/>
      <c r="S146" s="15"/>
      <c r="T146" s="15"/>
      <c r="U146" s="15"/>
      <c r="V146" s="14"/>
    </row>
    <row r="147" spans="1:22" x14ac:dyDescent="0.2">
      <c r="A147" s="13"/>
      <c r="B147" s="14"/>
      <c r="C147" s="14"/>
      <c r="D147" s="15"/>
      <c r="E147" s="14"/>
      <c r="F147" s="16"/>
      <c r="G147" s="8" t="s">
        <v>3589</v>
      </c>
      <c r="H147" s="15"/>
      <c r="I147" s="14"/>
      <c r="J147" s="14"/>
      <c r="K147" s="17"/>
      <c r="L147" s="15"/>
      <c r="M147" s="14"/>
      <c r="N147" s="15"/>
      <c r="O147" s="15"/>
      <c r="P147" s="15"/>
      <c r="Q147" s="15"/>
      <c r="R147" s="15"/>
      <c r="S147" s="15"/>
      <c r="T147" s="15"/>
      <c r="U147" s="15"/>
      <c r="V147" s="14"/>
    </row>
    <row r="148" spans="1:22" x14ac:dyDescent="0.2">
      <c r="A148" s="13"/>
      <c r="B148" s="14"/>
      <c r="C148" s="14"/>
      <c r="D148" s="15"/>
      <c r="E148" s="14"/>
      <c r="F148" s="16"/>
      <c r="G148" s="8" t="s">
        <v>3590</v>
      </c>
      <c r="H148" s="15"/>
      <c r="I148" s="14"/>
      <c r="J148" s="14"/>
      <c r="K148" s="17"/>
      <c r="L148" s="15"/>
      <c r="M148" s="14"/>
      <c r="N148" s="15"/>
      <c r="O148" s="15"/>
      <c r="P148" s="15"/>
      <c r="Q148" s="15"/>
      <c r="R148" s="15"/>
      <c r="S148" s="15"/>
      <c r="T148" s="15"/>
      <c r="U148" s="15"/>
      <c r="V148" s="14"/>
    </row>
    <row r="149" spans="1:22" x14ac:dyDescent="0.2">
      <c r="A149" s="13"/>
      <c r="B149" s="14"/>
      <c r="C149" s="14"/>
      <c r="D149" s="15"/>
      <c r="E149" s="14"/>
      <c r="F149" s="16"/>
      <c r="G149" s="11" t="s">
        <v>3591</v>
      </c>
      <c r="H149" s="15"/>
      <c r="I149" s="14"/>
      <c r="J149" s="14"/>
      <c r="K149" s="17"/>
      <c r="L149" s="15"/>
      <c r="M149" s="14"/>
      <c r="N149" s="15"/>
      <c r="O149" s="15"/>
      <c r="P149" s="15"/>
      <c r="Q149" s="15"/>
      <c r="R149" s="15"/>
      <c r="S149" s="15"/>
      <c r="T149" s="15"/>
      <c r="U149" s="15"/>
      <c r="V149" s="14"/>
    </row>
    <row r="150" spans="1:22" x14ac:dyDescent="0.2">
      <c r="A150" s="13"/>
      <c r="B150" s="14"/>
      <c r="C150" s="14"/>
      <c r="D150" s="15"/>
      <c r="E150" s="14"/>
      <c r="F150" s="16"/>
      <c r="G150" s="8" t="s">
        <v>3592</v>
      </c>
      <c r="H150" s="15"/>
      <c r="I150" s="14"/>
      <c r="J150" s="14"/>
      <c r="K150" s="17"/>
      <c r="L150" s="15"/>
      <c r="M150" s="14"/>
      <c r="N150" s="15"/>
      <c r="O150" s="15"/>
      <c r="P150" s="15"/>
      <c r="Q150" s="15"/>
      <c r="R150" s="15"/>
      <c r="S150" s="15"/>
      <c r="T150" s="15"/>
      <c r="U150" s="15"/>
      <c r="V150" s="14"/>
    </row>
    <row r="151" spans="1:22" ht="16" x14ac:dyDescent="0.2">
      <c r="A151" s="7" t="s">
        <v>3600</v>
      </c>
      <c r="B151" s="9"/>
      <c r="C151" s="9"/>
      <c r="D151" s="9"/>
      <c r="E151" s="9"/>
      <c r="F151" s="10">
        <v>44280</v>
      </c>
      <c r="G151" s="9"/>
      <c r="H151" s="8" t="s">
        <v>3140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6" x14ac:dyDescent="0.2">
      <c r="A152" s="7" t="s">
        <v>1611</v>
      </c>
      <c r="B152" s="9"/>
      <c r="C152" s="9"/>
      <c r="D152" s="9"/>
      <c r="E152" s="9"/>
      <c r="F152" s="10">
        <v>44965</v>
      </c>
      <c r="G152" s="9"/>
      <c r="H152" s="8" t="s">
        <v>3140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6" x14ac:dyDescent="0.2">
      <c r="A153" s="7" t="s">
        <v>2067</v>
      </c>
      <c r="B153" s="9"/>
      <c r="C153" s="9"/>
      <c r="D153" s="9"/>
      <c r="E153" s="9"/>
      <c r="F153" s="10">
        <v>45075</v>
      </c>
      <c r="G153" s="9"/>
      <c r="H153" s="8" t="s">
        <v>3140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6" x14ac:dyDescent="0.2">
      <c r="A154" s="7" t="s">
        <v>2194</v>
      </c>
      <c r="B154" s="8" t="s">
        <v>2194</v>
      </c>
      <c r="C154" s="8" t="s">
        <v>3601</v>
      </c>
      <c r="D154" s="9"/>
      <c r="E154" s="9"/>
      <c r="F154" s="10">
        <v>45190</v>
      </c>
      <c r="G154" s="9"/>
      <c r="H154" s="8" t="s">
        <v>3140</v>
      </c>
      <c r="I154" s="9"/>
      <c r="J154" s="9"/>
      <c r="K154" s="11" t="s">
        <v>3602</v>
      </c>
      <c r="L154" s="8" t="s">
        <v>3603</v>
      </c>
      <c r="M154" s="10">
        <v>42817</v>
      </c>
      <c r="N154" s="8" t="s">
        <v>3604</v>
      </c>
      <c r="O154" s="8" t="s">
        <v>3144</v>
      </c>
      <c r="P154" s="8" t="s">
        <v>3175</v>
      </c>
      <c r="Q154" s="8" t="s">
        <v>3605</v>
      </c>
      <c r="R154" s="8">
        <v>1098</v>
      </c>
      <c r="S154" s="8" t="s">
        <v>3395</v>
      </c>
      <c r="T154" s="8" t="s">
        <v>3606</v>
      </c>
      <c r="U154" s="9"/>
      <c r="V154" s="9"/>
    </row>
    <row r="155" spans="1:22" ht="16" x14ac:dyDescent="0.2">
      <c r="A155" s="7" t="s">
        <v>3607</v>
      </c>
      <c r="B155" s="9"/>
      <c r="C155" s="9"/>
      <c r="D155" s="9"/>
      <c r="E155" s="9"/>
      <c r="F155" s="10">
        <v>44271</v>
      </c>
      <c r="G155" s="9"/>
      <c r="H155" s="8" t="s">
        <v>3140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6" x14ac:dyDescent="0.2">
      <c r="A156" s="7" t="s">
        <v>53</v>
      </c>
      <c r="B156" s="9"/>
      <c r="C156" s="9"/>
      <c r="D156" s="9"/>
      <c r="E156" s="9"/>
      <c r="F156" s="10">
        <v>44140</v>
      </c>
      <c r="G156" s="9"/>
      <c r="H156" s="8" t="s">
        <v>3140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x14ac:dyDescent="0.2">
      <c r="A157" s="13" t="s">
        <v>1637</v>
      </c>
      <c r="B157" s="15" t="s">
        <v>3608</v>
      </c>
      <c r="C157" s="15" t="s">
        <v>3609</v>
      </c>
      <c r="D157" s="14"/>
      <c r="E157" s="14"/>
      <c r="F157" s="16">
        <v>44966</v>
      </c>
      <c r="G157" s="8" t="s">
        <v>3610</v>
      </c>
      <c r="H157" s="15" t="s">
        <v>3140</v>
      </c>
      <c r="I157" s="14"/>
      <c r="J157" s="14"/>
      <c r="K157" s="17" t="s">
        <v>3616</v>
      </c>
      <c r="L157" s="15" t="s">
        <v>3617</v>
      </c>
      <c r="M157" s="16">
        <v>36913</v>
      </c>
      <c r="N157" s="15" t="s">
        <v>3618</v>
      </c>
      <c r="O157" s="15" t="s">
        <v>3210</v>
      </c>
      <c r="P157" s="15" t="s">
        <v>3619</v>
      </c>
      <c r="Q157" s="15" t="s">
        <v>3620</v>
      </c>
      <c r="R157" s="15" t="s">
        <v>3621</v>
      </c>
      <c r="S157" s="15" t="s">
        <v>3622</v>
      </c>
      <c r="T157" s="14"/>
      <c r="U157" s="15" t="s">
        <v>3623</v>
      </c>
      <c r="V157" s="17" t="s">
        <v>3624</v>
      </c>
    </row>
    <row r="158" spans="1:22" x14ac:dyDescent="0.2">
      <c r="A158" s="13"/>
      <c r="B158" s="15"/>
      <c r="C158" s="15"/>
      <c r="D158" s="14"/>
      <c r="E158" s="14"/>
      <c r="F158" s="16"/>
      <c r="G158" s="8" t="s">
        <v>3611</v>
      </c>
      <c r="H158" s="15"/>
      <c r="I158" s="14"/>
      <c r="J158" s="14"/>
      <c r="K158" s="17"/>
      <c r="L158" s="15"/>
      <c r="M158" s="16"/>
      <c r="N158" s="15"/>
      <c r="O158" s="15"/>
      <c r="P158" s="15"/>
      <c r="Q158" s="15"/>
      <c r="R158" s="15"/>
      <c r="S158" s="15"/>
      <c r="T158" s="14"/>
      <c r="U158" s="15"/>
      <c r="V158" s="17"/>
    </row>
    <row r="159" spans="1:22" x14ac:dyDescent="0.2">
      <c r="A159" s="13"/>
      <c r="B159" s="15"/>
      <c r="C159" s="15"/>
      <c r="D159" s="14"/>
      <c r="E159" s="14"/>
      <c r="F159" s="16"/>
      <c r="G159" s="8" t="s">
        <v>3612</v>
      </c>
      <c r="H159" s="15"/>
      <c r="I159" s="14"/>
      <c r="J159" s="14"/>
      <c r="K159" s="17"/>
      <c r="L159" s="15"/>
      <c r="M159" s="16"/>
      <c r="N159" s="15"/>
      <c r="O159" s="15"/>
      <c r="P159" s="15"/>
      <c r="Q159" s="15"/>
      <c r="R159" s="15"/>
      <c r="S159" s="15"/>
      <c r="T159" s="14"/>
      <c r="U159" s="15"/>
      <c r="V159" s="17"/>
    </row>
    <row r="160" spans="1:22" x14ac:dyDescent="0.2">
      <c r="A160" s="13"/>
      <c r="B160" s="15"/>
      <c r="C160" s="15"/>
      <c r="D160" s="14"/>
      <c r="E160" s="14"/>
      <c r="F160" s="16"/>
      <c r="G160" s="8" t="s">
        <v>3613</v>
      </c>
      <c r="H160" s="15"/>
      <c r="I160" s="14"/>
      <c r="J160" s="14"/>
      <c r="K160" s="17"/>
      <c r="L160" s="15"/>
      <c r="M160" s="16"/>
      <c r="N160" s="15"/>
      <c r="O160" s="15"/>
      <c r="P160" s="15"/>
      <c r="Q160" s="15"/>
      <c r="R160" s="15"/>
      <c r="S160" s="15"/>
      <c r="T160" s="14"/>
      <c r="U160" s="15"/>
      <c r="V160" s="17"/>
    </row>
    <row r="161" spans="1:22" x14ac:dyDescent="0.2">
      <c r="A161" s="13"/>
      <c r="B161" s="15"/>
      <c r="C161" s="15"/>
      <c r="D161" s="14"/>
      <c r="E161" s="14"/>
      <c r="F161" s="16"/>
      <c r="G161" s="8" t="s">
        <v>3614</v>
      </c>
      <c r="H161" s="15"/>
      <c r="I161" s="14"/>
      <c r="J161" s="14"/>
      <c r="K161" s="17"/>
      <c r="L161" s="15"/>
      <c r="M161" s="16"/>
      <c r="N161" s="15"/>
      <c r="O161" s="15"/>
      <c r="P161" s="15"/>
      <c r="Q161" s="15"/>
      <c r="R161" s="15"/>
      <c r="S161" s="15"/>
      <c r="T161" s="14"/>
      <c r="U161" s="15"/>
      <c r="V161" s="17"/>
    </row>
    <row r="162" spans="1:22" x14ac:dyDescent="0.2">
      <c r="A162" s="13"/>
      <c r="B162" s="15"/>
      <c r="C162" s="15"/>
      <c r="D162" s="14"/>
      <c r="E162" s="14"/>
      <c r="F162" s="16"/>
      <c r="G162" s="8" t="s">
        <v>3615</v>
      </c>
      <c r="H162" s="15"/>
      <c r="I162" s="14"/>
      <c r="J162" s="14"/>
      <c r="K162" s="17"/>
      <c r="L162" s="15"/>
      <c r="M162" s="16"/>
      <c r="N162" s="15"/>
      <c r="O162" s="15"/>
      <c r="P162" s="15"/>
      <c r="Q162" s="15"/>
      <c r="R162" s="15"/>
      <c r="S162" s="15"/>
      <c r="T162" s="14"/>
      <c r="U162" s="15"/>
      <c r="V162" s="17"/>
    </row>
    <row r="163" spans="1:22" ht="16" x14ac:dyDescent="0.2">
      <c r="A163" s="7" t="s">
        <v>3625</v>
      </c>
      <c r="B163" s="8" t="s">
        <v>3608</v>
      </c>
      <c r="C163" s="8" t="s">
        <v>3609</v>
      </c>
      <c r="D163" s="9"/>
      <c r="E163" s="9"/>
      <c r="F163" s="10">
        <v>45168</v>
      </c>
      <c r="G163" s="9"/>
      <c r="H163" s="8" t="s">
        <v>3140</v>
      </c>
      <c r="I163" s="9"/>
      <c r="J163" s="9"/>
      <c r="K163" s="11" t="s">
        <v>3616</v>
      </c>
      <c r="L163" s="8" t="s">
        <v>3617</v>
      </c>
      <c r="M163" s="10">
        <v>36913</v>
      </c>
      <c r="N163" s="8" t="s">
        <v>3618</v>
      </c>
      <c r="O163" s="8" t="s">
        <v>3210</v>
      </c>
      <c r="P163" s="8" t="s">
        <v>3619</v>
      </c>
      <c r="Q163" s="8" t="s">
        <v>3620</v>
      </c>
      <c r="R163" s="8">
        <v>60</v>
      </c>
      <c r="S163" s="8" t="s">
        <v>3622</v>
      </c>
      <c r="T163" s="9"/>
      <c r="U163" s="9"/>
      <c r="V163" s="9"/>
    </row>
    <row r="164" spans="1:22" ht="16" x14ac:dyDescent="0.2">
      <c r="A164" s="7" t="s">
        <v>386</v>
      </c>
      <c r="B164" s="9"/>
      <c r="C164" s="9"/>
      <c r="D164" s="9"/>
      <c r="E164" s="9"/>
      <c r="F164" s="10">
        <v>44431</v>
      </c>
      <c r="G164" s="9"/>
      <c r="H164" s="8" t="s">
        <v>3140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16" x14ac:dyDescent="0.2">
      <c r="A165" s="7" t="s">
        <v>2266</v>
      </c>
      <c r="B165" s="9"/>
      <c r="C165" s="9"/>
      <c r="D165" s="8" t="s">
        <v>3626</v>
      </c>
      <c r="E165" s="9"/>
      <c r="F165" s="10">
        <v>45225</v>
      </c>
      <c r="G165" s="9"/>
      <c r="H165" s="8" t="s">
        <v>3140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6" x14ac:dyDescent="0.2">
      <c r="A166" s="7" t="s">
        <v>3627</v>
      </c>
      <c r="B166" s="9"/>
      <c r="C166" s="9"/>
      <c r="D166" s="9"/>
      <c r="E166" s="9"/>
      <c r="F166" s="10">
        <v>45069</v>
      </c>
      <c r="G166" s="9"/>
      <c r="H166" s="8" t="s">
        <v>3140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6" x14ac:dyDescent="0.2">
      <c r="A167" s="7" t="s">
        <v>1562</v>
      </c>
      <c r="B167" s="9"/>
      <c r="C167" s="9"/>
      <c r="D167" s="9"/>
      <c r="E167" s="9"/>
      <c r="F167" s="10">
        <v>44950</v>
      </c>
      <c r="G167" s="9"/>
      <c r="H167" s="8" t="s">
        <v>3140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6" x14ac:dyDescent="0.2">
      <c r="A168" s="7" t="s">
        <v>3628</v>
      </c>
      <c r="B168" s="9"/>
      <c r="C168" s="9"/>
      <c r="D168" s="9"/>
      <c r="E168" s="9"/>
      <c r="F168" s="10">
        <v>45069</v>
      </c>
      <c r="G168" s="9"/>
      <c r="H168" s="8" t="s">
        <v>3140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6" x14ac:dyDescent="0.2">
      <c r="A169" s="7" t="s">
        <v>72</v>
      </c>
      <c r="B169" s="8" t="s">
        <v>3629</v>
      </c>
      <c r="C169" s="8" t="s">
        <v>3630</v>
      </c>
      <c r="D169" s="9"/>
      <c r="E169" s="9"/>
      <c r="F169" s="10">
        <v>44265</v>
      </c>
      <c r="G169" s="9"/>
      <c r="H169" s="8" t="s">
        <v>3140</v>
      </c>
      <c r="I169" s="9"/>
      <c r="J169" s="9"/>
      <c r="K169" s="11" t="s">
        <v>3631</v>
      </c>
      <c r="L169" s="8" t="s">
        <v>3632</v>
      </c>
      <c r="M169" s="10">
        <v>41883</v>
      </c>
      <c r="N169" s="8" t="s">
        <v>3633</v>
      </c>
      <c r="O169" s="8" t="s">
        <v>3144</v>
      </c>
      <c r="P169" s="8" t="s">
        <v>3175</v>
      </c>
      <c r="Q169" s="8" t="s">
        <v>3634</v>
      </c>
      <c r="R169" s="8">
        <v>525</v>
      </c>
      <c r="S169" s="8" t="s">
        <v>3635</v>
      </c>
      <c r="T169" s="8" t="s">
        <v>3636</v>
      </c>
      <c r="U169" s="8" t="s">
        <v>3637</v>
      </c>
      <c r="V169" s="11" t="s">
        <v>3638</v>
      </c>
    </row>
    <row r="170" spans="1:22" ht="16" x14ac:dyDescent="0.2">
      <c r="A170" s="7" t="s">
        <v>206</v>
      </c>
      <c r="B170" s="9"/>
      <c r="C170" s="9"/>
      <c r="D170" s="9"/>
      <c r="E170" s="9"/>
      <c r="F170" s="10">
        <v>44334</v>
      </c>
      <c r="G170" s="9"/>
      <c r="H170" s="8" t="s">
        <v>3140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16" x14ac:dyDescent="0.2">
      <c r="A171" s="7" t="s">
        <v>3639</v>
      </c>
      <c r="B171" s="8" t="s">
        <v>3629</v>
      </c>
      <c r="C171" s="8" t="s">
        <v>3630</v>
      </c>
      <c r="D171" s="9"/>
      <c r="E171" s="9"/>
      <c r="F171" s="10">
        <v>44214</v>
      </c>
      <c r="G171" s="8" t="s">
        <v>3640</v>
      </c>
      <c r="H171" s="8" t="s">
        <v>3140</v>
      </c>
      <c r="I171" s="9"/>
      <c r="J171" s="9"/>
      <c r="K171" s="11" t="s">
        <v>3631</v>
      </c>
      <c r="L171" s="8" t="s">
        <v>3632</v>
      </c>
      <c r="M171" s="10">
        <v>41883</v>
      </c>
      <c r="N171" s="8" t="s">
        <v>3633</v>
      </c>
      <c r="O171" s="8" t="s">
        <v>3144</v>
      </c>
      <c r="P171" s="8" t="s">
        <v>3175</v>
      </c>
      <c r="Q171" s="8" t="s">
        <v>3634</v>
      </c>
      <c r="R171" s="8">
        <v>525</v>
      </c>
      <c r="S171" s="8" t="s">
        <v>3635</v>
      </c>
      <c r="T171" s="8" t="s">
        <v>3636</v>
      </c>
      <c r="U171" s="8" t="s">
        <v>3641</v>
      </c>
      <c r="V171" s="11" t="s">
        <v>3642</v>
      </c>
    </row>
    <row r="172" spans="1:22" ht="16" x14ac:dyDescent="0.2">
      <c r="A172" s="7" t="s">
        <v>204</v>
      </c>
      <c r="B172" s="9"/>
      <c r="C172" s="9"/>
      <c r="D172" s="9"/>
      <c r="E172" s="9"/>
      <c r="F172" s="10">
        <v>44340</v>
      </c>
      <c r="G172" s="9"/>
      <c r="H172" s="8" t="s">
        <v>3140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x14ac:dyDescent="0.2">
      <c r="A173" s="13" t="s">
        <v>112</v>
      </c>
      <c r="B173" s="15" t="s">
        <v>3643</v>
      </c>
      <c r="C173" s="15" t="s">
        <v>3644</v>
      </c>
      <c r="D173" s="14"/>
      <c r="E173" s="14"/>
      <c r="F173" s="16">
        <v>44260</v>
      </c>
      <c r="G173" s="8" t="s">
        <v>3645</v>
      </c>
      <c r="H173" s="15" t="s">
        <v>3140</v>
      </c>
      <c r="I173" s="14"/>
      <c r="J173" s="14"/>
      <c r="K173" s="17" t="s">
        <v>3652</v>
      </c>
      <c r="L173" s="15" t="s">
        <v>3653</v>
      </c>
      <c r="M173" s="16">
        <v>43790</v>
      </c>
      <c r="N173" s="15" t="s">
        <v>3654</v>
      </c>
      <c r="O173" s="15" t="s">
        <v>3144</v>
      </c>
      <c r="P173" s="15" t="s">
        <v>3175</v>
      </c>
      <c r="Q173" s="15" t="s">
        <v>3655</v>
      </c>
      <c r="R173" s="15">
        <v>191</v>
      </c>
      <c r="S173" s="15" t="s">
        <v>3656</v>
      </c>
      <c r="T173" s="14"/>
      <c r="U173" s="15" t="s">
        <v>3657</v>
      </c>
      <c r="V173" s="17" t="s">
        <v>3652</v>
      </c>
    </row>
    <row r="174" spans="1:22" x14ac:dyDescent="0.2">
      <c r="A174" s="13"/>
      <c r="B174" s="15"/>
      <c r="C174" s="15"/>
      <c r="D174" s="14"/>
      <c r="E174" s="14"/>
      <c r="F174" s="16"/>
      <c r="H174" s="15"/>
      <c r="I174" s="14"/>
      <c r="J174" s="14"/>
      <c r="K174" s="17"/>
      <c r="L174" s="15"/>
      <c r="M174" s="16"/>
      <c r="N174" s="15"/>
      <c r="O174" s="15"/>
      <c r="P174" s="15"/>
      <c r="Q174" s="15"/>
      <c r="R174" s="15"/>
      <c r="S174" s="15"/>
      <c r="T174" s="14"/>
      <c r="U174" s="15"/>
      <c r="V174" s="17"/>
    </row>
    <row r="175" spans="1:22" x14ac:dyDescent="0.2">
      <c r="A175" s="13"/>
      <c r="B175" s="15"/>
      <c r="C175" s="15"/>
      <c r="D175" s="14"/>
      <c r="E175" s="14"/>
      <c r="F175" s="16"/>
      <c r="G175" s="8" t="s">
        <v>3646</v>
      </c>
      <c r="H175" s="15"/>
      <c r="I175" s="14"/>
      <c r="J175" s="14"/>
      <c r="K175" s="17"/>
      <c r="L175" s="15"/>
      <c r="M175" s="16"/>
      <c r="N175" s="15"/>
      <c r="O175" s="15"/>
      <c r="P175" s="15"/>
      <c r="Q175" s="15"/>
      <c r="R175" s="15"/>
      <c r="S175" s="15"/>
      <c r="T175" s="14"/>
      <c r="U175" s="15"/>
      <c r="V175" s="17"/>
    </row>
    <row r="176" spans="1:22" x14ac:dyDescent="0.2">
      <c r="A176" s="13"/>
      <c r="B176" s="15"/>
      <c r="C176" s="15"/>
      <c r="D176" s="14"/>
      <c r="E176" s="14"/>
      <c r="F176" s="16"/>
      <c r="G176" s="8" t="s">
        <v>3647</v>
      </c>
      <c r="H176" s="15"/>
      <c r="I176" s="14"/>
      <c r="J176" s="14"/>
      <c r="K176" s="17"/>
      <c r="L176" s="15"/>
      <c r="M176" s="16"/>
      <c r="N176" s="15"/>
      <c r="O176" s="15"/>
      <c r="P176" s="15"/>
      <c r="Q176" s="15"/>
      <c r="R176" s="15"/>
      <c r="S176" s="15"/>
      <c r="T176" s="14"/>
      <c r="U176" s="15"/>
      <c r="V176" s="17"/>
    </row>
    <row r="177" spans="1:22" x14ac:dyDescent="0.2">
      <c r="A177" s="13"/>
      <c r="B177" s="15"/>
      <c r="C177" s="15"/>
      <c r="D177" s="14"/>
      <c r="E177" s="14"/>
      <c r="F177" s="16"/>
      <c r="G177" s="8" t="s">
        <v>3648</v>
      </c>
      <c r="H177" s="15"/>
      <c r="I177" s="14"/>
      <c r="J177" s="14"/>
      <c r="K177" s="17"/>
      <c r="L177" s="15"/>
      <c r="M177" s="16"/>
      <c r="N177" s="15"/>
      <c r="O177" s="15"/>
      <c r="P177" s="15"/>
      <c r="Q177" s="15"/>
      <c r="R177" s="15"/>
      <c r="S177" s="15"/>
      <c r="T177" s="14"/>
      <c r="U177" s="15"/>
      <c r="V177" s="17"/>
    </row>
    <row r="178" spans="1:22" x14ac:dyDescent="0.2">
      <c r="A178" s="13"/>
      <c r="B178" s="15"/>
      <c r="C178" s="15"/>
      <c r="D178" s="14"/>
      <c r="E178" s="14"/>
      <c r="F178" s="16"/>
      <c r="G178" s="8" t="s">
        <v>3649</v>
      </c>
      <c r="H178" s="15"/>
      <c r="I178" s="14"/>
      <c r="J178" s="14"/>
      <c r="K178" s="17"/>
      <c r="L178" s="15"/>
      <c r="M178" s="16"/>
      <c r="N178" s="15"/>
      <c r="O178" s="15"/>
      <c r="P178" s="15"/>
      <c r="Q178" s="15"/>
      <c r="R178" s="15"/>
      <c r="S178" s="15"/>
      <c r="T178" s="14"/>
      <c r="U178" s="15"/>
      <c r="V178" s="17"/>
    </row>
    <row r="179" spans="1:22" x14ac:dyDescent="0.2">
      <c r="A179" s="13"/>
      <c r="B179" s="15"/>
      <c r="C179" s="15"/>
      <c r="D179" s="14"/>
      <c r="E179" s="14"/>
      <c r="F179" s="16"/>
      <c r="G179" s="8" t="s">
        <v>3650</v>
      </c>
      <c r="H179" s="15"/>
      <c r="I179" s="14"/>
      <c r="J179" s="14"/>
      <c r="K179" s="17"/>
      <c r="L179" s="15"/>
      <c r="M179" s="16"/>
      <c r="N179" s="15"/>
      <c r="O179" s="15"/>
      <c r="P179" s="15"/>
      <c r="Q179" s="15"/>
      <c r="R179" s="15"/>
      <c r="S179" s="15"/>
      <c r="T179" s="14"/>
      <c r="U179" s="15"/>
      <c r="V179" s="17"/>
    </row>
    <row r="180" spans="1:22" x14ac:dyDescent="0.2">
      <c r="A180" s="13"/>
      <c r="B180" s="15"/>
      <c r="C180" s="15"/>
      <c r="D180" s="14"/>
      <c r="E180" s="14"/>
      <c r="F180" s="16"/>
      <c r="H180" s="15"/>
      <c r="I180" s="14"/>
      <c r="J180" s="14"/>
      <c r="K180" s="17"/>
      <c r="L180" s="15"/>
      <c r="M180" s="16"/>
      <c r="N180" s="15"/>
      <c r="O180" s="15"/>
      <c r="P180" s="15"/>
      <c r="Q180" s="15"/>
      <c r="R180" s="15"/>
      <c r="S180" s="15"/>
      <c r="T180" s="14"/>
      <c r="U180" s="15"/>
      <c r="V180" s="17"/>
    </row>
    <row r="181" spans="1:22" x14ac:dyDescent="0.2">
      <c r="A181" s="13"/>
      <c r="B181" s="15"/>
      <c r="C181" s="15"/>
      <c r="D181" s="14"/>
      <c r="E181" s="14"/>
      <c r="F181" s="16"/>
      <c r="G181" s="8" t="s">
        <v>3651</v>
      </c>
      <c r="H181" s="15"/>
      <c r="I181" s="14"/>
      <c r="J181" s="14"/>
      <c r="K181" s="17"/>
      <c r="L181" s="15"/>
      <c r="M181" s="16"/>
      <c r="N181" s="15"/>
      <c r="O181" s="15"/>
      <c r="P181" s="15"/>
      <c r="Q181" s="15"/>
      <c r="R181" s="15"/>
      <c r="S181" s="15"/>
      <c r="T181" s="14"/>
      <c r="U181" s="15"/>
      <c r="V181" s="17"/>
    </row>
    <row r="182" spans="1:22" ht="16" x14ac:dyDescent="0.2">
      <c r="A182" s="7" t="s">
        <v>2752</v>
      </c>
      <c r="B182" s="8" t="s">
        <v>3658</v>
      </c>
      <c r="C182" s="8" t="s">
        <v>3659</v>
      </c>
      <c r="D182" s="9"/>
      <c r="E182" s="9"/>
      <c r="F182" s="10">
        <v>45328</v>
      </c>
      <c r="G182" s="9"/>
      <c r="H182" s="8" t="s">
        <v>3140</v>
      </c>
      <c r="I182" s="9"/>
      <c r="J182" s="9"/>
      <c r="K182" s="11" t="s">
        <v>3660</v>
      </c>
      <c r="L182" s="8" t="s">
        <v>3661</v>
      </c>
      <c r="M182" s="10">
        <v>39680</v>
      </c>
      <c r="N182" s="8" t="s">
        <v>3662</v>
      </c>
      <c r="O182" s="8" t="s">
        <v>3144</v>
      </c>
      <c r="P182" s="8" t="s">
        <v>3663</v>
      </c>
      <c r="Q182" s="8" t="s">
        <v>3664</v>
      </c>
      <c r="R182" s="8">
        <v>61</v>
      </c>
      <c r="S182" s="8" t="s">
        <v>3665</v>
      </c>
      <c r="T182" s="9"/>
      <c r="U182" s="9"/>
      <c r="V182" s="9"/>
    </row>
    <row r="183" spans="1:22" ht="16" x14ac:dyDescent="0.2">
      <c r="A183" s="7" t="s">
        <v>3666</v>
      </c>
      <c r="B183" s="9"/>
      <c r="C183" s="9"/>
      <c r="D183" s="9"/>
      <c r="E183" s="9"/>
      <c r="F183" s="10">
        <v>44265</v>
      </c>
      <c r="G183" s="9"/>
      <c r="H183" s="8" t="s">
        <v>3140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16" x14ac:dyDescent="0.2">
      <c r="A184" s="7" t="s">
        <v>851</v>
      </c>
      <c r="B184" s="9"/>
      <c r="C184" s="9"/>
      <c r="D184" s="9"/>
      <c r="E184" s="9"/>
      <c r="F184" s="10">
        <v>44651</v>
      </c>
      <c r="G184" s="9"/>
      <c r="H184" s="8" t="s">
        <v>3140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16" x14ac:dyDescent="0.2">
      <c r="A185" s="7" t="s">
        <v>2508</v>
      </c>
      <c r="B185" s="8" t="s">
        <v>3667</v>
      </c>
      <c r="C185" s="8" t="s">
        <v>3668</v>
      </c>
      <c r="D185" s="9"/>
      <c r="E185" s="9"/>
      <c r="F185" s="10">
        <v>45281</v>
      </c>
      <c r="G185" s="9"/>
      <c r="H185" s="8" t="s">
        <v>3140</v>
      </c>
      <c r="I185" s="9"/>
      <c r="J185" s="9"/>
      <c r="K185" s="11" t="s">
        <v>3669</v>
      </c>
      <c r="L185" s="8" t="s">
        <v>3670</v>
      </c>
      <c r="M185" s="10">
        <v>44126</v>
      </c>
      <c r="N185" s="8" t="s">
        <v>3671</v>
      </c>
      <c r="O185" s="8" t="s">
        <v>3543</v>
      </c>
      <c r="P185" s="8" t="s">
        <v>3544</v>
      </c>
      <c r="Q185" s="8" t="s">
        <v>3672</v>
      </c>
      <c r="R185" s="8">
        <v>2150</v>
      </c>
      <c r="S185" s="8" t="s">
        <v>3673</v>
      </c>
      <c r="T185" s="8" t="s">
        <v>3674</v>
      </c>
      <c r="U185" s="9"/>
      <c r="V185" s="9"/>
    </row>
    <row r="186" spans="1:22" ht="16" x14ac:dyDescent="0.2">
      <c r="A186" s="7" t="s">
        <v>2511</v>
      </c>
      <c r="B186" s="8" t="s">
        <v>3675</v>
      </c>
      <c r="C186" s="8" t="s">
        <v>3676</v>
      </c>
      <c r="D186" s="9"/>
      <c r="E186" s="9"/>
      <c r="F186" s="10">
        <v>45281</v>
      </c>
      <c r="G186" s="9"/>
      <c r="H186" s="8" t="s">
        <v>3140</v>
      </c>
      <c r="I186" s="9"/>
      <c r="J186" s="9"/>
      <c r="K186" s="11" t="s">
        <v>3677</v>
      </c>
      <c r="L186" s="8" t="s">
        <v>3670</v>
      </c>
      <c r="M186" s="10">
        <v>41778</v>
      </c>
      <c r="N186" s="8" t="s">
        <v>3678</v>
      </c>
      <c r="O186" s="8" t="s">
        <v>3543</v>
      </c>
      <c r="P186" s="8" t="s">
        <v>3544</v>
      </c>
      <c r="Q186" s="8" t="s">
        <v>3679</v>
      </c>
      <c r="R186" s="8">
        <v>161</v>
      </c>
      <c r="S186" s="8" t="s">
        <v>3680</v>
      </c>
      <c r="T186" s="9"/>
      <c r="U186" s="9"/>
      <c r="V186" s="9"/>
    </row>
    <row r="187" spans="1:22" x14ac:dyDescent="0.2">
      <c r="A187" s="13" t="s">
        <v>1104</v>
      </c>
      <c r="B187" s="15" t="s">
        <v>3681</v>
      </c>
      <c r="C187" s="15" t="s">
        <v>3682</v>
      </c>
      <c r="D187" s="14"/>
      <c r="E187" s="14"/>
      <c r="F187" s="16">
        <v>44358</v>
      </c>
      <c r="G187" s="8" t="s">
        <v>3683</v>
      </c>
      <c r="H187" s="15" t="s">
        <v>3140</v>
      </c>
      <c r="I187" s="14"/>
      <c r="J187" s="14"/>
      <c r="K187" s="17" t="s">
        <v>3688</v>
      </c>
      <c r="L187" s="15" t="s">
        <v>3689</v>
      </c>
      <c r="M187" s="16">
        <v>41912</v>
      </c>
      <c r="N187" s="15" t="s">
        <v>3690</v>
      </c>
      <c r="O187" s="15" t="s">
        <v>3144</v>
      </c>
      <c r="P187" s="15" t="s">
        <v>3175</v>
      </c>
      <c r="Q187" s="15" t="s">
        <v>3691</v>
      </c>
      <c r="R187" s="15">
        <v>184</v>
      </c>
      <c r="S187" s="15" t="s">
        <v>3692</v>
      </c>
      <c r="T187" s="14"/>
      <c r="U187" s="15" t="s">
        <v>3693</v>
      </c>
      <c r="V187" s="17" t="s">
        <v>3694</v>
      </c>
    </row>
    <row r="188" spans="1:22" x14ac:dyDescent="0.2">
      <c r="A188" s="13"/>
      <c r="B188" s="15"/>
      <c r="C188" s="15"/>
      <c r="D188" s="14"/>
      <c r="E188" s="14"/>
      <c r="F188" s="16"/>
      <c r="G188" s="8"/>
      <c r="H188" s="15"/>
      <c r="I188" s="14"/>
      <c r="J188" s="14"/>
      <c r="K188" s="17"/>
      <c r="L188" s="15"/>
      <c r="M188" s="16"/>
      <c r="N188" s="15"/>
      <c r="O188" s="15"/>
      <c r="P188" s="15"/>
      <c r="Q188" s="15"/>
      <c r="R188" s="15"/>
      <c r="S188" s="15"/>
      <c r="T188" s="14"/>
      <c r="U188" s="15"/>
      <c r="V188" s="17"/>
    </row>
    <row r="189" spans="1:22" x14ac:dyDescent="0.2">
      <c r="A189" s="13"/>
      <c r="B189" s="15"/>
      <c r="C189" s="15"/>
      <c r="D189" s="14"/>
      <c r="E189" s="14"/>
      <c r="F189" s="16"/>
      <c r="G189" s="8" t="s">
        <v>3684</v>
      </c>
      <c r="H189" s="15"/>
      <c r="I189" s="14"/>
      <c r="J189" s="14"/>
      <c r="K189" s="17"/>
      <c r="L189" s="15"/>
      <c r="M189" s="16"/>
      <c r="N189" s="15"/>
      <c r="O189" s="15"/>
      <c r="P189" s="15"/>
      <c r="Q189" s="15"/>
      <c r="R189" s="15"/>
      <c r="S189" s="15"/>
      <c r="T189" s="14"/>
      <c r="U189" s="15"/>
      <c r="V189" s="17"/>
    </row>
    <row r="190" spans="1:22" x14ac:dyDescent="0.2">
      <c r="A190" s="13"/>
      <c r="B190" s="15"/>
      <c r="C190" s="15"/>
      <c r="D190" s="14"/>
      <c r="E190" s="14"/>
      <c r="F190" s="16"/>
      <c r="G190" s="8"/>
      <c r="H190" s="15"/>
      <c r="I190" s="14"/>
      <c r="J190" s="14"/>
      <c r="K190" s="17"/>
      <c r="L190" s="15"/>
      <c r="M190" s="16"/>
      <c r="N190" s="15"/>
      <c r="O190" s="15"/>
      <c r="P190" s="15"/>
      <c r="Q190" s="15"/>
      <c r="R190" s="15"/>
      <c r="S190" s="15"/>
      <c r="T190" s="14"/>
      <c r="U190" s="15"/>
      <c r="V190" s="17"/>
    </row>
    <row r="191" spans="1:22" x14ac:dyDescent="0.2">
      <c r="A191" s="13"/>
      <c r="B191" s="15"/>
      <c r="C191" s="15"/>
      <c r="D191" s="14"/>
      <c r="E191" s="14"/>
      <c r="F191" s="16"/>
      <c r="G191" s="8" t="s">
        <v>3685</v>
      </c>
      <c r="H191" s="15"/>
      <c r="I191" s="14"/>
      <c r="J191" s="14"/>
      <c r="K191" s="17"/>
      <c r="L191" s="15"/>
      <c r="M191" s="16"/>
      <c r="N191" s="15"/>
      <c r="O191" s="15"/>
      <c r="P191" s="15"/>
      <c r="Q191" s="15"/>
      <c r="R191" s="15"/>
      <c r="S191" s="15"/>
      <c r="T191" s="14"/>
      <c r="U191" s="15"/>
      <c r="V191" s="17"/>
    </row>
    <row r="192" spans="1:22" x14ac:dyDescent="0.2">
      <c r="A192" s="13"/>
      <c r="B192" s="15"/>
      <c r="C192" s="15"/>
      <c r="D192" s="14"/>
      <c r="E192" s="14"/>
      <c r="F192" s="16"/>
      <c r="G192" s="8"/>
      <c r="H192" s="15"/>
      <c r="I192" s="14"/>
      <c r="J192" s="14"/>
      <c r="K192" s="17"/>
      <c r="L192" s="15"/>
      <c r="M192" s="16"/>
      <c r="N192" s="15"/>
      <c r="O192" s="15"/>
      <c r="P192" s="15"/>
      <c r="Q192" s="15"/>
      <c r="R192" s="15"/>
      <c r="S192" s="15"/>
      <c r="T192" s="14"/>
      <c r="U192" s="15"/>
      <c r="V192" s="17"/>
    </row>
    <row r="193" spans="1:22" x14ac:dyDescent="0.2">
      <c r="A193" s="13"/>
      <c r="B193" s="15"/>
      <c r="C193" s="15"/>
      <c r="D193" s="14"/>
      <c r="E193" s="14"/>
      <c r="F193" s="16"/>
      <c r="G193" s="8" t="s">
        <v>3686</v>
      </c>
      <c r="H193" s="15"/>
      <c r="I193" s="14"/>
      <c r="J193" s="14"/>
      <c r="K193" s="17"/>
      <c r="L193" s="15"/>
      <c r="M193" s="16"/>
      <c r="N193" s="15"/>
      <c r="O193" s="15"/>
      <c r="P193" s="15"/>
      <c r="Q193" s="15"/>
      <c r="R193" s="15"/>
      <c r="S193" s="15"/>
      <c r="T193" s="14"/>
      <c r="U193" s="15"/>
      <c r="V193" s="17"/>
    </row>
    <row r="194" spans="1:22" x14ac:dyDescent="0.2">
      <c r="A194" s="13"/>
      <c r="B194" s="15"/>
      <c r="C194" s="15"/>
      <c r="D194" s="14"/>
      <c r="E194" s="14"/>
      <c r="F194" s="16"/>
      <c r="G194" s="8"/>
      <c r="H194" s="15"/>
      <c r="I194" s="14"/>
      <c r="J194" s="14"/>
      <c r="K194" s="17"/>
      <c r="L194" s="15"/>
      <c r="M194" s="16"/>
      <c r="N194" s="15"/>
      <c r="O194" s="15"/>
      <c r="P194" s="15"/>
      <c r="Q194" s="15"/>
      <c r="R194" s="15"/>
      <c r="S194" s="15"/>
      <c r="T194" s="14"/>
      <c r="U194" s="15"/>
      <c r="V194" s="17"/>
    </row>
    <row r="195" spans="1:22" x14ac:dyDescent="0.2">
      <c r="A195" s="13"/>
      <c r="B195" s="15"/>
      <c r="C195" s="15"/>
      <c r="D195" s="14"/>
      <c r="E195" s="14"/>
      <c r="F195" s="16"/>
      <c r="G195" s="8" t="s">
        <v>3687</v>
      </c>
      <c r="H195" s="15"/>
      <c r="I195" s="14"/>
      <c r="J195" s="14"/>
      <c r="K195" s="17"/>
      <c r="L195" s="15"/>
      <c r="M195" s="16"/>
      <c r="N195" s="15"/>
      <c r="O195" s="15"/>
      <c r="P195" s="15"/>
      <c r="Q195" s="15"/>
      <c r="R195" s="15"/>
      <c r="S195" s="15"/>
      <c r="T195" s="14"/>
      <c r="U195" s="15"/>
      <c r="V195" s="17"/>
    </row>
    <row r="196" spans="1:22" ht="16" x14ac:dyDescent="0.2">
      <c r="A196" s="7" t="s">
        <v>1249</v>
      </c>
      <c r="B196" s="8" t="s">
        <v>3695</v>
      </c>
      <c r="C196" s="8" t="s">
        <v>3696</v>
      </c>
      <c r="D196" s="9"/>
      <c r="E196" s="9"/>
      <c r="F196" s="10">
        <v>44798</v>
      </c>
      <c r="G196" s="9"/>
      <c r="H196" s="8" t="s">
        <v>3140</v>
      </c>
      <c r="I196" s="9"/>
      <c r="J196" s="8">
        <v>20664566311</v>
      </c>
      <c r="K196" s="11" t="s">
        <v>3697</v>
      </c>
      <c r="L196" s="8" t="s">
        <v>3698</v>
      </c>
      <c r="M196" s="10">
        <v>38971</v>
      </c>
      <c r="N196" s="8" t="s">
        <v>3699</v>
      </c>
      <c r="O196" s="8" t="s">
        <v>3144</v>
      </c>
      <c r="P196" s="8" t="s">
        <v>3359</v>
      </c>
      <c r="Q196" s="8" t="s">
        <v>3700</v>
      </c>
      <c r="R196" s="8">
        <v>930</v>
      </c>
      <c r="S196" s="8" t="s">
        <v>3361</v>
      </c>
      <c r="T196" s="8" t="s">
        <v>3701</v>
      </c>
      <c r="U196" s="8" t="s">
        <v>3702</v>
      </c>
      <c r="V196" s="11" t="s">
        <v>3703</v>
      </c>
    </row>
    <row r="197" spans="1:22" ht="16" x14ac:dyDescent="0.2">
      <c r="A197" s="7" t="s">
        <v>2633</v>
      </c>
      <c r="B197" s="8" t="s">
        <v>3704</v>
      </c>
      <c r="C197" s="8" t="s">
        <v>3705</v>
      </c>
      <c r="D197" s="9"/>
      <c r="E197" s="9"/>
      <c r="F197" s="10">
        <v>44260</v>
      </c>
      <c r="G197" s="9"/>
      <c r="H197" s="8" t="s">
        <v>3140</v>
      </c>
      <c r="I197" s="9"/>
      <c r="J197" s="9"/>
      <c r="K197" s="11" t="s">
        <v>3706</v>
      </c>
      <c r="L197" s="8" t="s">
        <v>3707</v>
      </c>
      <c r="M197" s="10">
        <v>42185</v>
      </c>
      <c r="N197" s="8" t="s">
        <v>3708</v>
      </c>
      <c r="O197" s="8" t="s">
        <v>3144</v>
      </c>
      <c r="P197" s="8" t="s">
        <v>3175</v>
      </c>
      <c r="Q197" s="8" t="s">
        <v>3709</v>
      </c>
      <c r="R197" s="8">
        <v>463</v>
      </c>
      <c r="S197" s="8" t="s">
        <v>3710</v>
      </c>
      <c r="T197" s="9"/>
      <c r="U197" s="8" t="s">
        <v>3711</v>
      </c>
      <c r="V197" s="11" t="s">
        <v>3712</v>
      </c>
    </row>
    <row r="198" spans="1:22" ht="16" x14ac:dyDescent="0.2">
      <c r="A198" s="7" t="s">
        <v>2336</v>
      </c>
      <c r="B198" s="8" t="s">
        <v>3713</v>
      </c>
      <c r="C198" s="8" t="s">
        <v>3714</v>
      </c>
      <c r="D198" s="9"/>
      <c r="E198" s="9"/>
      <c r="F198" s="10">
        <v>45205</v>
      </c>
      <c r="G198" s="9"/>
      <c r="H198" s="8" t="s">
        <v>3140</v>
      </c>
      <c r="I198" s="9"/>
      <c r="J198" s="9"/>
      <c r="K198" s="11" t="s">
        <v>3715</v>
      </c>
      <c r="L198" s="8" t="s">
        <v>3716</v>
      </c>
      <c r="M198" s="10">
        <v>44687</v>
      </c>
      <c r="N198" s="8" t="s">
        <v>3717</v>
      </c>
      <c r="O198" s="8" t="s">
        <v>3144</v>
      </c>
      <c r="P198" s="8" t="s">
        <v>3175</v>
      </c>
      <c r="Q198" s="8" t="s">
        <v>3718</v>
      </c>
      <c r="R198" s="8">
        <v>12000</v>
      </c>
      <c r="S198" s="8" t="s">
        <v>3719</v>
      </c>
      <c r="T198" s="8" t="s">
        <v>3720</v>
      </c>
      <c r="U198" s="9"/>
      <c r="V198" s="9"/>
    </row>
    <row r="199" spans="1:22" x14ac:dyDescent="0.2">
      <c r="A199" s="13" t="s">
        <v>1211</v>
      </c>
      <c r="B199" s="15" t="s">
        <v>3721</v>
      </c>
      <c r="C199" s="15" t="s">
        <v>3722</v>
      </c>
      <c r="D199" s="14"/>
      <c r="E199" s="14"/>
      <c r="F199" s="16">
        <v>44781</v>
      </c>
      <c r="G199" s="8" t="s">
        <v>3723</v>
      </c>
      <c r="H199" s="15" t="s">
        <v>3140</v>
      </c>
      <c r="I199" s="14"/>
      <c r="J199" s="14"/>
      <c r="K199" s="17" t="s">
        <v>3725</v>
      </c>
      <c r="L199" s="15" t="s">
        <v>3726</v>
      </c>
      <c r="M199" s="16">
        <v>43522</v>
      </c>
      <c r="N199" s="15" t="s">
        <v>3727</v>
      </c>
      <c r="O199" s="15" t="s">
        <v>3144</v>
      </c>
      <c r="P199" s="15" t="s">
        <v>3728</v>
      </c>
      <c r="Q199" s="15" t="s">
        <v>3729</v>
      </c>
      <c r="R199" s="15">
        <v>159</v>
      </c>
      <c r="S199" s="15" t="s">
        <v>3730</v>
      </c>
      <c r="T199" s="14"/>
      <c r="U199" s="15" t="s">
        <v>3723</v>
      </c>
      <c r="V199" s="17" t="s">
        <v>3725</v>
      </c>
    </row>
    <row r="200" spans="1:22" x14ac:dyDescent="0.2">
      <c r="A200" s="13"/>
      <c r="B200" s="15"/>
      <c r="C200" s="15"/>
      <c r="D200" s="14"/>
      <c r="E200" s="14"/>
      <c r="F200" s="16"/>
      <c r="G200" s="8" t="s">
        <v>3724</v>
      </c>
      <c r="H200" s="15"/>
      <c r="I200" s="14"/>
      <c r="J200" s="14"/>
      <c r="K200" s="17"/>
      <c r="L200" s="15"/>
      <c r="M200" s="16"/>
      <c r="N200" s="15"/>
      <c r="O200" s="15"/>
      <c r="P200" s="15"/>
      <c r="Q200" s="15"/>
      <c r="R200" s="15"/>
      <c r="S200" s="15"/>
      <c r="T200" s="14"/>
      <c r="U200" s="15"/>
      <c r="V200" s="17"/>
    </row>
    <row r="201" spans="1:22" ht="16" x14ac:dyDescent="0.2">
      <c r="A201" s="7" t="s">
        <v>214</v>
      </c>
      <c r="B201" s="9"/>
      <c r="C201" s="9"/>
      <c r="D201" s="9"/>
      <c r="E201" s="9"/>
      <c r="F201" s="10">
        <v>44356</v>
      </c>
      <c r="G201" s="9"/>
      <c r="H201" s="8" t="s">
        <v>3140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ht="16" x14ac:dyDescent="0.2">
      <c r="A202" s="7" t="s">
        <v>3731</v>
      </c>
      <c r="B202" s="9"/>
      <c r="C202" s="9"/>
      <c r="D202" s="9"/>
      <c r="E202" s="9"/>
      <c r="F202" s="10">
        <v>44214</v>
      </c>
      <c r="G202" s="9"/>
      <c r="H202" s="8" t="s">
        <v>3140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16" x14ac:dyDescent="0.2">
      <c r="A203" s="7" t="s">
        <v>3732</v>
      </c>
      <c r="B203" s="9"/>
      <c r="C203" s="9"/>
      <c r="D203" s="9"/>
      <c r="E203" s="9"/>
      <c r="F203" s="10">
        <v>44265</v>
      </c>
      <c r="G203" s="9"/>
      <c r="H203" s="8" t="s">
        <v>3140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ht="16" x14ac:dyDescent="0.2">
      <c r="A204" s="7" t="s">
        <v>1857</v>
      </c>
      <c r="B204" s="8" t="s">
        <v>3733</v>
      </c>
      <c r="C204" s="8" t="s">
        <v>3734</v>
      </c>
      <c r="D204" s="9"/>
      <c r="E204" s="9"/>
      <c r="F204" s="10">
        <v>45054</v>
      </c>
      <c r="G204" s="9"/>
      <c r="H204" s="8" t="s">
        <v>3140</v>
      </c>
      <c r="I204" s="9"/>
      <c r="J204" s="9"/>
      <c r="K204" s="11" t="s">
        <v>3735</v>
      </c>
      <c r="L204" s="8" t="s">
        <v>3736</v>
      </c>
      <c r="M204" s="10">
        <v>37741</v>
      </c>
      <c r="N204" s="8" t="s">
        <v>3737</v>
      </c>
      <c r="O204" s="8" t="s">
        <v>3144</v>
      </c>
      <c r="P204" s="8" t="s">
        <v>3175</v>
      </c>
      <c r="Q204" s="8" t="s">
        <v>3738</v>
      </c>
      <c r="R204" s="8">
        <v>495</v>
      </c>
      <c r="S204" s="8" t="s">
        <v>3739</v>
      </c>
      <c r="T204" s="9"/>
      <c r="U204" s="8" t="s">
        <v>3740</v>
      </c>
      <c r="V204" s="11" t="s">
        <v>3741</v>
      </c>
    </row>
    <row r="205" spans="1:22" ht="16" x14ac:dyDescent="0.2">
      <c r="A205" s="7" t="s">
        <v>1451</v>
      </c>
      <c r="B205" s="8" t="s">
        <v>3742</v>
      </c>
      <c r="C205" s="8" t="s">
        <v>3743</v>
      </c>
      <c r="D205" s="9"/>
      <c r="E205" s="9"/>
      <c r="F205" s="10">
        <v>44851</v>
      </c>
      <c r="G205" s="9"/>
      <c r="H205" s="8" t="s">
        <v>3140</v>
      </c>
      <c r="I205" s="9"/>
      <c r="J205" s="9"/>
      <c r="K205" s="11" t="s">
        <v>3744</v>
      </c>
      <c r="L205" s="8" t="s">
        <v>3745</v>
      </c>
      <c r="M205" s="10">
        <v>39436</v>
      </c>
      <c r="N205" s="8" t="s">
        <v>3746</v>
      </c>
      <c r="O205" s="8" t="s">
        <v>3747</v>
      </c>
      <c r="P205" s="8" t="s">
        <v>3748</v>
      </c>
      <c r="Q205" s="8" t="s">
        <v>3749</v>
      </c>
      <c r="R205" s="8">
        <v>774</v>
      </c>
      <c r="S205" s="8" t="s">
        <v>3750</v>
      </c>
      <c r="T205" s="9"/>
      <c r="U205" s="8" t="s">
        <v>3751</v>
      </c>
      <c r="V205" s="9"/>
    </row>
    <row r="206" spans="1:22" x14ac:dyDescent="0.2">
      <c r="A206" s="13" t="s">
        <v>85</v>
      </c>
      <c r="B206" s="14"/>
      <c r="C206" s="14"/>
      <c r="D206" s="15" t="s">
        <v>3752</v>
      </c>
      <c r="E206" s="14"/>
      <c r="F206" s="16">
        <v>44315</v>
      </c>
      <c r="G206" s="8" t="s">
        <v>3753</v>
      </c>
      <c r="H206" s="15" t="s">
        <v>3140</v>
      </c>
      <c r="I206" s="14"/>
      <c r="J206" s="14"/>
      <c r="K206" s="17" t="s">
        <v>3758</v>
      </c>
      <c r="L206" s="15" t="s">
        <v>3759</v>
      </c>
      <c r="M206" s="14"/>
      <c r="N206" s="15" t="s">
        <v>3760</v>
      </c>
      <c r="O206" s="15" t="s">
        <v>3144</v>
      </c>
      <c r="P206" s="15" t="s">
        <v>3175</v>
      </c>
      <c r="Q206" s="15" t="s">
        <v>3761</v>
      </c>
      <c r="R206" s="15">
        <v>647</v>
      </c>
      <c r="S206" s="15" t="s">
        <v>3762</v>
      </c>
      <c r="T206" s="15" t="s">
        <v>3763</v>
      </c>
      <c r="U206" s="15" t="s">
        <v>3764</v>
      </c>
      <c r="V206" s="17" t="s">
        <v>3765</v>
      </c>
    </row>
    <row r="207" spans="1:22" x14ac:dyDescent="0.2">
      <c r="A207" s="13"/>
      <c r="B207" s="14"/>
      <c r="C207" s="14"/>
      <c r="D207" s="15"/>
      <c r="E207" s="14"/>
      <c r="F207" s="16"/>
      <c r="G207" s="8" t="s">
        <v>3754</v>
      </c>
      <c r="H207" s="15"/>
      <c r="I207" s="14"/>
      <c r="J207" s="14"/>
      <c r="K207" s="17"/>
      <c r="L207" s="15"/>
      <c r="M207" s="14"/>
      <c r="N207" s="15"/>
      <c r="O207" s="15"/>
      <c r="P207" s="15"/>
      <c r="Q207" s="15"/>
      <c r="R207" s="15"/>
      <c r="S207" s="15"/>
      <c r="T207" s="15"/>
      <c r="U207" s="15"/>
      <c r="V207" s="17"/>
    </row>
    <row r="208" spans="1:22" x14ac:dyDescent="0.2">
      <c r="A208" s="13"/>
      <c r="B208" s="14"/>
      <c r="C208" s="14"/>
      <c r="D208" s="15"/>
      <c r="E208" s="14"/>
      <c r="F208" s="16"/>
      <c r="G208" s="8" t="s">
        <v>3755</v>
      </c>
      <c r="H208" s="15"/>
      <c r="I208" s="14"/>
      <c r="J208" s="14"/>
      <c r="K208" s="17"/>
      <c r="L208" s="15"/>
      <c r="M208" s="14"/>
      <c r="N208" s="15"/>
      <c r="O208" s="15"/>
      <c r="P208" s="15"/>
      <c r="Q208" s="15"/>
      <c r="R208" s="15"/>
      <c r="S208" s="15"/>
      <c r="T208" s="15"/>
      <c r="U208" s="15"/>
      <c r="V208" s="17"/>
    </row>
    <row r="209" spans="1:22" x14ac:dyDescent="0.2">
      <c r="A209" s="13"/>
      <c r="B209" s="14"/>
      <c r="C209" s="14"/>
      <c r="D209" s="15"/>
      <c r="E209" s="14"/>
      <c r="F209" s="16"/>
      <c r="G209" s="11" t="s">
        <v>3756</v>
      </c>
      <c r="H209" s="15"/>
      <c r="I209" s="14"/>
      <c r="J209" s="14"/>
      <c r="K209" s="17"/>
      <c r="L209" s="15"/>
      <c r="M209" s="14"/>
      <c r="N209" s="15"/>
      <c r="O209" s="15"/>
      <c r="P209" s="15"/>
      <c r="Q209" s="15"/>
      <c r="R209" s="15"/>
      <c r="S209" s="15"/>
      <c r="T209" s="15"/>
      <c r="U209" s="15"/>
      <c r="V209" s="17"/>
    </row>
    <row r="210" spans="1:22" x14ac:dyDescent="0.2">
      <c r="A210" s="13"/>
      <c r="B210" s="14"/>
      <c r="C210" s="14"/>
      <c r="D210" s="15"/>
      <c r="E210" s="14"/>
      <c r="F210" s="16"/>
      <c r="G210" s="8" t="s">
        <v>3757</v>
      </c>
      <c r="H210" s="15"/>
      <c r="I210" s="14"/>
      <c r="J210" s="14"/>
      <c r="K210" s="17"/>
      <c r="L210" s="15"/>
      <c r="M210" s="14"/>
      <c r="N210" s="15"/>
      <c r="O210" s="15"/>
      <c r="P210" s="15"/>
      <c r="Q210" s="15"/>
      <c r="R210" s="15"/>
      <c r="S210" s="15"/>
      <c r="T210" s="15"/>
      <c r="U210" s="15"/>
      <c r="V210" s="17"/>
    </row>
    <row r="211" spans="1:22" ht="16" x14ac:dyDescent="0.2">
      <c r="A211" s="7" t="s">
        <v>304</v>
      </c>
      <c r="B211" s="9"/>
      <c r="C211" s="9"/>
      <c r="D211" s="9"/>
      <c r="E211" s="9"/>
      <c r="F211" s="10">
        <v>44375</v>
      </c>
      <c r="G211" s="9"/>
      <c r="H211" s="8" t="s">
        <v>3140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16" x14ac:dyDescent="0.2">
      <c r="A212" s="7" t="s">
        <v>1141</v>
      </c>
      <c r="B212" s="9"/>
      <c r="C212" s="9"/>
      <c r="D212" s="9"/>
      <c r="E212" s="9"/>
      <c r="F212" s="10">
        <v>44770</v>
      </c>
      <c r="G212" s="9"/>
      <c r="H212" s="8" t="s">
        <v>3140</v>
      </c>
      <c r="I212" s="9"/>
      <c r="J212" s="9"/>
      <c r="K212" s="11" t="s">
        <v>3766</v>
      </c>
      <c r="L212" s="8" t="s">
        <v>3767</v>
      </c>
      <c r="M212" s="9"/>
      <c r="N212" s="8" t="s">
        <v>3174</v>
      </c>
      <c r="O212" s="8" t="s">
        <v>3144</v>
      </c>
      <c r="P212" s="8" t="s">
        <v>3175</v>
      </c>
      <c r="Q212" s="8" t="s">
        <v>3176</v>
      </c>
      <c r="R212" s="8">
        <v>2</v>
      </c>
      <c r="S212" s="8" t="s">
        <v>3177</v>
      </c>
      <c r="T212" s="8" t="s">
        <v>3768</v>
      </c>
      <c r="U212" s="9"/>
      <c r="V212" s="9"/>
    </row>
    <row r="213" spans="1:22" ht="16" x14ac:dyDescent="0.2">
      <c r="A213" s="7" t="s">
        <v>230</v>
      </c>
      <c r="B213" s="8" t="s">
        <v>3769</v>
      </c>
      <c r="C213" s="8" t="s">
        <v>3770</v>
      </c>
      <c r="D213" s="9"/>
      <c r="E213" s="9"/>
      <c r="F213" s="10">
        <v>44795</v>
      </c>
      <c r="G213" s="9"/>
      <c r="H213" s="8" t="s">
        <v>3140</v>
      </c>
      <c r="I213" s="9"/>
      <c r="J213" s="9"/>
      <c r="K213" s="9"/>
      <c r="L213" s="9"/>
      <c r="M213" s="10">
        <v>33812</v>
      </c>
      <c r="N213" s="8" t="s">
        <v>3771</v>
      </c>
      <c r="O213" s="8" t="s">
        <v>3144</v>
      </c>
      <c r="P213" s="8" t="s">
        <v>3175</v>
      </c>
      <c r="Q213" s="8" t="s">
        <v>3772</v>
      </c>
      <c r="R213" s="8">
        <v>321</v>
      </c>
      <c r="S213" s="8" t="s">
        <v>3773</v>
      </c>
      <c r="T213" s="9"/>
      <c r="U213" s="9"/>
      <c r="V213" s="9"/>
    </row>
    <row r="214" spans="1:22" x14ac:dyDescent="0.2">
      <c r="A214" s="13" t="s">
        <v>3774</v>
      </c>
      <c r="B214" s="14"/>
      <c r="C214" s="14"/>
      <c r="D214" s="15" t="s">
        <v>3775</v>
      </c>
      <c r="E214" s="14"/>
      <c r="F214" s="16">
        <v>44741</v>
      </c>
      <c r="G214" s="8" t="s">
        <v>3776</v>
      </c>
      <c r="H214" s="15" t="s">
        <v>3140</v>
      </c>
      <c r="I214" s="14"/>
      <c r="J214" s="14"/>
      <c r="K214" s="17" t="s">
        <v>3779</v>
      </c>
      <c r="L214" s="15" t="s">
        <v>3780</v>
      </c>
      <c r="M214" s="16">
        <v>36223</v>
      </c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1:22" x14ac:dyDescent="0.2">
      <c r="A215" s="13"/>
      <c r="B215" s="14"/>
      <c r="C215" s="14"/>
      <c r="D215" s="15"/>
      <c r="E215" s="14"/>
      <c r="F215" s="16"/>
      <c r="G215" s="8" t="s">
        <v>3777</v>
      </c>
      <c r="H215" s="15"/>
      <c r="I215" s="14"/>
      <c r="J215" s="14"/>
      <c r="K215" s="17"/>
      <c r="L215" s="15"/>
      <c r="M215" s="16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1:22" x14ac:dyDescent="0.2">
      <c r="A216" s="13"/>
      <c r="B216" s="14"/>
      <c r="C216" s="14"/>
      <c r="D216" s="15"/>
      <c r="E216" s="14"/>
      <c r="F216" s="16"/>
      <c r="G216" s="8" t="s">
        <v>3778</v>
      </c>
      <c r="H216" s="15"/>
      <c r="I216" s="14"/>
      <c r="J216" s="14"/>
      <c r="K216" s="17"/>
      <c r="L216" s="15"/>
      <c r="M216" s="16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1:22" ht="16" x14ac:dyDescent="0.2">
      <c r="A217" s="7" t="s">
        <v>1727</v>
      </c>
      <c r="B217" s="8" t="s">
        <v>3781</v>
      </c>
      <c r="C217" s="8" t="s">
        <v>3782</v>
      </c>
      <c r="D217" s="9"/>
      <c r="E217" s="9"/>
      <c r="F217" s="10">
        <v>45006</v>
      </c>
      <c r="G217" s="9"/>
      <c r="H217" s="8" t="s">
        <v>3140</v>
      </c>
      <c r="I217" s="9"/>
      <c r="J217" s="9"/>
      <c r="K217" s="9"/>
      <c r="L217" s="9"/>
      <c r="M217" s="10">
        <v>30153</v>
      </c>
      <c r="N217" s="8" t="s">
        <v>3783</v>
      </c>
      <c r="O217" s="8" t="s">
        <v>3144</v>
      </c>
      <c r="P217" s="8" t="s">
        <v>3175</v>
      </c>
      <c r="Q217" s="8" t="s">
        <v>3442</v>
      </c>
      <c r="R217" s="8">
        <v>787</v>
      </c>
      <c r="S217" s="8" t="s">
        <v>3443</v>
      </c>
      <c r="T217" s="8">
        <v>795</v>
      </c>
      <c r="U217" s="9"/>
      <c r="V217" s="9"/>
    </row>
    <row r="218" spans="1:22" ht="16" x14ac:dyDescent="0.2">
      <c r="A218" s="7" t="s">
        <v>54</v>
      </c>
      <c r="B218" s="9"/>
      <c r="C218" s="9"/>
      <c r="D218" s="9"/>
      <c r="E218" s="9"/>
      <c r="F218" s="10">
        <v>44882</v>
      </c>
      <c r="G218" s="9"/>
      <c r="H218" s="8" t="s">
        <v>3140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x14ac:dyDescent="0.2">
      <c r="A219" s="13" t="s">
        <v>77</v>
      </c>
      <c r="B219" s="15" t="s">
        <v>3784</v>
      </c>
      <c r="C219" s="15" t="s">
        <v>3785</v>
      </c>
      <c r="D219" s="14"/>
      <c r="E219" s="14"/>
      <c r="F219" s="16">
        <v>44232</v>
      </c>
      <c r="G219" s="8" t="s">
        <v>3786</v>
      </c>
      <c r="H219" s="15" t="s">
        <v>3140</v>
      </c>
      <c r="I219" s="14"/>
      <c r="J219" s="15">
        <v>113832989115</v>
      </c>
      <c r="K219" s="17" t="s">
        <v>3813</v>
      </c>
      <c r="L219" s="15" t="s">
        <v>3814</v>
      </c>
      <c r="M219" s="16">
        <v>34232</v>
      </c>
      <c r="N219" s="15" t="s">
        <v>3815</v>
      </c>
      <c r="O219" s="15" t="s">
        <v>3144</v>
      </c>
      <c r="P219" s="15" t="s">
        <v>3175</v>
      </c>
      <c r="Q219" s="15" t="s">
        <v>3816</v>
      </c>
      <c r="R219" s="15">
        <v>686</v>
      </c>
      <c r="S219" s="15" t="s">
        <v>3817</v>
      </c>
      <c r="T219" s="14"/>
      <c r="U219" s="15" t="s">
        <v>3818</v>
      </c>
      <c r="V219" s="17" t="s">
        <v>3819</v>
      </c>
    </row>
    <row r="220" spans="1:22" x14ac:dyDescent="0.2">
      <c r="A220" s="13"/>
      <c r="B220" s="15"/>
      <c r="C220" s="15"/>
      <c r="D220" s="14"/>
      <c r="E220" s="14"/>
      <c r="F220" s="16"/>
      <c r="G220" s="8" t="s">
        <v>3787</v>
      </c>
      <c r="H220" s="15"/>
      <c r="I220" s="14"/>
      <c r="J220" s="15"/>
      <c r="K220" s="17"/>
      <c r="L220" s="15"/>
      <c r="M220" s="16"/>
      <c r="N220" s="15"/>
      <c r="O220" s="15"/>
      <c r="P220" s="15"/>
      <c r="Q220" s="15"/>
      <c r="R220" s="15"/>
      <c r="S220" s="15"/>
      <c r="T220" s="14"/>
      <c r="U220" s="15"/>
      <c r="V220" s="17"/>
    </row>
    <row r="221" spans="1:22" x14ac:dyDescent="0.2">
      <c r="A221" s="13"/>
      <c r="B221" s="15"/>
      <c r="C221" s="15"/>
      <c r="D221" s="14"/>
      <c r="E221" s="14"/>
      <c r="F221" s="16"/>
      <c r="G221" s="8"/>
      <c r="H221" s="15"/>
      <c r="I221" s="14"/>
      <c r="J221" s="15"/>
      <c r="K221" s="17"/>
      <c r="L221" s="15"/>
      <c r="M221" s="16"/>
      <c r="N221" s="15"/>
      <c r="O221" s="15"/>
      <c r="P221" s="15"/>
      <c r="Q221" s="15"/>
      <c r="R221" s="15"/>
      <c r="S221" s="15"/>
      <c r="T221" s="14"/>
      <c r="U221" s="15"/>
      <c r="V221" s="17"/>
    </row>
    <row r="222" spans="1:22" x14ac:dyDescent="0.2">
      <c r="A222" s="13"/>
      <c r="B222" s="15"/>
      <c r="C222" s="15"/>
      <c r="D222" s="14"/>
      <c r="E222" s="14"/>
      <c r="F222" s="16"/>
      <c r="G222" s="8" t="s">
        <v>3788</v>
      </c>
      <c r="H222" s="15"/>
      <c r="I222" s="14"/>
      <c r="J222" s="15"/>
      <c r="K222" s="17"/>
      <c r="L222" s="15"/>
      <c r="M222" s="16"/>
      <c r="N222" s="15"/>
      <c r="O222" s="15"/>
      <c r="P222" s="15"/>
      <c r="Q222" s="15"/>
      <c r="R222" s="15"/>
      <c r="S222" s="15"/>
      <c r="T222" s="14"/>
      <c r="U222" s="15"/>
      <c r="V222" s="17"/>
    </row>
    <row r="223" spans="1:22" x14ac:dyDescent="0.2">
      <c r="A223" s="13"/>
      <c r="B223" s="15"/>
      <c r="C223" s="15"/>
      <c r="D223" s="14"/>
      <c r="E223" s="14"/>
      <c r="F223" s="16"/>
      <c r="G223" s="8"/>
      <c r="H223" s="15"/>
      <c r="I223" s="14"/>
      <c r="J223" s="15"/>
      <c r="K223" s="17"/>
      <c r="L223" s="15"/>
      <c r="M223" s="16"/>
      <c r="N223" s="15"/>
      <c r="O223" s="15"/>
      <c r="P223" s="15"/>
      <c r="Q223" s="15"/>
      <c r="R223" s="15"/>
      <c r="S223" s="15"/>
      <c r="T223" s="14"/>
      <c r="U223" s="15"/>
      <c r="V223" s="17"/>
    </row>
    <row r="224" spans="1:22" x14ac:dyDescent="0.2">
      <c r="A224" s="13"/>
      <c r="B224" s="15"/>
      <c r="C224" s="15"/>
      <c r="D224" s="14"/>
      <c r="E224" s="14"/>
      <c r="F224" s="16"/>
      <c r="G224" s="8" t="s">
        <v>3789</v>
      </c>
      <c r="H224" s="15"/>
      <c r="I224" s="14"/>
      <c r="J224" s="15"/>
      <c r="K224" s="17"/>
      <c r="L224" s="15"/>
      <c r="M224" s="16"/>
      <c r="N224" s="15"/>
      <c r="O224" s="15"/>
      <c r="P224" s="15"/>
      <c r="Q224" s="15"/>
      <c r="R224" s="15"/>
      <c r="S224" s="15"/>
      <c r="T224" s="14"/>
      <c r="U224" s="15"/>
      <c r="V224" s="17"/>
    </row>
    <row r="225" spans="1:22" x14ac:dyDescent="0.2">
      <c r="A225" s="13"/>
      <c r="B225" s="15"/>
      <c r="C225" s="15"/>
      <c r="D225" s="14"/>
      <c r="E225" s="14"/>
      <c r="F225" s="16"/>
      <c r="G225" s="8" t="s">
        <v>3790</v>
      </c>
      <c r="H225" s="15"/>
      <c r="I225" s="14"/>
      <c r="J225" s="15"/>
      <c r="K225" s="17"/>
      <c r="L225" s="15"/>
      <c r="M225" s="16"/>
      <c r="N225" s="15"/>
      <c r="O225" s="15"/>
      <c r="P225" s="15"/>
      <c r="Q225" s="15"/>
      <c r="R225" s="15"/>
      <c r="S225" s="15"/>
      <c r="T225" s="14"/>
      <c r="U225" s="15"/>
      <c r="V225" s="17"/>
    </row>
    <row r="226" spans="1:22" x14ac:dyDescent="0.2">
      <c r="A226" s="13"/>
      <c r="B226" s="15"/>
      <c r="C226" s="15"/>
      <c r="D226" s="14"/>
      <c r="E226" s="14"/>
      <c r="F226" s="16"/>
      <c r="G226" s="8"/>
      <c r="H226" s="15"/>
      <c r="I226" s="14"/>
      <c r="J226" s="15"/>
      <c r="K226" s="17"/>
      <c r="L226" s="15"/>
      <c r="M226" s="16"/>
      <c r="N226" s="15"/>
      <c r="O226" s="15"/>
      <c r="P226" s="15"/>
      <c r="Q226" s="15"/>
      <c r="R226" s="15"/>
      <c r="S226" s="15"/>
      <c r="T226" s="14"/>
      <c r="U226" s="15"/>
      <c r="V226" s="17"/>
    </row>
    <row r="227" spans="1:22" x14ac:dyDescent="0.2">
      <c r="A227" s="13"/>
      <c r="B227" s="15"/>
      <c r="C227" s="15"/>
      <c r="D227" s="14"/>
      <c r="E227" s="14"/>
      <c r="F227" s="16"/>
      <c r="G227" s="8" t="s">
        <v>3484</v>
      </c>
      <c r="H227" s="15"/>
      <c r="I227" s="14"/>
      <c r="J227" s="15"/>
      <c r="K227" s="17"/>
      <c r="L227" s="15"/>
      <c r="M227" s="16"/>
      <c r="N227" s="15"/>
      <c r="O227" s="15"/>
      <c r="P227" s="15"/>
      <c r="Q227" s="15"/>
      <c r="R227" s="15"/>
      <c r="S227" s="15"/>
      <c r="T227" s="14"/>
      <c r="U227" s="15"/>
      <c r="V227" s="17"/>
    </row>
    <row r="228" spans="1:22" x14ac:dyDescent="0.2">
      <c r="A228" s="13"/>
      <c r="B228" s="15"/>
      <c r="C228" s="15"/>
      <c r="D228" s="14"/>
      <c r="E228" s="14"/>
      <c r="F228" s="16"/>
      <c r="G228" s="8" t="s">
        <v>3791</v>
      </c>
      <c r="H228" s="15"/>
      <c r="I228" s="14"/>
      <c r="J228" s="15"/>
      <c r="K228" s="17"/>
      <c r="L228" s="15"/>
      <c r="M228" s="16"/>
      <c r="N228" s="15"/>
      <c r="O228" s="15"/>
      <c r="P228" s="15"/>
      <c r="Q228" s="15"/>
      <c r="R228" s="15"/>
      <c r="S228" s="15"/>
      <c r="T228" s="14"/>
      <c r="U228" s="15"/>
      <c r="V228" s="17"/>
    </row>
    <row r="229" spans="1:22" x14ac:dyDescent="0.2">
      <c r="A229" s="13"/>
      <c r="B229" s="15"/>
      <c r="C229" s="15"/>
      <c r="D229" s="14"/>
      <c r="E229" s="14"/>
      <c r="F229" s="16"/>
      <c r="G229" s="8" t="s">
        <v>3792</v>
      </c>
      <c r="H229" s="15"/>
      <c r="I229" s="14"/>
      <c r="J229" s="15"/>
      <c r="K229" s="17"/>
      <c r="L229" s="15"/>
      <c r="M229" s="16"/>
      <c r="N229" s="15"/>
      <c r="O229" s="15"/>
      <c r="P229" s="15"/>
      <c r="Q229" s="15"/>
      <c r="R229" s="15"/>
      <c r="S229" s="15"/>
      <c r="T229" s="14"/>
      <c r="U229" s="15"/>
      <c r="V229" s="17"/>
    </row>
    <row r="230" spans="1:22" x14ac:dyDescent="0.2">
      <c r="A230" s="13"/>
      <c r="B230" s="15"/>
      <c r="C230" s="15"/>
      <c r="D230" s="14"/>
      <c r="E230" s="14"/>
      <c r="F230" s="16"/>
      <c r="G230" s="8" t="s">
        <v>3793</v>
      </c>
      <c r="H230" s="15"/>
      <c r="I230" s="14"/>
      <c r="J230" s="15"/>
      <c r="K230" s="17"/>
      <c r="L230" s="15"/>
      <c r="M230" s="16"/>
      <c r="N230" s="15"/>
      <c r="O230" s="15"/>
      <c r="P230" s="15"/>
      <c r="Q230" s="15"/>
      <c r="R230" s="15"/>
      <c r="S230" s="15"/>
      <c r="T230" s="14"/>
      <c r="U230" s="15"/>
      <c r="V230" s="17"/>
    </row>
    <row r="231" spans="1:22" x14ac:dyDescent="0.2">
      <c r="A231" s="13"/>
      <c r="B231" s="15"/>
      <c r="C231" s="15"/>
      <c r="D231" s="14"/>
      <c r="E231" s="14"/>
      <c r="F231" s="16"/>
      <c r="G231" s="8" t="s">
        <v>3794</v>
      </c>
      <c r="H231" s="15"/>
      <c r="I231" s="14"/>
      <c r="J231" s="15"/>
      <c r="K231" s="17"/>
      <c r="L231" s="15"/>
      <c r="M231" s="16"/>
      <c r="N231" s="15"/>
      <c r="O231" s="15"/>
      <c r="P231" s="15"/>
      <c r="Q231" s="15"/>
      <c r="R231" s="15"/>
      <c r="S231" s="15"/>
      <c r="T231" s="14"/>
      <c r="U231" s="15"/>
      <c r="V231" s="17"/>
    </row>
    <row r="232" spans="1:22" x14ac:dyDescent="0.2">
      <c r="A232" s="13"/>
      <c r="B232" s="15"/>
      <c r="C232" s="15"/>
      <c r="D232" s="14"/>
      <c r="E232" s="14"/>
      <c r="F232" s="16"/>
      <c r="G232" s="8" t="s">
        <v>3795</v>
      </c>
      <c r="H232" s="15"/>
      <c r="I232" s="14"/>
      <c r="J232" s="15"/>
      <c r="K232" s="17"/>
      <c r="L232" s="15"/>
      <c r="M232" s="16"/>
      <c r="N232" s="15"/>
      <c r="O232" s="15"/>
      <c r="P232" s="15"/>
      <c r="Q232" s="15"/>
      <c r="R232" s="15"/>
      <c r="S232" s="15"/>
      <c r="T232" s="14"/>
      <c r="U232" s="15"/>
      <c r="V232" s="17"/>
    </row>
    <row r="233" spans="1:22" x14ac:dyDescent="0.2">
      <c r="A233" s="13"/>
      <c r="B233" s="15"/>
      <c r="C233" s="15"/>
      <c r="D233" s="14"/>
      <c r="E233" s="14"/>
      <c r="F233" s="16"/>
      <c r="G233" s="8" t="s">
        <v>3796</v>
      </c>
      <c r="H233" s="15"/>
      <c r="I233" s="14"/>
      <c r="J233" s="15"/>
      <c r="K233" s="17"/>
      <c r="L233" s="15"/>
      <c r="M233" s="16"/>
      <c r="N233" s="15"/>
      <c r="O233" s="15"/>
      <c r="P233" s="15"/>
      <c r="Q233" s="15"/>
      <c r="R233" s="15"/>
      <c r="S233" s="15"/>
      <c r="T233" s="14"/>
      <c r="U233" s="15"/>
      <c r="V233" s="17"/>
    </row>
    <row r="234" spans="1:22" x14ac:dyDescent="0.2">
      <c r="A234" s="13"/>
      <c r="B234" s="15"/>
      <c r="C234" s="15"/>
      <c r="D234" s="14"/>
      <c r="E234" s="14"/>
      <c r="F234" s="16"/>
      <c r="G234" s="8" t="s">
        <v>3797</v>
      </c>
      <c r="H234" s="15"/>
      <c r="I234" s="14"/>
      <c r="J234" s="15"/>
      <c r="K234" s="17"/>
      <c r="L234" s="15"/>
      <c r="M234" s="16"/>
      <c r="N234" s="15"/>
      <c r="O234" s="15"/>
      <c r="P234" s="15"/>
      <c r="Q234" s="15"/>
      <c r="R234" s="15"/>
      <c r="S234" s="15"/>
      <c r="T234" s="14"/>
      <c r="U234" s="15"/>
      <c r="V234" s="17"/>
    </row>
    <row r="235" spans="1:22" x14ac:dyDescent="0.2">
      <c r="A235" s="13"/>
      <c r="B235" s="15"/>
      <c r="C235" s="15"/>
      <c r="D235" s="14"/>
      <c r="E235" s="14"/>
      <c r="F235" s="16"/>
      <c r="G235" s="8" t="s">
        <v>3798</v>
      </c>
      <c r="H235" s="15"/>
      <c r="I235" s="14"/>
      <c r="J235" s="15"/>
      <c r="K235" s="17"/>
      <c r="L235" s="15"/>
      <c r="M235" s="16"/>
      <c r="N235" s="15"/>
      <c r="O235" s="15"/>
      <c r="P235" s="15"/>
      <c r="Q235" s="15"/>
      <c r="R235" s="15"/>
      <c r="S235" s="15"/>
      <c r="T235" s="14"/>
      <c r="U235" s="15"/>
      <c r="V235" s="17"/>
    </row>
    <row r="236" spans="1:22" x14ac:dyDescent="0.2">
      <c r="A236" s="13"/>
      <c r="B236" s="15"/>
      <c r="C236" s="15"/>
      <c r="D236" s="14"/>
      <c r="E236" s="14"/>
      <c r="F236" s="16"/>
      <c r="G236" s="11" t="s">
        <v>3799</v>
      </c>
      <c r="H236" s="15"/>
      <c r="I236" s="14"/>
      <c r="J236" s="15"/>
      <c r="K236" s="17"/>
      <c r="L236" s="15"/>
      <c r="M236" s="16"/>
      <c r="N236" s="15"/>
      <c r="O236" s="15"/>
      <c r="P236" s="15"/>
      <c r="Q236" s="15"/>
      <c r="R236" s="15"/>
      <c r="S236" s="15"/>
      <c r="T236" s="14"/>
      <c r="U236" s="15"/>
      <c r="V236" s="17"/>
    </row>
    <row r="237" spans="1:22" x14ac:dyDescent="0.2">
      <c r="A237" s="13"/>
      <c r="B237" s="15"/>
      <c r="C237" s="15"/>
      <c r="D237" s="14"/>
      <c r="E237" s="14"/>
      <c r="F237" s="16"/>
      <c r="G237" s="11" t="s">
        <v>3800</v>
      </c>
      <c r="H237" s="15"/>
      <c r="I237" s="14"/>
      <c r="J237" s="15"/>
      <c r="K237" s="17"/>
      <c r="L237" s="15"/>
      <c r="M237" s="16"/>
      <c r="N237" s="15"/>
      <c r="O237" s="15"/>
      <c r="P237" s="15"/>
      <c r="Q237" s="15"/>
      <c r="R237" s="15"/>
      <c r="S237" s="15"/>
      <c r="T237" s="14"/>
      <c r="U237" s="15"/>
      <c r="V237" s="17"/>
    </row>
    <row r="238" spans="1:22" x14ac:dyDescent="0.2">
      <c r="A238" s="13"/>
      <c r="B238" s="15"/>
      <c r="C238" s="15"/>
      <c r="D238" s="14"/>
      <c r="E238" s="14"/>
      <c r="F238" s="16"/>
      <c r="G238" s="8" t="s">
        <v>3801</v>
      </c>
      <c r="H238" s="15"/>
      <c r="I238" s="14"/>
      <c r="J238" s="15"/>
      <c r="K238" s="17"/>
      <c r="L238" s="15"/>
      <c r="M238" s="16"/>
      <c r="N238" s="15"/>
      <c r="O238" s="15"/>
      <c r="P238" s="15"/>
      <c r="Q238" s="15"/>
      <c r="R238" s="15"/>
      <c r="S238" s="15"/>
      <c r="T238" s="14"/>
      <c r="U238" s="15"/>
      <c r="V238" s="17"/>
    </row>
    <row r="239" spans="1:22" x14ac:dyDescent="0.2">
      <c r="A239" s="13"/>
      <c r="B239" s="15"/>
      <c r="C239" s="15"/>
      <c r="D239" s="14"/>
      <c r="E239" s="14"/>
      <c r="F239" s="16"/>
      <c r="G239" s="8" t="s">
        <v>3802</v>
      </c>
      <c r="H239" s="15"/>
      <c r="I239" s="14"/>
      <c r="J239" s="15"/>
      <c r="K239" s="17"/>
      <c r="L239" s="15"/>
      <c r="M239" s="16"/>
      <c r="N239" s="15"/>
      <c r="O239" s="15"/>
      <c r="P239" s="15"/>
      <c r="Q239" s="15"/>
      <c r="R239" s="15"/>
      <c r="S239" s="15"/>
      <c r="T239" s="14"/>
      <c r="U239" s="15"/>
      <c r="V239" s="17"/>
    </row>
    <row r="240" spans="1:22" x14ac:dyDescent="0.2">
      <c r="A240" s="13"/>
      <c r="B240" s="15"/>
      <c r="C240" s="15"/>
      <c r="D240" s="14"/>
      <c r="E240" s="14"/>
      <c r="F240" s="16"/>
      <c r="G240" s="8" t="s">
        <v>3803</v>
      </c>
      <c r="H240" s="15"/>
      <c r="I240" s="14"/>
      <c r="J240" s="15"/>
      <c r="K240" s="17"/>
      <c r="L240" s="15"/>
      <c r="M240" s="16"/>
      <c r="N240" s="15"/>
      <c r="O240" s="15"/>
      <c r="P240" s="15"/>
      <c r="Q240" s="15"/>
      <c r="R240" s="15"/>
      <c r="S240" s="15"/>
      <c r="T240" s="14"/>
      <c r="U240" s="15"/>
      <c r="V240" s="17"/>
    </row>
    <row r="241" spans="1:22" x14ac:dyDescent="0.2">
      <c r="A241" s="13"/>
      <c r="B241" s="15"/>
      <c r="C241" s="15"/>
      <c r="D241" s="14"/>
      <c r="E241" s="14"/>
      <c r="F241" s="16"/>
      <c r="G241" s="8" t="s">
        <v>3804</v>
      </c>
      <c r="H241" s="15"/>
      <c r="I241" s="14"/>
      <c r="J241" s="15"/>
      <c r="K241" s="17"/>
      <c r="L241" s="15"/>
      <c r="M241" s="16"/>
      <c r="N241" s="15"/>
      <c r="O241" s="15"/>
      <c r="P241" s="15"/>
      <c r="Q241" s="15"/>
      <c r="R241" s="15"/>
      <c r="S241" s="15"/>
      <c r="T241" s="14"/>
      <c r="U241" s="15"/>
      <c r="V241" s="17"/>
    </row>
    <row r="242" spans="1:22" x14ac:dyDescent="0.2">
      <c r="A242" s="13"/>
      <c r="B242" s="15"/>
      <c r="C242" s="15"/>
      <c r="D242" s="14"/>
      <c r="E242" s="14"/>
      <c r="F242" s="16"/>
      <c r="G242" s="8" t="s">
        <v>3805</v>
      </c>
      <c r="H242" s="15"/>
      <c r="I242" s="14"/>
      <c r="J242" s="15"/>
      <c r="K242" s="17"/>
      <c r="L242" s="15"/>
      <c r="M242" s="16"/>
      <c r="N242" s="15"/>
      <c r="O242" s="15"/>
      <c r="P242" s="15"/>
      <c r="Q242" s="15"/>
      <c r="R242" s="15"/>
      <c r="S242" s="15"/>
      <c r="T242" s="14"/>
      <c r="U242" s="15"/>
      <c r="V242" s="17"/>
    </row>
    <row r="243" spans="1:22" x14ac:dyDescent="0.2">
      <c r="A243" s="13"/>
      <c r="B243" s="15"/>
      <c r="C243" s="15"/>
      <c r="D243" s="14"/>
      <c r="E243" s="14"/>
      <c r="F243" s="16"/>
      <c r="G243" s="8"/>
      <c r="H243" s="15"/>
      <c r="I243" s="14"/>
      <c r="J243" s="15"/>
      <c r="K243" s="17"/>
      <c r="L243" s="15"/>
      <c r="M243" s="16"/>
      <c r="N243" s="15"/>
      <c r="O243" s="15"/>
      <c r="P243" s="15"/>
      <c r="Q243" s="15"/>
      <c r="R243" s="15"/>
      <c r="S243" s="15"/>
      <c r="T243" s="14"/>
      <c r="U243" s="15"/>
      <c r="V243" s="17"/>
    </row>
    <row r="244" spans="1:22" x14ac:dyDescent="0.2">
      <c r="A244" s="13"/>
      <c r="B244" s="15"/>
      <c r="C244" s="15"/>
      <c r="D244" s="14"/>
      <c r="E244" s="14"/>
      <c r="F244" s="16"/>
      <c r="G244" s="8" t="s">
        <v>3806</v>
      </c>
      <c r="H244" s="15"/>
      <c r="I244" s="14"/>
      <c r="J244" s="15"/>
      <c r="K244" s="17"/>
      <c r="L244" s="15"/>
      <c r="M244" s="16"/>
      <c r="N244" s="15"/>
      <c r="O244" s="15"/>
      <c r="P244" s="15"/>
      <c r="Q244" s="15"/>
      <c r="R244" s="15"/>
      <c r="S244" s="15"/>
      <c r="T244" s="14"/>
      <c r="U244" s="15"/>
      <c r="V244" s="17"/>
    </row>
    <row r="245" spans="1:22" x14ac:dyDescent="0.2">
      <c r="A245" s="13"/>
      <c r="B245" s="15"/>
      <c r="C245" s="15"/>
      <c r="D245" s="14"/>
      <c r="E245" s="14"/>
      <c r="F245" s="16"/>
      <c r="G245" s="8" t="s">
        <v>3807</v>
      </c>
      <c r="H245" s="15"/>
      <c r="I245" s="14"/>
      <c r="J245" s="15"/>
      <c r="K245" s="17"/>
      <c r="L245" s="15"/>
      <c r="M245" s="16"/>
      <c r="N245" s="15"/>
      <c r="O245" s="15"/>
      <c r="P245" s="15"/>
      <c r="Q245" s="15"/>
      <c r="R245" s="15"/>
      <c r="S245" s="15"/>
      <c r="T245" s="14"/>
      <c r="U245" s="15"/>
      <c r="V245" s="17"/>
    </row>
    <row r="246" spans="1:22" x14ac:dyDescent="0.2">
      <c r="A246" s="13"/>
      <c r="B246" s="15"/>
      <c r="C246" s="15"/>
      <c r="D246" s="14"/>
      <c r="E246" s="14"/>
      <c r="F246" s="16"/>
      <c r="G246" s="8" t="s">
        <v>3808</v>
      </c>
      <c r="H246" s="15"/>
      <c r="I246" s="14"/>
      <c r="J246" s="15"/>
      <c r="K246" s="17"/>
      <c r="L246" s="15"/>
      <c r="M246" s="16"/>
      <c r="N246" s="15"/>
      <c r="O246" s="15"/>
      <c r="P246" s="15"/>
      <c r="Q246" s="15"/>
      <c r="R246" s="15"/>
      <c r="S246" s="15"/>
      <c r="T246" s="14"/>
      <c r="U246" s="15"/>
      <c r="V246" s="17"/>
    </row>
    <row r="247" spans="1:22" x14ac:dyDescent="0.2">
      <c r="A247" s="13"/>
      <c r="B247" s="15"/>
      <c r="C247" s="15"/>
      <c r="D247" s="14"/>
      <c r="E247" s="14"/>
      <c r="F247" s="16"/>
      <c r="G247" s="8" t="s">
        <v>3809</v>
      </c>
      <c r="H247" s="15"/>
      <c r="I247" s="14"/>
      <c r="J247" s="15"/>
      <c r="K247" s="17"/>
      <c r="L247" s="15"/>
      <c r="M247" s="16"/>
      <c r="N247" s="15"/>
      <c r="O247" s="15"/>
      <c r="P247" s="15"/>
      <c r="Q247" s="15"/>
      <c r="R247" s="15"/>
      <c r="S247" s="15"/>
      <c r="T247" s="14"/>
      <c r="U247" s="15"/>
      <c r="V247" s="17"/>
    </row>
    <row r="248" spans="1:22" x14ac:dyDescent="0.2">
      <c r="A248" s="13"/>
      <c r="B248" s="15"/>
      <c r="C248" s="15"/>
      <c r="D248" s="14"/>
      <c r="E248" s="14"/>
      <c r="F248" s="16"/>
      <c r="G248" s="8" t="s">
        <v>3810</v>
      </c>
      <c r="H248" s="15"/>
      <c r="I248" s="14"/>
      <c r="J248" s="15"/>
      <c r="K248" s="17"/>
      <c r="L248" s="15"/>
      <c r="M248" s="16"/>
      <c r="N248" s="15"/>
      <c r="O248" s="15"/>
      <c r="P248" s="15"/>
      <c r="Q248" s="15"/>
      <c r="R248" s="15"/>
      <c r="S248" s="15"/>
      <c r="T248" s="14"/>
      <c r="U248" s="15"/>
      <c r="V248" s="17"/>
    </row>
    <row r="249" spans="1:22" x14ac:dyDescent="0.2">
      <c r="A249" s="13"/>
      <c r="B249" s="15"/>
      <c r="C249" s="15"/>
      <c r="D249" s="14"/>
      <c r="E249" s="14"/>
      <c r="F249" s="16"/>
      <c r="G249" s="8" t="s">
        <v>3811</v>
      </c>
      <c r="H249" s="15"/>
      <c r="I249" s="14"/>
      <c r="J249" s="15"/>
      <c r="K249" s="17"/>
      <c r="L249" s="15"/>
      <c r="M249" s="16"/>
      <c r="N249" s="15"/>
      <c r="O249" s="15"/>
      <c r="P249" s="15"/>
      <c r="Q249" s="15"/>
      <c r="R249" s="15"/>
      <c r="S249" s="15"/>
      <c r="T249" s="14"/>
      <c r="U249" s="15"/>
      <c r="V249" s="17"/>
    </row>
    <row r="250" spans="1:22" x14ac:dyDescent="0.2">
      <c r="A250" s="13"/>
      <c r="B250" s="15"/>
      <c r="C250" s="15"/>
      <c r="D250" s="14"/>
      <c r="E250" s="14"/>
      <c r="F250" s="16"/>
      <c r="G250" s="8"/>
      <c r="H250" s="15"/>
      <c r="I250" s="14"/>
      <c r="J250" s="15"/>
      <c r="K250" s="17"/>
      <c r="L250" s="15"/>
      <c r="M250" s="16"/>
      <c r="N250" s="15"/>
      <c r="O250" s="15"/>
      <c r="P250" s="15"/>
      <c r="Q250" s="15"/>
      <c r="R250" s="15"/>
      <c r="S250" s="15"/>
      <c r="T250" s="14"/>
      <c r="U250" s="15"/>
      <c r="V250" s="17"/>
    </row>
    <row r="251" spans="1:22" x14ac:dyDescent="0.2">
      <c r="A251" s="13"/>
      <c r="B251" s="15"/>
      <c r="C251" s="15"/>
      <c r="D251" s="14"/>
      <c r="E251" s="14"/>
      <c r="F251" s="16"/>
      <c r="G251" s="8" t="s">
        <v>3812</v>
      </c>
      <c r="H251" s="15"/>
      <c r="I251" s="14"/>
      <c r="J251" s="15"/>
      <c r="K251" s="17"/>
      <c r="L251" s="15"/>
      <c r="M251" s="16"/>
      <c r="N251" s="15"/>
      <c r="O251" s="15"/>
      <c r="P251" s="15"/>
      <c r="Q251" s="15"/>
      <c r="R251" s="15"/>
      <c r="S251" s="15"/>
      <c r="T251" s="14"/>
      <c r="U251" s="15"/>
      <c r="V251" s="17"/>
    </row>
    <row r="252" spans="1:22" ht="16" x14ac:dyDescent="0.2">
      <c r="A252" s="7" t="s">
        <v>2216</v>
      </c>
      <c r="B252" s="8" t="s">
        <v>3820</v>
      </c>
      <c r="C252" s="8" t="s">
        <v>3821</v>
      </c>
      <c r="D252" s="9"/>
      <c r="E252" s="9"/>
      <c r="F252" s="10">
        <v>45169</v>
      </c>
      <c r="G252" s="9"/>
      <c r="H252" s="8" t="s">
        <v>3140</v>
      </c>
      <c r="I252" s="9"/>
      <c r="J252" s="9"/>
      <c r="K252" s="11" t="s">
        <v>3822</v>
      </c>
      <c r="L252" s="8" t="s">
        <v>3823</v>
      </c>
      <c r="M252" s="10">
        <v>33210</v>
      </c>
      <c r="N252" s="8" t="s">
        <v>3824</v>
      </c>
      <c r="O252" s="8" t="s">
        <v>3210</v>
      </c>
      <c r="P252" s="8" t="s">
        <v>3825</v>
      </c>
      <c r="Q252" s="8" t="s">
        <v>3826</v>
      </c>
      <c r="R252" s="8">
        <v>1041</v>
      </c>
      <c r="S252" s="8" t="s">
        <v>3827</v>
      </c>
      <c r="T252" s="9"/>
      <c r="U252" s="9"/>
      <c r="V252" s="9"/>
    </row>
    <row r="253" spans="1:22" x14ac:dyDescent="0.2">
      <c r="A253" s="13" t="s">
        <v>1271</v>
      </c>
      <c r="B253" s="15" t="s">
        <v>3828</v>
      </c>
      <c r="C253" s="15" t="s">
        <v>3829</v>
      </c>
      <c r="D253" s="14"/>
      <c r="E253" s="14"/>
      <c r="F253" s="16">
        <v>44350</v>
      </c>
      <c r="G253" s="8" t="s">
        <v>3830</v>
      </c>
      <c r="H253" s="15" t="s">
        <v>3140</v>
      </c>
      <c r="I253" s="14"/>
      <c r="J253" s="15">
        <v>116912910111</v>
      </c>
      <c r="K253" s="17" t="s">
        <v>3835</v>
      </c>
      <c r="L253" s="15" t="s">
        <v>3836</v>
      </c>
      <c r="M253" s="16">
        <v>38243</v>
      </c>
      <c r="N253" s="15" t="s">
        <v>3837</v>
      </c>
      <c r="O253" s="15" t="s">
        <v>3144</v>
      </c>
      <c r="P253" s="15" t="s">
        <v>3175</v>
      </c>
      <c r="Q253" s="15" t="s">
        <v>3838</v>
      </c>
      <c r="R253" s="15">
        <v>170</v>
      </c>
      <c r="S253" s="15" t="s">
        <v>3839</v>
      </c>
      <c r="T253" s="14"/>
      <c r="U253" s="15" t="s">
        <v>3840</v>
      </c>
      <c r="V253" s="17" t="s">
        <v>3835</v>
      </c>
    </row>
    <row r="254" spans="1:22" x14ac:dyDescent="0.2">
      <c r="A254" s="13"/>
      <c r="B254" s="15"/>
      <c r="C254" s="15"/>
      <c r="D254" s="14"/>
      <c r="E254" s="14"/>
      <c r="F254" s="16"/>
      <c r="H254" s="15"/>
      <c r="I254" s="14"/>
      <c r="J254" s="15"/>
      <c r="K254" s="17"/>
      <c r="L254" s="15"/>
      <c r="M254" s="16"/>
      <c r="N254" s="15"/>
      <c r="O254" s="15"/>
      <c r="P254" s="15"/>
      <c r="Q254" s="15"/>
      <c r="R254" s="15"/>
      <c r="S254" s="15"/>
      <c r="T254" s="14"/>
      <c r="U254" s="15"/>
      <c r="V254" s="17"/>
    </row>
    <row r="255" spans="1:22" x14ac:dyDescent="0.2">
      <c r="A255" s="13"/>
      <c r="B255" s="15"/>
      <c r="C255" s="15"/>
      <c r="D255" s="14"/>
      <c r="E255" s="14"/>
      <c r="F255" s="16"/>
      <c r="G255" s="8" t="s">
        <v>3831</v>
      </c>
      <c r="H255" s="15"/>
      <c r="I255" s="14"/>
      <c r="J255" s="15"/>
      <c r="K255" s="17"/>
      <c r="L255" s="15"/>
      <c r="M255" s="16"/>
      <c r="N255" s="15"/>
      <c r="O255" s="15"/>
      <c r="P255" s="15"/>
      <c r="Q255" s="15"/>
      <c r="R255" s="15"/>
      <c r="S255" s="15"/>
      <c r="T255" s="14"/>
      <c r="U255" s="15"/>
      <c r="V255" s="17"/>
    </row>
    <row r="256" spans="1:22" x14ac:dyDescent="0.2">
      <c r="A256" s="13"/>
      <c r="B256" s="15"/>
      <c r="C256" s="15"/>
      <c r="D256" s="14"/>
      <c r="E256" s="14"/>
      <c r="F256" s="16"/>
      <c r="G256" s="8" t="s">
        <v>3832</v>
      </c>
      <c r="H256" s="15"/>
      <c r="I256" s="14"/>
      <c r="J256" s="15"/>
      <c r="K256" s="17"/>
      <c r="L256" s="15"/>
      <c r="M256" s="16"/>
      <c r="N256" s="15"/>
      <c r="O256" s="15"/>
      <c r="P256" s="15"/>
      <c r="Q256" s="15"/>
      <c r="R256" s="15"/>
      <c r="S256" s="15"/>
      <c r="T256" s="14"/>
      <c r="U256" s="15"/>
      <c r="V256" s="17"/>
    </row>
    <row r="257" spans="1:22" x14ac:dyDescent="0.2">
      <c r="A257" s="13"/>
      <c r="B257" s="15"/>
      <c r="C257" s="15"/>
      <c r="D257" s="14"/>
      <c r="E257" s="14"/>
      <c r="F257" s="16"/>
      <c r="G257" s="8" t="s">
        <v>3833</v>
      </c>
      <c r="H257" s="15"/>
      <c r="I257" s="14"/>
      <c r="J257" s="15"/>
      <c r="K257" s="17"/>
      <c r="L257" s="15"/>
      <c r="M257" s="16"/>
      <c r="N257" s="15"/>
      <c r="O257" s="15"/>
      <c r="P257" s="15"/>
      <c r="Q257" s="15"/>
      <c r="R257" s="15"/>
      <c r="S257" s="15"/>
      <c r="T257" s="14"/>
      <c r="U257" s="15"/>
      <c r="V257" s="17"/>
    </row>
    <row r="258" spans="1:22" x14ac:dyDescent="0.2">
      <c r="A258" s="13"/>
      <c r="B258" s="15"/>
      <c r="C258" s="15"/>
      <c r="D258" s="14"/>
      <c r="E258" s="14"/>
      <c r="F258" s="16"/>
      <c r="G258" s="8" t="s">
        <v>3834</v>
      </c>
      <c r="H258" s="15"/>
      <c r="I258" s="14"/>
      <c r="J258" s="15"/>
      <c r="K258" s="17"/>
      <c r="L258" s="15"/>
      <c r="M258" s="16"/>
      <c r="N258" s="15"/>
      <c r="O258" s="15"/>
      <c r="P258" s="15"/>
      <c r="Q258" s="15"/>
      <c r="R258" s="15"/>
      <c r="S258" s="15"/>
      <c r="T258" s="14"/>
      <c r="U258" s="15"/>
      <c r="V258" s="17"/>
    </row>
    <row r="259" spans="1:22" ht="16" x14ac:dyDescent="0.2">
      <c r="A259" s="7" t="s">
        <v>3841</v>
      </c>
      <c r="B259" s="9"/>
      <c r="C259" s="9"/>
      <c r="D259" s="9"/>
      <c r="E259" s="9"/>
      <c r="F259" s="10">
        <v>44139</v>
      </c>
      <c r="G259" s="9"/>
      <c r="H259" s="8" t="s">
        <v>3140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ht="16" x14ac:dyDescent="0.2">
      <c r="A260" s="7" t="s">
        <v>1032</v>
      </c>
      <c r="B260" s="9"/>
      <c r="C260" s="9"/>
      <c r="D260" s="9"/>
      <c r="E260" s="9"/>
      <c r="F260" s="10">
        <v>44741</v>
      </c>
      <c r="G260" s="9"/>
      <c r="H260" s="8" t="s">
        <v>3140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ht="16" x14ac:dyDescent="0.2">
      <c r="A261" s="7" t="s">
        <v>3842</v>
      </c>
      <c r="B261" s="9"/>
      <c r="C261" s="9"/>
      <c r="D261" s="9"/>
      <c r="E261" s="9"/>
      <c r="F261" s="10">
        <v>44139</v>
      </c>
      <c r="G261" s="9"/>
      <c r="H261" s="8" t="s">
        <v>3140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ht="16" x14ac:dyDescent="0.2">
      <c r="A262" s="7" t="s">
        <v>3843</v>
      </c>
      <c r="B262" s="8" t="s">
        <v>3843</v>
      </c>
      <c r="C262" s="9"/>
      <c r="D262" s="9"/>
      <c r="E262" s="9"/>
      <c r="F262" s="10">
        <v>44141</v>
      </c>
      <c r="G262" s="8" t="s">
        <v>3844</v>
      </c>
      <c r="H262" s="8" t="s">
        <v>3140</v>
      </c>
      <c r="I262" s="9"/>
      <c r="J262" s="9"/>
      <c r="K262" s="11" t="s">
        <v>3845</v>
      </c>
      <c r="L262" s="9"/>
      <c r="M262" s="9"/>
      <c r="N262" s="8" t="s">
        <v>3846</v>
      </c>
      <c r="O262" s="8" t="s">
        <v>3144</v>
      </c>
      <c r="P262" s="8" t="s">
        <v>3175</v>
      </c>
      <c r="Q262" s="8" t="s">
        <v>3847</v>
      </c>
      <c r="R262" s="8">
        <v>1146</v>
      </c>
      <c r="S262" s="8" t="s">
        <v>3848</v>
      </c>
      <c r="T262" s="8" t="s">
        <v>3849</v>
      </c>
      <c r="U262" s="8" t="s">
        <v>3850</v>
      </c>
      <c r="V262" s="11" t="s">
        <v>3845</v>
      </c>
    </row>
    <row r="263" spans="1:22" ht="16" x14ac:dyDescent="0.2">
      <c r="A263" s="7" t="s">
        <v>1582</v>
      </c>
      <c r="B263" s="9"/>
      <c r="C263" s="9"/>
      <c r="D263" s="8" t="s">
        <v>3851</v>
      </c>
      <c r="E263" s="9"/>
      <c r="F263" s="10">
        <v>44973</v>
      </c>
      <c r="G263" s="9"/>
      <c r="H263" s="8" t="s">
        <v>3140</v>
      </c>
      <c r="I263" s="9"/>
      <c r="J263" s="9"/>
      <c r="K263" s="9"/>
      <c r="L263" s="9"/>
      <c r="M263" s="9"/>
      <c r="N263" s="8" t="s">
        <v>3852</v>
      </c>
      <c r="O263" s="8" t="s">
        <v>3144</v>
      </c>
      <c r="P263" s="8" t="s">
        <v>3175</v>
      </c>
      <c r="Q263" s="8" t="s">
        <v>3853</v>
      </c>
      <c r="R263" s="8">
        <v>84</v>
      </c>
      <c r="S263" s="8" t="s">
        <v>3854</v>
      </c>
      <c r="T263" s="9"/>
      <c r="U263" s="8" t="s">
        <v>3855</v>
      </c>
      <c r="V263" s="11" t="s">
        <v>3856</v>
      </c>
    </row>
    <row r="264" spans="1:22" x14ac:dyDescent="0.2">
      <c r="A264" s="13" t="s">
        <v>3857</v>
      </c>
      <c r="B264" s="14"/>
      <c r="C264" s="14"/>
      <c r="D264" s="15" t="s">
        <v>3858</v>
      </c>
      <c r="E264" s="14"/>
      <c r="F264" s="16">
        <v>44207</v>
      </c>
      <c r="G264" s="8" t="s">
        <v>3859</v>
      </c>
      <c r="H264" s="15" t="s">
        <v>3140</v>
      </c>
      <c r="I264" s="14"/>
      <c r="J264" s="14"/>
      <c r="K264" s="17" t="s">
        <v>3580</v>
      </c>
      <c r="L264" s="14"/>
      <c r="M264" s="14"/>
      <c r="N264" s="15" t="s">
        <v>3582</v>
      </c>
      <c r="O264" s="15" t="s">
        <v>3144</v>
      </c>
      <c r="P264" s="15" t="s">
        <v>3175</v>
      </c>
      <c r="Q264" s="15" t="s">
        <v>3865</v>
      </c>
      <c r="R264" s="15">
        <v>2601</v>
      </c>
      <c r="S264" s="15" t="s">
        <v>3866</v>
      </c>
      <c r="T264" s="15" t="s">
        <v>3867</v>
      </c>
      <c r="U264" s="15" t="s">
        <v>3868</v>
      </c>
      <c r="V264" s="17" t="s">
        <v>3869</v>
      </c>
    </row>
    <row r="265" spans="1:22" x14ac:dyDescent="0.2">
      <c r="A265" s="13"/>
      <c r="B265" s="14"/>
      <c r="C265" s="14"/>
      <c r="D265" s="15"/>
      <c r="E265" s="14"/>
      <c r="F265" s="16"/>
      <c r="G265" s="8" t="s">
        <v>3860</v>
      </c>
      <c r="H265" s="15"/>
      <c r="I265" s="14"/>
      <c r="J265" s="14"/>
      <c r="K265" s="17"/>
      <c r="L265" s="14"/>
      <c r="M265" s="14"/>
      <c r="N265" s="15"/>
      <c r="O265" s="15"/>
      <c r="P265" s="15"/>
      <c r="Q265" s="15"/>
      <c r="R265" s="15"/>
      <c r="S265" s="15"/>
      <c r="T265" s="15"/>
      <c r="U265" s="15"/>
      <c r="V265" s="17"/>
    </row>
    <row r="266" spans="1:22" x14ac:dyDescent="0.2">
      <c r="A266" s="13"/>
      <c r="B266" s="14"/>
      <c r="C266" s="14"/>
      <c r="D266" s="15"/>
      <c r="E266" s="14"/>
      <c r="F266" s="16"/>
      <c r="G266" s="8" t="s">
        <v>3861</v>
      </c>
      <c r="H266" s="15"/>
      <c r="I266" s="14"/>
      <c r="J266" s="14"/>
      <c r="K266" s="17"/>
      <c r="L266" s="14"/>
      <c r="M266" s="14"/>
      <c r="N266" s="15"/>
      <c r="O266" s="15"/>
      <c r="P266" s="15"/>
      <c r="Q266" s="15"/>
      <c r="R266" s="15"/>
      <c r="S266" s="15"/>
      <c r="T266" s="15"/>
      <c r="U266" s="15"/>
      <c r="V266" s="17"/>
    </row>
    <row r="267" spans="1:22" x14ac:dyDescent="0.2">
      <c r="A267" s="13"/>
      <c r="B267" s="14"/>
      <c r="C267" s="14"/>
      <c r="D267" s="15"/>
      <c r="E267" s="14"/>
      <c r="F267" s="16"/>
      <c r="G267" s="8" t="s">
        <v>3862</v>
      </c>
      <c r="H267" s="15"/>
      <c r="I267" s="14"/>
      <c r="J267" s="14"/>
      <c r="K267" s="17"/>
      <c r="L267" s="14"/>
      <c r="M267" s="14"/>
      <c r="N267" s="15"/>
      <c r="O267" s="15"/>
      <c r="P267" s="15"/>
      <c r="Q267" s="15"/>
      <c r="R267" s="15"/>
      <c r="S267" s="15"/>
      <c r="T267" s="15"/>
      <c r="U267" s="15"/>
      <c r="V267" s="17"/>
    </row>
    <row r="268" spans="1:22" x14ac:dyDescent="0.2">
      <c r="A268" s="13"/>
      <c r="B268" s="14"/>
      <c r="C268" s="14"/>
      <c r="D268" s="15"/>
      <c r="E268" s="14"/>
      <c r="F268" s="16"/>
      <c r="G268" s="8" t="s">
        <v>3863</v>
      </c>
      <c r="H268" s="15"/>
      <c r="I268" s="14"/>
      <c r="J268" s="14"/>
      <c r="K268" s="17"/>
      <c r="L268" s="14"/>
      <c r="M268" s="14"/>
      <c r="N268" s="15"/>
      <c r="O268" s="15"/>
      <c r="P268" s="15"/>
      <c r="Q268" s="15"/>
      <c r="R268" s="15"/>
      <c r="S268" s="15"/>
      <c r="T268" s="15"/>
      <c r="U268" s="15"/>
      <c r="V268" s="17"/>
    </row>
    <row r="269" spans="1:22" x14ac:dyDescent="0.2">
      <c r="A269" s="13"/>
      <c r="B269" s="14"/>
      <c r="C269" s="14"/>
      <c r="D269" s="15"/>
      <c r="E269" s="14"/>
      <c r="F269" s="16"/>
      <c r="G269" s="8" t="s">
        <v>3864</v>
      </c>
      <c r="H269" s="15"/>
      <c r="I269" s="14"/>
      <c r="J269" s="14"/>
      <c r="K269" s="17"/>
      <c r="L269" s="14"/>
      <c r="M269" s="14"/>
      <c r="N269" s="15"/>
      <c r="O269" s="15"/>
      <c r="P269" s="15"/>
      <c r="Q269" s="15"/>
      <c r="R269" s="15"/>
      <c r="S269" s="15"/>
      <c r="T269" s="15"/>
      <c r="U269" s="15"/>
      <c r="V269" s="17"/>
    </row>
    <row r="270" spans="1:22" ht="16" x14ac:dyDescent="0.2">
      <c r="A270" s="7" t="s">
        <v>1888</v>
      </c>
      <c r="B270" s="8" t="s">
        <v>3870</v>
      </c>
      <c r="C270" s="8" t="s">
        <v>3871</v>
      </c>
      <c r="D270" s="9"/>
      <c r="E270" s="9"/>
      <c r="F270" s="10">
        <v>44263</v>
      </c>
      <c r="G270" s="9"/>
      <c r="H270" s="8" t="s">
        <v>3140</v>
      </c>
      <c r="I270" s="9"/>
      <c r="J270" s="9"/>
      <c r="K270" s="11" t="s">
        <v>3872</v>
      </c>
      <c r="L270" s="8" t="s">
        <v>3873</v>
      </c>
      <c r="M270" s="10">
        <v>39436</v>
      </c>
      <c r="N270" s="8" t="s">
        <v>3492</v>
      </c>
      <c r="O270" s="8" t="s">
        <v>3144</v>
      </c>
      <c r="P270" s="8" t="s">
        <v>3175</v>
      </c>
      <c r="Q270" s="8" t="s">
        <v>3379</v>
      </c>
      <c r="R270" s="8">
        <v>1441</v>
      </c>
      <c r="S270" s="8" t="s">
        <v>3380</v>
      </c>
      <c r="T270" s="9"/>
      <c r="U270" s="8" t="s">
        <v>3874</v>
      </c>
      <c r="V270" s="11" t="s">
        <v>3875</v>
      </c>
    </row>
    <row r="271" spans="1:22" ht="16" x14ac:dyDescent="0.2">
      <c r="A271" s="7" t="s">
        <v>2665</v>
      </c>
      <c r="B271" s="8" t="s">
        <v>3876</v>
      </c>
      <c r="C271" s="8" t="s">
        <v>3877</v>
      </c>
      <c r="D271" s="9"/>
      <c r="E271" s="9"/>
      <c r="F271" s="10">
        <v>45328</v>
      </c>
      <c r="G271" s="9"/>
      <c r="H271" s="8" t="s">
        <v>3140</v>
      </c>
      <c r="I271" s="9"/>
      <c r="J271" s="9"/>
      <c r="K271" s="11" t="s">
        <v>3878</v>
      </c>
      <c r="L271" s="8" t="s">
        <v>3879</v>
      </c>
      <c r="M271" s="10">
        <v>29924</v>
      </c>
      <c r="N271" s="8" t="s">
        <v>3880</v>
      </c>
      <c r="O271" s="8" t="s">
        <v>3144</v>
      </c>
      <c r="P271" s="8" t="s">
        <v>3175</v>
      </c>
      <c r="Q271" s="8" t="s">
        <v>3881</v>
      </c>
      <c r="R271" s="8">
        <v>79</v>
      </c>
      <c r="S271" s="8" t="s">
        <v>3395</v>
      </c>
      <c r="T271" s="9"/>
      <c r="U271" s="9"/>
      <c r="V271" s="9"/>
    </row>
    <row r="272" spans="1:22" ht="16" x14ac:dyDescent="0.2">
      <c r="A272" s="7" t="s">
        <v>1702</v>
      </c>
      <c r="B272" s="8" t="s">
        <v>3882</v>
      </c>
      <c r="C272" s="8" t="s">
        <v>3883</v>
      </c>
      <c r="D272" s="9"/>
      <c r="E272" s="9"/>
      <c r="F272" s="10">
        <v>44979</v>
      </c>
      <c r="G272" s="9"/>
      <c r="H272" s="8" t="s">
        <v>3140</v>
      </c>
      <c r="I272" s="9"/>
      <c r="J272" s="9"/>
      <c r="K272" s="11" t="s">
        <v>3884</v>
      </c>
      <c r="L272" s="8" t="s">
        <v>3885</v>
      </c>
      <c r="M272" s="10">
        <v>40749</v>
      </c>
      <c r="N272" s="8" t="s">
        <v>3886</v>
      </c>
      <c r="O272" s="8" t="s">
        <v>3144</v>
      </c>
      <c r="P272" s="8" t="s">
        <v>3175</v>
      </c>
      <c r="Q272" s="8" t="s">
        <v>3887</v>
      </c>
      <c r="R272" s="8">
        <v>1466</v>
      </c>
      <c r="S272" s="8" t="s">
        <v>3888</v>
      </c>
      <c r="T272" s="9"/>
      <c r="U272" s="8" t="s">
        <v>3889</v>
      </c>
      <c r="V272" s="9"/>
    </row>
    <row r="273" spans="1:22" ht="16" x14ac:dyDescent="0.2">
      <c r="A273" s="7" t="s">
        <v>757</v>
      </c>
      <c r="B273" s="9"/>
      <c r="C273" s="9"/>
      <c r="D273" s="9"/>
      <c r="E273" s="9"/>
      <c r="F273" s="10">
        <v>44613</v>
      </c>
      <c r="G273" s="9"/>
      <c r="H273" s="8" t="s">
        <v>3140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16" x14ac:dyDescent="0.2">
      <c r="A274" s="7" t="s">
        <v>1134</v>
      </c>
      <c r="B274" s="8" t="s">
        <v>3890</v>
      </c>
      <c r="C274" s="8" t="s">
        <v>3891</v>
      </c>
      <c r="D274" s="9"/>
      <c r="E274" s="9"/>
      <c r="F274" s="10">
        <v>44776</v>
      </c>
      <c r="G274" s="8" t="s">
        <v>3892</v>
      </c>
      <c r="H274" s="8" t="s">
        <v>3140</v>
      </c>
      <c r="I274" s="9"/>
      <c r="J274" s="9"/>
      <c r="K274" s="11" t="s">
        <v>3893</v>
      </c>
      <c r="L274" s="8" t="s">
        <v>3894</v>
      </c>
      <c r="M274" s="10">
        <v>40438</v>
      </c>
      <c r="N274" s="8" t="s">
        <v>3492</v>
      </c>
      <c r="O274" s="8" t="s">
        <v>3144</v>
      </c>
      <c r="P274" s="8" t="s">
        <v>3175</v>
      </c>
      <c r="Q274" s="8" t="s">
        <v>3351</v>
      </c>
      <c r="R274" s="8">
        <v>1147</v>
      </c>
      <c r="S274" s="8" t="s">
        <v>3352</v>
      </c>
      <c r="T274" s="9"/>
      <c r="U274" s="8" t="s">
        <v>3895</v>
      </c>
      <c r="V274" s="11" t="s">
        <v>3896</v>
      </c>
    </row>
    <row r="275" spans="1:22" ht="16" x14ac:dyDescent="0.2">
      <c r="A275" s="7" t="s">
        <v>1589</v>
      </c>
      <c r="B275" s="8" t="s">
        <v>3897</v>
      </c>
      <c r="C275" s="8" t="s">
        <v>3898</v>
      </c>
      <c r="D275" s="9"/>
      <c r="E275" s="9"/>
      <c r="F275" s="10">
        <v>44957</v>
      </c>
      <c r="G275" s="9"/>
      <c r="H275" s="8" t="s">
        <v>3140</v>
      </c>
      <c r="I275" s="9"/>
      <c r="J275" s="9"/>
      <c r="K275" s="11" t="s">
        <v>3899</v>
      </c>
      <c r="L275" s="8" t="s">
        <v>3900</v>
      </c>
      <c r="M275" s="10">
        <v>35073</v>
      </c>
      <c r="N275" s="8" t="s">
        <v>3901</v>
      </c>
      <c r="O275" s="8" t="s">
        <v>3144</v>
      </c>
      <c r="P275" s="8" t="s">
        <v>3175</v>
      </c>
      <c r="Q275" s="8" t="s">
        <v>3902</v>
      </c>
      <c r="R275" s="8">
        <v>91</v>
      </c>
      <c r="S275" s="8" t="s">
        <v>3443</v>
      </c>
      <c r="T275" s="9"/>
      <c r="U275" s="8" t="s">
        <v>3903</v>
      </c>
      <c r="V275" s="11" t="s">
        <v>3904</v>
      </c>
    </row>
    <row r="276" spans="1:22" x14ac:dyDescent="0.2">
      <c r="A276" s="13" t="s">
        <v>2372</v>
      </c>
      <c r="B276" s="15" t="s">
        <v>3905</v>
      </c>
      <c r="C276" s="15" t="s">
        <v>3906</v>
      </c>
      <c r="D276" s="14"/>
      <c r="E276" s="14"/>
      <c r="F276" s="16">
        <v>45244</v>
      </c>
      <c r="G276" s="8" t="s">
        <v>3907</v>
      </c>
      <c r="H276" s="15" t="s">
        <v>3140</v>
      </c>
      <c r="I276" s="14"/>
      <c r="J276" s="14"/>
      <c r="K276" s="17" t="s">
        <v>3924</v>
      </c>
      <c r="L276" s="15" t="s">
        <v>3919</v>
      </c>
      <c r="M276" s="16">
        <v>36419</v>
      </c>
      <c r="N276" s="15" t="s">
        <v>3915</v>
      </c>
      <c r="O276" s="15" t="s">
        <v>3144</v>
      </c>
      <c r="P276" s="15" t="s">
        <v>3155</v>
      </c>
      <c r="Q276" s="15" t="s">
        <v>3925</v>
      </c>
      <c r="R276" s="15">
        <v>1439</v>
      </c>
      <c r="S276" s="15" t="s">
        <v>3185</v>
      </c>
      <c r="T276" s="14"/>
      <c r="U276" s="14"/>
      <c r="V276" s="14"/>
    </row>
    <row r="277" spans="1:22" x14ac:dyDescent="0.2">
      <c r="A277" s="13"/>
      <c r="B277" s="15"/>
      <c r="C277" s="15"/>
      <c r="D277" s="14"/>
      <c r="E277" s="14"/>
      <c r="F277" s="16"/>
      <c r="H277" s="15"/>
      <c r="I277" s="14"/>
      <c r="J277" s="14"/>
      <c r="K277" s="17"/>
      <c r="L277" s="15"/>
      <c r="M277" s="16"/>
      <c r="N277" s="15"/>
      <c r="O277" s="15"/>
      <c r="P277" s="15"/>
      <c r="Q277" s="15"/>
      <c r="R277" s="15"/>
      <c r="S277" s="15"/>
      <c r="T277" s="14"/>
      <c r="U277" s="14"/>
      <c r="V277" s="14"/>
    </row>
    <row r="278" spans="1:22" x14ac:dyDescent="0.2">
      <c r="A278" s="13"/>
      <c r="B278" s="15"/>
      <c r="C278" s="15"/>
      <c r="D278" s="14"/>
      <c r="E278" s="14"/>
      <c r="F278" s="16"/>
      <c r="G278" s="8" t="s">
        <v>3908</v>
      </c>
      <c r="H278" s="15"/>
      <c r="I278" s="14"/>
      <c r="J278" s="14"/>
      <c r="K278" s="17"/>
      <c r="L278" s="15"/>
      <c r="M278" s="16"/>
      <c r="N278" s="15"/>
      <c r="O278" s="15"/>
      <c r="P278" s="15"/>
      <c r="Q278" s="15"/>
      <c r="R278" s="15"/>
      <c r="S278" s="15"/>
      <c r="T278" s="14"/>
      <c r="U278" s="14"/>
      <c r="V278" s="14"/>
    </row>
    <row r="279" spans="1:22" x14ac:dyDescent="0.2">
      <c r="A279" s="13"/>
      <c r="B279" s="15"/>
      <c r="C279" s="15"/>
      <c r="D279" s="14"/>
      <c r="E279" s="14"/>
      <c r="F279" s="16"/>
      <c r="H279" s="15"/>
      <c r="I279" s="14"/>
      <c r="J279" s="14"/>
      <c r="K279" s="17"/>
      <c r="L279" s="15"/>
      <c r="M279" s="16"/>
      <c r="N279" s="15"/>
      <c r="O279" s="15"/>
      <c r="P279" s="15"/>
      <c r="Q279" s="15"/>
      <c r="R279" s="15"/>
      <c r="S279" s="15"/>
      <c r="T279" s="14"/>
      <c r="U279" s="14"/>
      <c r="V279" s="14"/>
    </row>
    <row r="280" spans="1:22" x14ac:dyDescent="0.2">
      <c r="A280" s="13"/>
      <c r="B280" s="15"/>
      <c r="C280" s="15"/>
      <c r="D280" s="14"/>
      <c r="E280" s="14"/>
      <c r="F280" s="16"/>
      <c r="G280" s="8" t="s">
        <v>3909</v>
      </c>
      <c r="H280" s="15"/>
      <c r="I280" s="14"/>
      <c r="J280" s="14"/>
      <c r="K280" s="17"/>
      <c r="L280" s="15"/>
      <c r="M280" s="16"/>
      <c r="N280" s="15"/>
      <c r="O280" s="15"/>
      <c r="P280" s="15"/>
      <c r="Q280" s="15"/>
      <c r="R280" s="15"/>
      <c r="S280" s="15"/>
      <c r="T280" s="14"/>
      <c r="U280" s="14"/>
      <c r="V280" s="14"/>
    </row>
    <row r="281" spans="1:22" x14ac:dyDescent="0.2">
      <c r="A281" s="13"/>
      <c r="B281" s="15"/>
      <c r="C281" s="15"/>
      <c r="D281" s="14"/>
      <c r="E281" s="14"/>
      <c r="F281" s="16"/>
      <c r="H281" s="15"/>
      <c r="I281" s="14"/>
      <c r="J281" s="14"/>
      <c r="K281" s="17"/>
      <c r="L281" s="15"/>
      <c r="M281" s="16"/>
      <c r="N281" s="15"/>
      <c r="O281" s="15"/>
      <c r="P281" s="15"/>
      <c r="Q281" s="15"/>
      <c r="R281" s="15"/>
      <c r="S281" s="15"/>
      <c r="T281" s="14"/>
      <c r="U281" s="14"/>
      <c r="V281" s="14"/>
    </row>
    <row r="282" spans="1:22" x14ac:dyDescent="0.2">
      <c r="A282" s="13"/>
      <c r="B282" s="15"/>
      <c r="C282" s="15"/>
      <c r="D282" s="14"/>
      <c r="E282" s="14"/>
      <c r="F282" s="16"/>
      <c r="G282" s="8" t="s">
        <v>3910</v>
      </c>
      <c r="H282" s="15"/>
      <c r="I282" s="14"/>
      <c r="J282" s="14"/>
      <c r="K282" s="17"/>
      <c r="L282" s="15"/>
      <c r="M282" s="16"/>
      <c r="N282" s="15"/>
      <c r="O282" s="15"/>
      <c r="P282" s="15"/>
      <c r="Q282" s="15"/>
      <c r="R282" s="15"/>
      <c r="S282" s="15"/>
      <c r="T282" s="14"/>
      <c r="U282" s="14"/>
      <c r="V282" s="14"/>
    </row>
    <row r="283" spans="1:22" x14ac:dyDescent="0.2">
      <c r="A283" s="13"/>
      <c r="B283" s="15"/>
      <c r="C283" s="15"/>
      <c r="D283" s="14"/>
      <c r="E283" s="14"/>
      <c r="F283" s="16"/>
      <c r="H283" s="15"/>
      <c r="I283" s="14"/>
      <c r="J283" s="14"/>
      <c r="K283" s="17"/>
      <c r="L283" s="15"/>
      <c r="M283" s="16"/>
      <c r="N283" s="15"/>
      <c r="O283" s="15"/>
      <c r="P283" s="15"/>
      <c r="Q283" s="15"/>
      <c r="R283" s="15"/>
      <c r="S283" s="15"/>
      <c r="T283" s="14"/>
      <c r="U283" s="14"/>
      <c r="V283" s="14"/>
    </row>
    <row r="284" spans="1:22" x14ac:dyDescent="0.2">
      <c r="A284" s="13"/>
      <c r="B284" s="15"/>
      <c r="C284" s="15"/>
      <c r="D284" s="14"/>
      <c r="E284" s="14"/>
      <c r="F284" s="16"/>
      <c r="G284" s="8" t="s">
        <v>3911</v>
      </c>
      <c r="H284" s="15"/>
      <c r="I284" s="14"/>
      <c r="J284" s="14"/>
      <c r="K284" s="17"/>
      <c r="L284" s="15"/>
      <c r="M284" s="16"/>
      <c r="N284" s="15"/>
      <c r="O284" s="15"/>
      <c r="P284" s="15"/>
      <c r="Q284" s="15"/>
      <c r="R284" s="15"/>
      <c r="S284" s="15"/>
      <c r="T284" s="14"/>
      <c r="U284" s="14"/>
      <c r="V284" s="14"/>
    </row>
    <row r="285" spans="1:22" x14ac:dyDescent="0.2">
      <c r="A285" s="13"/>
      <c r="B285" s="15"/>
      <c r="C285" s="15"/>
      <c r="D285" s="14"/>
      <c r="E285" s="14"/>
      <c r="F285" s="16"/>
      <c r="H285" s="15"/>
      <c r="I285" s="14"/>
      <c r="J285" s="14"/>
      <c r="K285" s="17"/>
      <c r="L285" s="15"/>
      <c r="M285" s="16"/>
      <c r="N285" s="15"/>
      <c r="O285" s="15"/>
      <c r="P285" s="15"/>
      <c r="Q285" s="15"/>
      <c r="R285" s="15"/>
      <c r="S285" s="15"/>
      <c r="T285" s="14"/>
      <c r="U285" s="14"/>
      <c r="V285" s="14"/>
    </row>
    <row r="286" spans="1:22" x14ac:dyDescent="0.2">
      <c r="A286" s="13"/>
      <c r="B286" s="15"/>
      <c r="C286" s="15"/>
      <c r="D286" s="14"/>
      <c r="E286" s="14"/>
      <c r="F286" s="16"/>
      <c r="G286" s="8" t="s">
        <v>3912</v>
      </c>
      <c r="H286" s="15"/>
      <c r="I286" s="14"/>
      <c r="J286" s="14"/>
      <c r="K286" s="17"/>
      <c r="L286" s="15"/>
      <c r="M286" s="16"/>
      <c r="N286" s="15"/>
      <c r="O286" s="15"/>
      <c r="P286" s="15"/>
      <c r="Q286" s="15"/>
      <c r="R286" s="15"/>
      <c r="S286" s="15"/>
      <c r="T286" s="14"/>
      <c r="U286" s="14"/>
      <c r="V286" s="14"/>
    </row>
    <row r="287" spans="1:22" x14ac:dyDescent="0.2">
      <c r="A287" s="13"/>
      <c r="B287" s="15"/>
      <c r="C287" s="15"/>
      <c r="D287" s="14"/>
      <c r="E287" s="14"/>
      <c r="F287" s="16"/>
      <c r="H287" s="15"/>
      <c r="I287" s="14"/>
      <c r="J287" s="14"/>
      <c r="K287" s="17"/>
      <c r="L287" s="15"/>
      <c r="M287" s="16"/>
      <c r="N287" s="15"/>
      <c r="O287" s="15"/>
      <c r="P287" s="15"/>
      <c r="Q287" s="15"/>
      <c r="R287" s="15"/>
      <c r="S287" s="15"/>
      <c r="T287" s="14"/>
      <c r="U287" s="14"/>
      <c r="V287" s="14"/>
    </row>
    <row r="288" spans="1:22" x14ac:dyDescent="0.2">
      <c r="A288" s="13"/>
      <c r="B288" s="15"/>
      <c r="C288" s="15"/>
      <c r="D288" s="14"/>
      <c r="E288" s="14"/>
      <c r="F288" s="16"/>
      <c r="G288" s="8" t="s">
        <v>3913</v>
      </c>
      <c r="H288" s="15"/>
      <c r="I288" s="14"/>
      <c r="J288" s="14"/>
      <c r="K288" s="17"/>
      <c r="L288" s="15"/>
      <c r="M288" s="16"/>
      <c r="N288" s="15"/>
      <c r="O288" s="15"/>
      <c r="P288" s="15"/>
      <c r="Q288" s="15"/>
      <c r="R288" s="15"/>
      <c r="S288" s="15"/>
      <c r="T288" s="14"/>
      <c r="U288" s="14"/>
      <c r="V288" s="14"/>
    </row>
    <row r="289" spans="1:22" x14ac:dyDescent="0.2">
      <c r="A289" s="13"/>
      <c r="B289" s="15"/>
      <c r="C289" s="15"/>
      <c r="D289" s="14"/>
      <c r="E289" s="14"/>
      <c r="F289" s="16"/>
      <c r="H289" s="15"/>
      <c r="I289" s="14"/>
      <c r="J289" s="14"/>
      <c r="K289" s="17"/>
      <c r="L289" s="15"/>
      <c r="M289" s="16"/>
      <c r="N289" s="15"/>
      <c r="O289" s="15"/>
      <c r="P289" s="15"/>
      <c r="Q289" s="15"/>
      <c r="R289" s="15"/>
      <c r="S289" s="15"/>
      <c r="T289" s="14"/>
      <c r="U289" s="14"/>
      <c r="V289" s="14"/>
    </row>
    <row r="290" spans="1:22" x14ac:dyDescent="0.2">
      <c r="A290" s="13"/>
      <c r="B290" s="15"/>
      <c r="C290" s="15"/>
      <c r="D290" s="14"/>
      <c r="E290" s="14"/>
      <c r="F290" s="16"/>
      <c r="G290" s="8" t="s">
        <v>3914</v>
      </c>
      <c r="H290" s="15"/>
      <c r="I290" s="14"/>
      <c r="J290" s="14"/>
      <c r="K290" s="17"/>
      <c r="L290" s="15"/>
      <c r="M290" s="16"/>
      <c r="N290" s="15"/>
      <c r="O290" s="15"/>
      <c r="P290" s="15"/>
      <c r="Q290" s="15"/>
      <c r="R290" s="15"/>
      <c r="S290" s="15"/>
      <c r="T290" s="14"/>
      <c r="U290" s="14"/>
      <c r="V290" s="14"/>
    </row>
    <row r="291" spans="1:22" x14ac:dyDescent="0.2">
      <c r="A291" s="13"/>
      <c r="B291" s="15"/>
      <c r="C291" s="15"/>
      <c r="D291" s="14"/>
      <c r="E291" s="14"/>
      <c r="F291" s="16"/>
      <c r="H291" s="15"/>
      <c r="I291" s="14"/>
      <c r="J291" s="14"/>
      <c r="K291" s="17"/>
      <c r="L291" s="15"/>
      <c r="M291" s="16"/>
      <c r="N291" s="15"/>
      <c r="O291" s="15"/>
      <c r="P291" s="15"/>
      <c r="Q291" s="15"/>
      <c r="R291" s="15"/>
      <c r="S291" s="15"/>
      <c r="T291" s="14"/>
      <c r="U291" s="14"/>
      <c r="V291" s="14"/>
    </row>
    <row r="292" spans="1:22" x14ac:dyDescent="0.2">
      <c r="A292" s="13"/>
      <c r="B292" s="15"/>
      <c r="C292" s="15"/>
      <c r="D292" s="14"/>
      <c r="E292" s="14"/>
      <c r="F292" s="16"/>
      <c r="G292" s="8" t="s">
        <v>3915</v>
      </c>
      <c r="H292" s="15"/>
      <c r="I292" s="14"/>
      <c r="J292" s="14"/>
      <c r="K292" s="17"/>
      <c r="L292" s="15"/>
      <c r="M292" s="16"/>
      <c r="N292" s="15"/>
      <c r="O292" s="15"/>
      <c r="P292" s="15"/>
      <c r="Q292" s="15"/>
      <c r="R292" s="15"/>
      <c r="S292" s="15"/>
      <c r="T292" s="14"/>
      <c r="U292" s="14"/>
      <c r="V292" s="14"/>
    </row>
    <row r="293" spans="1:22" x14ac:dyDescent="0.2">
      <c r="A293" s="13"/>
      <c r="B293" s="15"/>
      <c r="C293" s="15"/>
      <c r="D293" s="14"/>
      <c r="E293" s="14"/>
      <c r="F293" s="16"/>
      <c r="H293" s="15"/>
      <c r="I293" s="14"/>
      <c r="J293" s="14"/>
      <c r="K293" s="17"/>
      <c r="L293" s="15"/>
      <c r="M293" s="16"/>
      <c r="N293" s="15"/>
      <c r="O293" s="15"/>
      <c r="P293" s="15"/>
      <c r="Q293" s="15"/>
      <c r="R293" s="15"/>
      <c r="S293" s="15"/>
      <c r="T293" s="14"/>
      <c r="U293" s="14"/>
      <c r="V293" s="14"/>
    </row>
    <row r="294" spans="1:22" x14ac:dyDescent="0.2">
      <c r="A294" s="13"/>
      <c r="B294" s="15"/>
      <c r="C294" s="15"/>
      <c r="D294" s="14"/>
      <c r="E294" s="14"/>
      <c r="F294" s="16"/>
      <c r="G294" s="8" t="s">
        <v>3916</v>
      </c>
      <c r="H294" s="15"/>
      <c r="I294" s="14"/>
      <c r="J294" s="14"/>
      <c r="K294" s="17"/>
      <c r="L294" s="15"/>
      <c r="M294" s="16"/>
      <c r="N294" s="15"/>
      <c r="O294" s="15"/>
      <c r="P294" s="15"/>
      <c r="Q294" s="15"/>
      <c r="R294" s="15"/>
      <c r="S294" s="15"/>
      <c r="T294" s="14"/>
      <c r="U294" s="14"/>
      <c r="V294" s="14"/>
    </row>
    <row r="295" spans="1:22" x14ac:dyDescent="0.2">
      <c r="A295" s="13"/>
      <c r="B295" s="15"/>
      <c r="C295" s="15"/>
      <c r="D295" s="14"/>
      <c r="E295" s="14"/>
      <c r="F295" s="16"/>
      <c r="H295" s="15"/>
      <c r="I295" s="14"/>
      <c r="J295" s="14"/>
      <c r="K295" s="17"/>
      <c r="L295" s="15"/>
      <c r="M295" s="16"/>
      <c r="N295" s="15"/>
      <c r="O295" s="15"/>
      <c r="P295" s="15"/>
      <c r="Q295" s="15"/>
      <c r="R295" s="15"/>
      <c r="S295" s="15"/>
      <c r="T295" s="14"/>
      <c r="U295" s="14"/>
      <c r="V295" s="14"/>
    </row>
    <row r="296" spans="1:22" x14ac:dyDescent="0.2">
      <c r="A296" s="13"/>
      <c r="B296" s="15"/>
      <c r="C296" s="15"/>
      <c r="D296" s="14"/>
      <c r="E296" s="14"/>
      <c r="F296" s="16"/>
      <c r="G296" s="8" t="s">
        <v>3917</v>
      </c>
      <c r="H296" s="15"/>
      <c r="I296" s="14"/>
      <c r="J296" s="14"/>
      <c r="K296" s="17"/>
      <c r="L296" s="15"/>
      <c r="M296" s="16"/>
      <c r="N296" s="15"/>
      <c r="O296" s="15"/>
      <c r="P296" s="15"/>
      <c r="Q296" s="15"/>
      <c r="R296" s="15"/>
      <c r="S296" s="15"/>
      <c r="T296" s="14"/>
      <c r="U296" s="14"/>
      <c r="V296" s="14"/>
    </row>
    <row r="297" spans="1:22" x14ac:dyDescent="0.2">
      <c r="A297" s="13"/>
      <c r="B297" s="15"/>
      <c r="C297" s="15"/>
      <c r="D297" s="14"/>
      <c r="E297" s="14"/>
      <c r="F297" s="16"/>
      <c r="H297" s="15"/>
      <c r="I297" s="14"/>
      <c r="J297" s="14"/>
      <c r="K297" s="17"/>
      <c r="L297" s="15"/>
      <c r="M297" s="16"/>
      <c r="N297" s="15"/>
      <c r="O297" s="15"/>
      <c r="P297" s="15"/>
      <c r="Q297" s="15"/>
      <c r="R297" s="15"/>
      <c r="S297" s="15"/>
      <c r="T297" s="14"/>
      <c r="U297" s="14"/>
      <c r="V297" s="14"/>
    </row>
    <row r="298" spans="1:22" x14ac:dyDescent="0.2">
      <c r="A298" s="13"/>
      <c r="B298" s="15"/>
      <c r="C298" s="15"/>
      <c r="D298" s="14"/>
      <c r="E298" s="14"/>
      <c r="F298" s="16"/>
      <c r="G298" s="8" t="s">
        <v>3918</v>
      </c>
      <c r="H298" s="15"/>
      <c r="I298" s="14"/>
      <c r="J298" s="14"/>
      <c r="K298" s="17"/>
      <c r="L298" s="15"/>
      <c r="M298" s="16"/>
      <c r="N298" s="15"/>
      <c r="O298" s="15"/>
      <c r="P298" s="15"/>
      <c r="Q298" s="15"/>
      <c r="R298" s="15"/>
      <c r="S298" s="15"/>
      <c r="T298" s="14"/>
      <c r="U298" s="14"/>
      <c r="V298" s="14"/>
    </row>
    <row r="299" spans="1:22" x14ac:dyDescent="0.2">
      <c r="A299" s="13"/>
      <c r="B299" s="15"/>
      <c r="C299" s="15"/>
      <c r="D299" s="14"/>
      <c r="E299" s="14"/>
      <c r="F299" s="16"/>
      <c r="H299" s="15"/>
      <c r="I299" s="14"/>
      <c r="J299" s="14"/>
      <c r="K299" s="17"/>
      <c r="L299" s="15"/>
      <c r="M299" s="16"/>
      <c r="N299" s="15"/>
      <c r="O299" s="15"/>
      <c r="P299" s="15"/>
      <c r="Q299" s="15"/>
      <c r="R299" s="15"/>
      <c r="S299" s="15"/>
      <c r="T299" s="14"/>
      <c r="U299" s="14"/>
      <c r="V299" s="14"/>
    </row>
    <row r="300" spans="1:22" x14ac:dyDescent="0.2">
      <c r="A300" s="13"/>
      <c r="B300" s="15"/>
      <c r="C300" s="15"/>
      <c r="D300" s="14"/>
      <c r="E300" s="14"/>
      <c r="F300" s="16"/>
      <c r="G300" s="8" t="s">
        <v>3919</v>
      </c>
      <c r="H300" s="15"/>
      <c r="I300" s="14"/>
      <c r="J300" s="14"/>
      <c r="K300" s="17"/>
      <c r="L300" s="15"/>
      <c r="M300" s="16"/>
      <c r="N300" s="15"/>
      <c r="O300" s="15"/>
      <c r="P300" s="15"/>
      <c r="Q300" s="15"/>
      <c r="R300" s="15"/>
      <c r="S300" s="15"/>
      <c r="T300" s="14"/>
      <c r="U300" s="14"/>
      <c r="V300" s="14"/>
    </row>
    <row r="301" spans="1:22" x14ac:dyDescent="0.2">
      <c r="A301" s="13"/>
      <c r="B301" s="15"/>
      <c r="C301" s="15"/>
      <c r="D301" s="14"/>
      <c r="E301" s="14"/>
      <c r="F301" s="16"/>
      <c r="H301" s="15"/>
      <c r="I301" s="14"/>
      <c r="J301" s="14"/>
      <c r="K301" s="17"/>
      <c r="L301" s="15"/>
      <c r="M301" s="16"/>
      <c r="N301" s="15"/>
      <c r="O301" s="15"/>
      <c r="P301" s="15"/>
      <c r="Q301" s="15"/>
      <c r="R301" s="15"/>
      <c r="S301" s="15"/>
      <c r="T301" s="14"/>
      <c r="U301" s="14"/>
      <c r="V301" s="14"/>
    </row>
    <row r="302" spans="1:22" x14ac:dyDescent="0.2">
      <c r="A302" s="13"/>
      <c r="B302" s="15"/>
      <c r="C302" s="15"/>
      <c r="D302" s="14"/>
      <c r="E302" s="14"/>
      <c r="F302" s="16"/>
      <c r="G302" s="8" t="s">
        <v>3920</v>
      </c>
      <c r="H302" s="15"/>
      <c r="I302" s="14"/>
      <c r="J302" s="14"/>
      <c r="K302" s="17"/>
      <c r="L302" s="15"/>
      <c r="M302" s="16"/>
      <c r="N302" s="15"/>
      <c r="O302" s="15"/>
      <c r="P302" s="15"/>
      <c r="Q302" s="15"/>
      <c r="R302" s="15"/>
      <c r="S302" s="15"/>
      <c r="T302" s="14"/>
      <c r="U302" s="14"/>
      <c r="V302" s="14"/>
    </row>
    <row r="303" spans="1:22" x14ac:dyDescent="0.2">
      <c r="A303" s="13"/>
      <c r="B303" s="15"/>
      <c r="C303" s="15"/>
      <c r="D303" s="14"/>
      <c r="E303" s="14"/>
      <c r="F303" s="16"/>
      <c r="H303" s="15"/>
      <c r="I303" s="14"/>
      <c r="J303" s="14"/>
      <c r="K303" s="17"/>
      <c r="L303" s="15"/>
      <c r="M303" s="16"/>
      <c r="N303" s="15"/>
      <c r="O303" s="15"/>
      <c r="P303" s="15"/>
      <c r="Q303" s="15"/>
      <c r="R303" s="15"/>
      <c r="S303" s="15"/>
      <c r="T303" s="14"/>
      <c r="U303" s="14"/>
      <c r="V303" s="14"/>
    </row>
    <row r="304" spans="1:22" x14ac:dyDescent="0.2">
      <c r="A304" s="13"/>
      <c r="B304" s="15"/>
      <c r="C304" s="15"/>
      <c r="D304" s="14"/>
      <c r="E304" s="14"/>
      <c r="F304" s="16"/>
      <c r="G304" s="11" t="s">
        <v>3921</v>
      </c>
      <c r="H304" s="15"/>
      <c r="I304" s="14"/>
      <c r="J304" s="14"/>
      <c r="K304" s="17"/>
      <c r="L304" s="15"/>
      <c r="M304" s="16"/>
      <c r="N304" s="15"/>
      <c r="O304" s="15"/>
      <c r="P304" s="15"/>
      <c r="Q304" s="15"/>
      <c r="R304" s="15"/>
      <c r="S304" s="15"/>
      <c r="T304" s="14"/>
      <c r="U304" s="14"/>
      <c r="V304" s="14"/>
    </row>
    <row r="305" spans="1:22" x14ac:dyDescent="0.2">
      <c r="A305" s="13"/>
      <c r="B305" s="15"/>
      <c r="C305" s="15"/>
      <c r="D305" s="14"/>
      <c r="E305" s="14"/>
      <c r="F305" s="16"/>
      <c r="H305" s="15"/>
      <c r="I305" s="14"/>
      <c r="J305" s="14"/>
      <c r="K305" s="17"/>
      <c r="L305" s="15"/>
      <c r="M305" s="16"/>
      <c r="N305" s="15"/>
      <c r="O305" s="15"/>
      <c r="P305" s="15"/>
      <c r="Q305" s="15"/>
      <c r="R305" s="15"/>
      <c r="S305" s="15"/>
      <c r="T305" s="14"/>
      <c r="U305" s="14"/>
      <c r="V305" s="14"/>
    </row>
    <row r="306" spans="1:22" x14ac:dyDescent="0.2">
      <c r="A306" s="13"/>
      <c r="B306" s="15"/>
      <c r="C306" s="15"/>
      <c r="D306" s="14"/>
      <c r="E306" s="14"/>
      <c r="F306" s="16"/>
      <c r="G306" s="8" t="s">
        <v>3922</v>
      </c>
      <c r="H306" s="15"/>
      <c r="I306" s="14"/>
      <c r="J306" s="14"/>
      <c r="K306" s="17"/>
      <c r="L306" s="15"/>
      <c r="M306" s="16"/>
      <c r="N306" s="15"/>
      <c r="O306" s="15"/>
      <c r="P306" s="15"/>
      <c r="Q306" s="15"/>
      <c r="R306" s="15"/>
      <c r="S306" s="15"/>
      <c r="T306" s="14"/>
      <c r="U306" s="14"/>
      <c r="V306" s="14"/>
    </row>
    <row r="307" spans="1:22" x14ac:dyDescent="0.2">
      <c r="A307" s="13"/>
      <c r="B307" s="15"/>
      <c r="C307" s="15"/>
      <c r="D307" s="14"/>
      <c r="E307" s="14"/>
      <c r="F307" s="16"/>
      <c r="H307" s="15"/>
      <c r="I307" s="14"/>
      <c r="J307" s="14"/>
      <c r="K307" s="17"/>
      <c r="L307" s="15"/>
      <c r="M307" s="16"/>
      <c r="N307" s="15"/>
      <c r="O307" s="15"/>
      <c r="P307" s="15"/>
      <c r="Q307" s="15"/>
      <c r="R307" s="15"/>
      <c r="S307" s="15"/>
      <c r="T307" s="14"/>
      <c r="U307" s="14"/>
      <c r="V307" s="14"/>
    </row>
    <row r="308" spans="1:22" x14ac:dyDescent="0.2">
      <c r="A308" s="13"/>
      <c r="B308" s="15"/>
      <c r="C308" s="15"/>
      <c r="D308" s="14"/>
      <c r="E308" s="14"/>
      <c r="F308" s="16"/>
      <c r="G308" s="8" t="s">
        <v>3906</v>
      </c>
      <c r="H308" s="15"/>
      <c r="I308" s="14"/>
      <c r="J308" s="14"/>
      <c r="K308" s="17"/>
      <c r="L308" s="15"/>
      <c r="M308" s="16"/>
      <c r="N308" s="15"/>
      <c r="O308" s="15"/>
      <c r="P308" s="15"/>
      <c r="Q308" s="15"/>
      <c r="R308" s="15"/>
      <c r="S308" s="15"/>
      <c r="T308" s="14"/>
      <c r="U308" s="14"/>
      <c r="V308" s="14"/>
    </row>
    <row r="309" spans="1:22" x14ac:dyDescent="0.2">
      <c r="A309" s="13"/>
      <c r="B309" s="15"/>
      <c r="C309" s="15"/>
      <c r="D309" s="14"/>
      <c r="E309" s="14"/>
      <c r="F309" s="16"/>
      <c r="H309" s="15"/>
      <c r="I309" s="14"/>
      <c r="J309" s="14"/>
      <c r="K309" s="17"/>
      <c r="L309" s="15"/>
      <c r="M309" s="16"/>
      <c r="N309" s="15"/>
      <c r="O309" s="15"/>
      <c r="P309" s="15"/>
      <c r="Q309" s="15"/>
      <c r="R309" s="15"/>
      <c r="S309" s="15"/>
      <c r="T309" s="14"/>
      <c r="U309" s="14"/>
      <c r="V309" s="14"/>
    </row>
    <row r="310" spans="1:22" x14ac:dyDescent="0.2">
      <c r="A310" s="13"/>
      <c r="B310" s="15"/>
      <c r="C310" s="15"/>
      <c r="D310" s="14"/>
      <c r="E310" s="14"/>
      <c r="F310" s="16"/>
      <c r="G310" s="8" t="s">
        <v>3923</v>
      </c>
      <c r="H310" s="15"/>
      <c r="I310" s="14"/>
      <c r="J310" s="14"/>
      <c r="K310" s="17"/>
      <c r="L310" s="15"/>
      <c r="M310" s="16"/>
      <c r="N310" s="15"/>
      <c r="O310" s="15"/>
      <c r="P310" s="15"/>
      <c r="Q310" s="15"/>
      <c r="R310" s="15"/>
      <c r="S310" s="15"/>
      <c r="T310" s="14"/>
      <c r="U310" s="14"/>
      <c r="V310" s="14"/>
    </row>
    <row r="311" spans="1:22" x14ac:dyDescent="0.2">
      <c r="A311" s="13"/>
      <c r="B311" s="15"/>
      <c r="C311" s="15"/>
      <c r="D311" s="14"/>
      <c r="E311" s="14"/>
      <c r="F311" s="16"/>
      <c r="H311" s="15"/>
      <c r="I311" s="14"/>
      <c r="J311" s="14"/>
      <c r="K311" s="17"/>
      <c r="L311" s="15"/>
      <c r="M311" s="16"/>
      <c r="N311" s="15"/>
      <c r="O311" s="15"/>
      <c r="P311" s="15"/>
      <c r="Q311" s="15"/>
      <c r="R311" s="15"/>
      <c r="S311" s="15"/>
      <c r="T311" s="14"/>
      <c r="U311" s="14"/>
      <c r="V311" s="14"/>
    </row>
    <row r="312" spans="1:22" x14ac:dyDescent="0.2">
      <c r="A312" s="13"/>
      <c r="B312" s="15"/>
      <c r="C312" s="15"/>
      <c r="D312" s="14"/>
      <c r="E312" s="14"/>
      <c r="F312" s="16"/>
      <c r="G312" s="12">
        <v>626685655112</v>
      </c>
      <c r="H312" s="15"/>
      <c r="I312" s="14"/>
      <c r="J312" s="14"/>
      <c r="K312" s="17"/>
      <c r="L312" s="15"/>
      <c r="M312" s="16"/>
      <c r="N312" s="15"/>
      <c r="O312" s="15"/>
      <c r="P312" s="15"/>
      <c r="Q312" s="15"/>
      <c r="R312" s="15"/>
      <c r="S312" s="15"/>
      <c r="T312" s="14"/>
      <c r="U312" s="14"/>
      <c r="V312" s="14"/>
    </row>
    <row r="313" spans="1:22" ht="16" x14ac:dyDescent="0.2">
      <c r="A313" s="7" t="s">
        <v>258</v>
      </c>
      <c r="B313" s="9"/>
      <c r="C313" s="9"/>
      <c r="D313" s="9"/>
      <c r="E313" s="9"/>
      <c r="F313" s="10">
        <v>44371</v>
      </c>
      <c r="G313" s="9"/>
      <c r="H313" s="8" t="s">
        <v>3140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ht="16" x14ac:dyDescent="0.2">
      <c r="A314" s="7" t="s">
        <v>3926</v>
      </c>
      <c r="B314" s="9"/>
      <c r="C314" s="9"/>
      <c r="D314" s="9"/>
      <c r="E314" s="9"/>
      <c r="F314" s="10">
        <v>44217</v>
      </c>
      <c r="G314" s="8" t="s">
        <v>3927</v>
      </c>
      <c r="H314" s="8" t="s">
        <v>3140</v>
      </c>
      <c r="I314" s="9"/>
      <c r="J314" s="9"/>
      <c r="K314" s="11" t="s">
        <v>3928</v>
      </c>
      <c r="L314" s="8" t="s">
        <v>3929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ht="16" x14ac:dyDescent="0.2">
      <c r="A315" s="7" t="s">
        <v>462</v>
      </c>
      <c r="B315" s="9"/>
      <c r="C315" s="9"/>
      <c r="D315" s="8" t="s">
        <v>3930</v>
      </c>
      <c r="E315" s="9"/>
      <c r="F315" s="10">
        <v>44460</v>
      </c>
      <c r="G315" s="9"/>
      <c r="H315" s="8" t="s">
        <v>3140</v>
      </c>
      <c r="I315" s="9"/>
      <c r="J315" s="9"/>
      <c r="K315" s="11" t="s">
        <v>3928</v>
      </c>
      <c r="L315" s="8" t="s">
        <v>3929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ht="16" x14ac:dyDescent="0.2">
      <c r="A316" s="7" t="s">
        <v>3931</v>
      </c>
      <c r="B316" s="9"/>
      <c r="C316" s="9"/>
      <c r="D316" s="9"/>
      <c r="E316" s="9"/>
      <c r="F316" s="10">
        <v>44217</v>
      </c>
      <c r="G316" s="9"/>
      <c r="H316" s="8" t="s">
        <v>3140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ht="16" x14ac:dyDescent="0.2">
      <c r="A317" s="7" t="s">
        <v>1936</v>
      </c>
      <c r="B317" s="9"/>
      <c r="C317" s="9"/>
      <c r="D317" s="9"/>
      <c r="E317" s="9"/>
      <c r="F317" s="10">
        <v>45091</v>
      </c>
      <c r="G317" s="9"/>
      <c r="H317" s="8" t="s">
        <v>3140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ht="16" x14ac:dyDescent="0.2">
      <c r="A318" s="7" t="s">
        <v>2157</v>
      </c>
      <c r="B318" s="8" t="s">
        <v>3932</v>
      </c>
      <c r="C318" s="8" t="s">
        <v>3933</v>
      </c>
      <c r="D318" s="9"/>
      <c r="E318" s="9"/>
      <c r="F318" s="10">
        <v>45180</v>
      </c>
      <c r="G318" s="9"/>
      <c r="H318" s="8" t="s">
        <v>3140</v>
      </c>
      <c r="I318" s="9"/>
      <c r="J318" s="9"/>
      <c r="K318" s="11" t="s">
        <v>3934</v>
      </c>
      <c r="L318" s="8" t="s">
        <v>3935</v>
      </c>
      <c r="M318" s="10">
        <v>41044</v>
      </c>
      <c r="N318" s="8" t="s">
        <v>3350</v>
      </c>
      <c r="O318" s="8" t="s">
        <v>3144</v>
      </c>
      <c r="P318" s="8" t="s">
        <v>3175</v>
      </c>
      <c r="Q318" s="8" t="s">
        <v>3351</v>
      </c>
      <c r="R318" s="8">
        <v>1606</v>
      </c>
      <c r="S318" s="8" t="s">
        <v>3352</v>
      </c>
      <c r="T318" s="9"/>
      <c r="U318" s="9"/>
      <c r="V318" s="9"/>
    </row>
    <row r="319" spans="1:22" ht="16" x14ac:dyDescent="0.2">
      <c r="A319" s="7" t="s">
        <v>3936</v>
      </c>
      <c r="B319" s="9"/>
      <c r="C319" s="9"/>
      <c r="D319" s="9"/>
      <c r="E319" s="9"/>
      <c r="F319" s="10">
        <v>44440</v>
      </c>
      <c r="G319" s="9"/>
      <c r="H319" s="8" t="s">
        <v>3140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6" x14ac:dyDescent="0.2">
      <c r="A320" s="7" t="s">
        <v>2555</v>
      </c>
      <c r="B320" s="8" t="s">
        <v>3937</v>
      </c>
      <c r="C320" s="8" t="s">
        <v>3938</v>
      </c>
      <c r="D320" s="9"/>
      <c r="E320" s="9"/>
      <c r="F320" s="10">
        <v>45168</v>
      </c>
      <c r="G320" s="9"/>
      <c r="H320" s="8" t="s">
        <v>3140</v>
      </c>
      <c r="I320" s="9"/>
      <c r="J320" s="9"/>
      <c r="K320" s="11" t="s">
        <v>3939</v>
      </c>
      <c r="L320" s="8" t="s">
        <v>3940</v>
      </c>
      <c r="M320" s="10">
        <v>39612</v>
      </c>
      <c r="N320" s="8" t="s">
        <v>3941</v>
      </c>
      <c r="O320" s="8" t="s">
        <v>3144</v>
      </c>
      <c r="P320" s="8" t="s">
        <v>3942</v>
      </c>
      <c r="Q320" s="8" t="s">
        <v>3943</v>
      </c>
      <c r="R320" s="8" t="s">
        <v>3944</v>
      </c>
      <c r="S320" s="8" t="s">
        <v>3945</v>
      </c>
      <c r="T320" s="8" t="s">
        <v>3946</v>
      </c>
      <c r="U320" s="9"/>
      <c r="V320" s="9"/>
    </row>
    <row r="321" spans="1:22" x14ac:dyDescent="0.2">
      <c r="A321" s="13" t="s">
        <v>3947</v>
      </c>
      <c r="B321" s="14"/>
      <c r="C321" s="14"/>
      <c r="D321" s="15" t="s">
        <v>3948</v>
      </c>
      <c r="E321" s="14"/>
      <c r="F321" s="16">
        <v>44214</v>
      </c>
      <c r="G321" s="8" t="s">
        <v>3949</v>
      </c>
      <c r="H321" s="15" t="s">
        <v>3140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</row>
    <row r="322" spans="1:22" x14ac:dyDescent="0.2">
      <c r="A322" s="13"/>
      <c r="B322" s="14"/>
      <c r="C322" s="14"/>
      <c r="D322" s="15"/>
      <c r="E322" s="14"/>
      <c r="F322" s="16"/>
      <c r="H322" s="15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</row>
    <row r="323" spans="1:22" x14ac:dyDescent="0.2">
      <c r="A323" s="13"/>
      <c r="B323" s="14"/>
      <c r="C323" s="14"/>
      <c r="D323" s="15"/>
      <c r="E323" s="14"/>
      <c r="F323" s="16"/>
      <c r="G323" s="8" t="s">
        <v>3950</v>
      </c>
      <c r="H323" s="15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</row>
    <row r="324" spans="1:22" x14ac:dyDescent="0.2">
      <c r="A324" s="13"/>
      <c r="B324" s="14"/>
      <c r="C324" s="14"/>
      <c r="D324" s="15"/>
      <c r="E324" s="14"/>
      <c r="F324" s="16"/>
      <c r="G324" s="8" t="s">
        <v>3951</v>
      </c>
      <c r="H324" s="15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</row>
    <row r="325" spans="1:22" ht="16" x14ac:dyDescent="0.2">
      <c r="A325" s="7" t="s">
        <v>409</v>
      </c>
      <c r="B325" s="9"/>
      <c r="C325" s="9"/>
      <c r="D325" s="9"/>
      <c r="E325" s="9"/>
      <c r="F325" s="10">
        <v>44449</v>
      </c>
      <c r="G325" s="9"/>
      <c r="H325" s="8" t="s">
        <v>3140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ht="16" x14ac:dyDescent="0.2">
      <c r="A326" s="7" t="s">
        <v>2376</v>
      </c>
      <c r="B326" s="9"/>
      <c r="C326" s="9"/>
      <c r="D326" s="8" t="s">
        <v>3952</v>
      </c>
      <c r="E326" s="9"/>
      <c r="F326" s="10">
        <v>44732</v>
      </c>
      <c r="G326" s="9"/>
      <c r="H326" s="8" t="s">
        <v>3140</v>
      </c>
      <c r="I326" s="9"/>
      <c r="J326" s="9"/>
      <c r="K326" s="11" t="s">
        <v>3953</v>
      </c>
      <c r="L326" s="8" t="s">
        <v>3954</v>
      </c>
      <c r="M326" s="9"/>
      <c r="N326" s="8" t="s">
        <v>3955</v>
      </c>
      <c r="O326" s="8" t="s">
        <v>3144</v>
      </c>
      <c r="P326" s="8" t="s">
        <v>3175</v>
      </c>
      <c r="Q326" s="8" t="s">
        <v>3956</v>
      </c>
      <c r="R326" s="8">
        <v>64</v>
      </c>
      <c r="S326" s="8" t="s">
        <v>3957</v>
      </c>
      <c r="T326" s="9"/>
      <c r="U326" s="9"/>
      <c r="V326" s="9"/>
    </row>
    <row r="327" spans="1:22" ht="16" x14ac:dyDescent="0.2">
      <c r="A327" s="7" t="s">
        <v>891</v>
      </c>
      <c r="B327" s="9"/>
      <c r="C327" s="9"/>
      <c r="D327" s="9"/>
      <c r="E327" s="9"/>
      <c r="F327" s="10">
        <v>44676</v>
      </c>
      <c r="G327" s="9"/>
      <c r="H327" s="8" t="s">
        <v>3140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ht="16" x14ac:dyDescent="0.2">
      <c r="A328" s="7" t="s">
        <v>418</v>
      </c>
      <c r="B328" s="9"/>
      <c r="C328" s="9"/>
      <c r="D328" s="9"/>
      <c r="E328" s="9"/>
      <c r="F328" s="10">
        <v>44462</v>
      </c>
      <c r="G328" s="9"/>
      <c r="H328" s="8" t="s">
        <v>3140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8" t="s">
        <v>3958</v>
      </c>
      <c r="V328" s="11" t="s">
        <v>3580</v>
      </c>
    </row>
    <row r="329" spans="1:22" ht="16" x14ac:dyDescent="0.2">
      <c r="A329" s="7" t="s">
        <v>856</v>
      </c>
      <c r="B329" s="9"/>
      <c r="C329" s="9"/>
      <c r="D329" s="9"/>
      <c r="E329" s="9"/>
      <c r="F329" s="10">
        <v>44690</v>
      </c>
      <c r="G329" s="9"/>
      <c r="H329" s="8" t="s">
        <v>3140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ht="16" x14ac:dyDescent="0.2">
      <c r="A330" s="7" t="s">
        <v>3959</v>
      </c>
      <c r="B330" s="9"/>
      <c r="C330" s="9"/>
      <c r="D330" s="9"/>
      <c r="E330" s="9"/>
      <c r="F330" s="10">
        <v>44613</v>
      </c>
      <c r="G330" s="9"/>
      <c r="H330" s="8" t="s">
        <v>3140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ht="16" x14ac:dyDescent="0.2">
      <c r="A331" s="7" t="s">
        <v>3960</v>
      </c>
      <c r="B331" s="9"/>
      <c r="C331" s="9"/>
      <c r="D331" s="9"/>
      <c r="E331" s="9"/>
      <c r="F331" s="10">
        <v>44613</v>
      </c>
      <c r="G331" s="9"/>
      <c r="H331" s="8" t="s">
        <v>3140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ht="16" x14ac:dyDescent="0.2">
      <c r="A332" s="7" t="s">
        <v>817</v>
      </c>
      <c r="B332" s="9"/>
      <c r="C332" s="9"/>
      <c r="D332" s="9"/>
      <c r="E332" s="9"/>
      <c r="F332" s="10">
        <v>44615</v>
      </c>
      <c r="G332" s="9"/>
      <c r="H332" s="8" t="s">
        <v>3140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16" x14ac:dyDescent="0.2">
      <c r="A333" s="7" t="s">
        <v>578</v>
      </c>
      <c r="B333" s="9"/>
      <c r="C333" s="9"/>
      <c r="D333" s="9"/>
      <c r="E333" s="9"/>
      <c r="F333" s="10">
        <v>44498</v>
      </c>
      <c r="G333" s="9"/>
      <c r="H333" s="8" t="s">
        <v>3140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16" x14ac:dyDescent="0.2">
      <c r="A334" s="7" t="s">
        <v>232</v>
      </c>
      <c r="B334" s="9"/>
      <c r="C334" s="9"/>
      <c r="D334" s="9"/>
      <c r="E334" s="9"/>
      <c r="F334" s="10">
        <v>44377</v>
      </c>
      <c r="G334" s="9"/>
      <c r="H334" s="8" t="s">
        <v>3140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16" x14ac:dyDescent="0.2">
      <c r="A335" s="7" t="s">
        <v>3961</v>
      </c>
      <c r="B335" s="9"/>
      <c r="C335" s="9"/>
      <c r="D335" s="9"/>
      <c r="E335" s="9"/>
      <c r="F335" s="10">
        <v>44477</v>
      </c>
      <c r="G335" s="9"/>
      <c r="H335" s="8" t="s">
        <v>3140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16" x14ac:dyDescent="0.2">
      <c r="A336" s="7" t="s">
        <v>512</v>
      </c>
      <c r="B336" s="9"/>
      <c r="C336" s="9"/>
      <c r="D336" s="9"/>
      <c r="E336" s="9"/>
      <c r="F336" s="10">
        <v>44477</v>
      </c>
      <c r="G336" s="9"/>
      <c r="H336" s="8" t="s">
        <v>3140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16" x14ac:dyDescent="0.2">
      <c r="A337" s="7" t="s">
        <v>2427</v>
      </c>
      <c r="B337" s="9"/>
      <c r="C337" s="9"/>
      <c r="D337" s="8" t="s">
        <v>3962</v>
      </c>
      <c r="E337" s="9"/>
      <c r="F337" s="10">
        <v>45223</v>
      </c>
      <c r="G337" s="9"/>
      <c r="H337" s="8" t="s">
        <v>3140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16" x14ac:dyDescent="0.2">
      <c r="A338" s="7" t="s">
        <v>3963</v>
      </c>
      <c r="B338" s="9"/>
      <c r="C338" s="9"/>
      <c r="D338" s="9"/>
      <c r="E338" s="9"/>
      <c r="F338" s="10">
        <v>44214</v>
      </c>
      <c r="G338" s="9"/>
      <c r="H338" s="8" t="s">
        <v>3140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16" x14ac:dyDescent="0.2">
      <c r="A339" s="7" t="s">
        <v>2153</v>
      </c>
      <c r="B339" s="8" t="s">
        <v>3964</v>
      </c>
      <c r="C339" s="8" t="s">
        <v>3965</v>
      </c>
      <c r="D339" s="9"/>
      <c r="E339" s="9"/>
      <c r="F339" s="10">
        <v>45166</v>
      </c>
      <c r="G339" s="9"/>
      <c r="H339" s="8" t="s">
        <v>3140</v>
      </c>
      <c r="I339" s="9"/>
      <c r="J339" s="9"/>
      <c r="K339" s="11" t="s">
        <v>3966</v>
      </c>
      <c r="L339" s="8" t="s">
        <v>3967</v>
      </c>
      <c r="M339" s="10">
        <v>44776</v>
      </c>
      <c r="N339" s="8" t="s">
        <v>3968</v>
      </c>
      <c r="O339" s="8" t="s">
        <v>3969</v>
      </c>
      <c r="P339" s="8" t="s">
        <v>3970</v>
      </c>
      <c r="Q339" s="8" t="s">
        <v>3971</v>
      </c>
      <c r="R339" s="8" t="s">
        <v>3944</v>
      </c>
      <c r="S339" s="8" t="s">
        <v>3972</v>
      </c>
      <c r="T339" s="8" t="s">
        <v>3973</v>
      </c>
      <c r="U339" s="9"/>
      <c r="V339" s="9"/>
    </row>
    <row r="340" spans="1:22" ht="16" x14ac:dyDescent="0.2">
      <c r="A340" s="7" t="s">
        <v>153</v>
      </c>
      <c r="B340" s="9"/>
      <c r="C340" s="9"/>
      <c r="D340" s="9"/>
      <c r="E340" s="9"/>
      <c r="F340" s="10">
        <v>44299</v>
      </c>
      <c r="G340" s="9"/>
      <c r="H340" s="8" t="s">
        <v>3140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16" x14ac:dyDescent="0.2">
      <c r="A341" s="7" t="s">
        <v>3974</v>
      </c>
      <c r="B341" s="9"/>
      <c r="C341" s="9"/>
      <c r="D341" s="9"/>
      <c r="E341" s="9"/>
      <c r="F341" s="10">
        <v>44327</v>
      </c>
      <c r="G341" s="9"/>
      <c r="H341" s="8" t="s">
        <v>3140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6" x14ac:dyDescent="0.2">
      <c r="A342" s="7" t="s">
        <v>3975</v>
      </c>
      <c r="B342" s="9"/>
      <c r="C342" s="9"/>
      <c r="D342" s="9"/>
      <c r="E342" s="9"/>
      <c r="F342" s="10">
        <v>44356</v>
      </c>
      <c r="G342" s="9"/>
      <c r="H342" s="8" t="s">
        <v>3140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16" x14ac:dyDescent="0.2">
      <c r="A343" s="7" t="s">
        <v>3976</v>
      </c>
      <c r="B343" s="9"/>
      <c r="C343" s="9"/>
      <c r="D343" s="9"/>
      <c r="E343" s="9"/>
      <c r="F343" s="10">
        <v>44328</v>
      </c>
      <c r="G343" s="9"/>
      <c r="H343" s="8" t="s">
        <v>3140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16" x14ac:dyDescent="0.2">
      <c r="A344" s="7" t="s">
        <v>1948</v>
      </c>
      <c r="B344" s="8" t="s">
        <v>3977</v>
      </c>
      <c r="C344" s="8" t="s">
        <v>3978</v>
      </c>
      <c r="D344" s="9"/>
      <c r="E344" s="9"/>
      <c r="F344" s="10">
        <v>44260</v>
      </c>
      <c r="G344" s="9"/>
      <c r="H344" s="8" t="s">
        <v>3140</v>
      </c>
      <c r="I344" s="9"/>
      <c r="J344" s="9"/>
      <c r="K344" s="8" t="s">
        <v>3979</v>
      </c>
      <c r="L344" s="8" t="s">
        <v>3980</v>
      </c>
      <c r="M344" s="10">
        <v>42650</v>
      </c>
      <c r="N344" s="8" t="s">
        <v>3981</v>
      </c>
      <c r="O344" s="8" t="s">
        <v>3144</v>
      </c>
      <c r="P344" s="8" t="s">
        <v>3982</v>
      </c>
      <c r="Q344" s="8" t="s">
        <v>3983</v>
      </c>
      <c r="R344" s="8">
        <v>64</v>
      </c>
      <c r="S344" s="8" t="s">
        <v>3827</v>
      </c>
      <c r="T344" s="9"/>
      <c r="U344" s="8" t="s">
        <v>3979</v>
      </c>
      <c r="V344" s="11" t="s">
        <v>3984</v>
      </c>
    </row>
    <row r="345" spans="1:22" ht="16" x14ac:dyDescent="0.2">
      <c r="A345" s="7" t="s">
        <v>2169</v>
      </c>
      <c r="B345" s="8" t="s">
        <v>3985</v>
      </c>
      <c r="C345" s="8" t="s">
        <v>3986</v>
      </c>
      <c r="D345" s="9"/>
      <c r="E345" s="9"/>
      <c r="F345" s="10">
        <v>45167</v>
      </c>
      <c r="G345" s="9"/>
      <c r="H345" s="8" t="s">
        <v>3140</v>
      </c>
      <c r="I345" s="9"/>
      <c r="J345" s="9"/>
      <c r="K345" s="11" t="s">
        <v>3987</v>
      </c>
      <c r="L345" s="8" t="s">
        <v>3988</v>
      </c>
      <c r="M345" s="10">
        <v>42576</v>
      </c>
      <c r="N345" s="8" t="s">
        <v>3989</v>
      </c>
      <c r="O345" s="8" t="s">
        <v>3144</v>
      </c>
      <c r="P345" s="8" t="s">
        <v>3175</v>
      </c>
      <c r="Q345" s="8" t="s">
        <v>3990</v>
      </c>
      <c r="R345" s="8">
        <v>291</v>
      </c>
      <c r="S345" s="8" t="s">
        <v>3250</v>
      </c>
      <c r="T345" s="8" t="s">
        <v>3991</v>
      </c>
      <c r="U345" s="9"/>
      <c r="V345" s="9"/>
    </row>
    <row r="346" spans="1:22" ht="16" x14ac:dyDescent="0.2">
      <c r="A346" s="7" t="s">
        <v>3992</v>
      </c>
      <c r="B346" s="8" t="s">
        <v>3992</v>
      </c>
      <c r="C346" s="8" t="s">
        <v>3993</v>
      </c>
      <c r="D346" s="9"/>
      <c r="E346" s="9"/>
      <c r="F346" s="10">
        <v>44791</v>
      </c>
      <c r="G346" s="9"/>
      <c r="H346" s="8" t="s">
        <v>3140</v>
      </c>
      <c r="I346" s="9"/>
      <c r="J346" s="9"/>
      <c r="K346" s="11" t="s">
        <v>3994</v>
      </c>
      <c r="L346" s="8" t="s">
        <v>3995</v>
      </c>
      <c r="M346" s="10">
        <v>32197</v>
      </c>
      <c r="N346" s="8" t="s">
        <v>3996</v>
      </c>
      <c r="O346" s="8" t="s">
        <v>3144</v>
      </c>
      <c r="P346" s="8" t="s">
        <v>3175</v>
      </c>
      <c r="Q346" s="8" t="s">
        <v>3997</v>
      </c>
      <c r="R346" s="8">
        <v>17</v>
      </c>
      <c r="S346" s="8" t="s">
        <v>3998</v>
      </c>
      <c r="T346" s="9"/>
      <c r="U346" s="8" t="s">
        <v>3999</v>
      </c>
      <c r="V346" s="11" t="s">
        <v>4000</v>
      </c>
    </row>
    <row r="347" spans="1:22" ht="16" x14ac:dyDescent="0.2">
      <c r="A347" s="7" t="s">
        <v>1972</v>
      </c>
      <c r="B347" s="8" t="s">
        <v>4001</v>
      </c>
      <c r="C347" s="8" t="s">
        <v>4002</v>
      </c>
      <c r="D347" s="9"/>
      <c r="E347" s="9"/>
      <c r="F347" s="10">
        <v>45000</v>
      </c>
      <c r="G347" s="8" t="s">
        <v>4003</v>
      </c>
      <c r="H347" s="8" t="s">
        <v>3140</v>
      </c>
      <c r="I347" s="9"/>
      <c r="J347" s="9"/>
      <c r="K347" s="11" t="s">
        <v>4004</v>
      </c>
      <c r="L347" s="8" t="s">
        <v>4005</v>
      </c>
      <c r="M347" s="10">
        <v>41338</v>
      </c>
      <c r="N347" s="8" t="s">
        <v>4006</v>
      </c>
      <c r="O347" s="8" t="s">
        <v>4007</v>
      </c>
      <c r="P347" s="8" t="s">
        <v>4008</v>
      </c>
      <c r="Q347" s="8" t="s">
        <v>4009</v>
      </c>
      <c r="R347" s="8">
        <v>470</v>
      </c>
      <c r="S347" s="8" t="s">
        <v>4010</v>
      </c>
      <c r="T347" s="8" t="s">
        <v>4011</v>
      </c>
      <c r="U347" s="8" t="s">
        <v>4012</v>
      </c>
      <c r="V347" s="11" t="s">
        <v>4013</v>
      </c>
    </row>
    <row r="348" spans="1:22" ht="16" x14ac:dyDescent="0.2">
      <c r="A348" s="7" t="s">
        <v>192</v>
      </c>
      <c r="B348" s="9"/>
      <c r="C348" s="9"/>
      <c r="D348" s="9"/>
      <c r="E348" s="9"/>
      <c r="F348" s="10">
        <v>44337</v>
      </c>
      <c r="G348" s="9"/>
      <c r="H348" s="8" t="s">
        <v>3140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16" x14ac:dyDescent="0.2">
      <c r="A349" s="7" t="s">
        <v>4014</v>
      </c>
      <c r="B349" s="9"/>
      <c r="C349" s="9"/>
      <c r="D349" s="9"/>
      <c r="E349" s="9"/>
      <c r="F349" s="10">
        <v>44693</v>
      </c>
      <c r="G349" s="9"/>
      <c r="H349" s="8" t="s">
        <v>3140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x14ac:dyDescent="0.2">
      <c r="A350" s="13" t="s">
        <v>1394</v>
      </c>
      <c r="B350" s="15" t="s">
        <v>4015</v>
      </c>
      <c r="C350" s="15" t="s">
        <v>4016</v>
      </c>
      <c r="D350" s="14"/>
      <c r="E350" s="14"/>
      <c r="F350" s="16">
        <v>44231</v>
      </c>
      <c r="G350" s="11" t="s">
        <v>4017</v>
      </c>
      <c r="H350" s="15" t="s">
        <v>3140</v>
      </c>
      <c r="I350" s="14"/>
      <c r="J350" s="14"/>
      <c r="K350" s="17" t="s">
        <v>4021</v>
      </c>
      <c r="L350" s="15" t="s">
        <v>4022</v>
      </c>
      <c r="M350" s="16">
        <v>37895</v>
      </c>
      <c r="N350" s="15" t="s">
        <v>4023</v>
      </c>
      <c r="O350" s="15" t="s">
        <v>3144</v>
      </c>
      <c r="P350" s="15" t="s">
        <v>3175</v>
      </c>
      <c r="Q350" s="15" t="s">
        <v>4024</v>
      </c>
      <c r="R350" s="15">
        <v>1278</v>
      </c>
      <c r="S350" s="15" t="s">
        <v>3692</v>
      </c>
      <c r="T350" s="15">
        <v>1282</v>
      </c>
      <c r="U350" s="15" t="s">
        <v>4025</v>
      </c>
      <c r="V350" s="17" t="s">
        <v>4026</v>
      </c>
    </row>
    <row r="351" spans="1:22" x14ac:dyDescent="0.2">
      <c r="A351" s="13"/>
      <c r="B351" s="15"/>
      <c r="C351" s="15"/>
      <c r="D351" s="14"/>
      <c r="E351" s="14"/>
      <c r="F351" s="16"/>
      <c r="G351" s="8" t="s">
        <v>4018</v>
      </c>
      <c r="H351" s="15"/>
      <c r="I351" s="14"/>
      <c r="J351" s="14"/>
      <c r="K351" s="17"/>
      <c r="L351" s="15"/>
      <c r="M351" s="16"/>
      <c r="N351" s="15"/>
      <c r="O351" s="15"/>
      <c r="P351" s="15"/>
      <c r="Q351" s="15"/>
      <c r="R351" s="15"/>
      <c r="S351" s="15"/>
      <c r="T351" s="15"/>
      <c r="U351" s="15"/>
      <c r="V351" s="17"/>
    </row>
    <row r="352" spans="1:22" x14ac:dyDescent="0.2">
      <c r="A352" s="13"/>
      <c r="B352" s="15"/>
      <c r="C352" s="15"/>
      <c r="D352" s="14"/>
      <c r="E352" s="14"/>
      <c r="F352" s="16"/>
      <c r="H352" s="15"/>
      <c r="I352" s="14"/>
      <c r="J352" s="14"/>
      <c r="K352" s="17"/>
      <c r="L352" s="15"/>
      <c r="M352" s="16"/>
      <c r="N352" s="15"/>
      <c r="O352" s="15"/>
      <c r="P352" s="15"/>
      <c r="Q352" s="15"/>
      <c r="R352" s="15"/>
      <c r="S352" s="15"/>
      <c r="T352" s="15"/>
      <c r="U352" s="15"/>
      <c r="V352" s="17"/>
    </row>
    <row r="353" spans="1:22" x14ac:dyDescent="0.2">
      <c r="A353" s="13"/>
      <c r="B353" s="15"/>
      <c r="C353" s="15"/>
      <c r="D353" s="14"/>
      <c r="E353" s="14"/>
      <c r="F353" s="16"/>
      <c r="G353" s="8" t="s">
        <v>4019</v>
      </c>
      <c r="H353" s="15"/>
      <c r="I353" s="14"/>
      <c r="J353" s="14"/>
      <c r="K353" s="17"/>
      <c r="L353" s="15"/>
      <c r="M353" s="16"/>
      <c r="N353" s="15"/>
      <c r="O353" s="15"/>
      <c r="P353" s="15"/>
      <c r="Q353" s="15"/>
      <c r="R353" s="15"/>
      <c r="S353" s="15"/>
      <c r="T353" s="15"/>
      <c r="U353" s="15"/>
      <c r="V353" s="17"/>
    </row>
    <row r="354" spans="1:22" x14ac:dyDescent="0.2">
      <c r="A354" s="13"/>
      <c r="B354" s="15"/>
      <c r="C354" s="15"/>
      <c r="D354" s="14"/>
      <c r="E354" s="14"/>
      <c r="F354" s="16"/>
      <c r="H354" s="15"/>
      <c r="I354" s="14"/>
      <c r="J354" s="14"/>
      <c r="K354" s="17"/>
      <c r="L354" s="15"/>
      <c r="M354" s="16"/>
      <c r="N354" s="15"/>
      <c r="O354" s="15"/>
      <c r="P354" s="15"/>
      <c r="Q354" s="15"/>
      <c r="R354" s="15"/>
      <c r="S354" s="15"/>
      <c r="T354" s="15"/>
      <c r="U354" s="15"/>
      <c r="V354" s="17"/>
    </row>
    <row r="355" spans="1:22" x14ac:dyDescent="0.2">
      <c r="A355" s="13"/>
      <c r="B355" s="15"/>
      <c r="C355" s="15"/>
      <c r="D355" s="14"/>
      <c r="E355" s="14"/>
      <c r="F355" s="16"/>
      <c r="G355" s="8" t="s">
        <v>4020</v>
      </c>
      <c r="H355" s="15"/>
      <c r="I355" s="14"/>
      <c r="J355" s="14"/>
      <c r="K355" s="17"/>
      <c r="L355" s="15"/>
      <c r="M355" s="16"/>
      <c r="N355" s="15"/>
      <c r="O355" s="15"/>
      <c r="P355" s="15"/>
      <c r="Q355" s="15"/>
      <c r="R355" s="15"/>
      <c r="S355" s="15"/>
      <c r="T355" s="15"/>
      <c r="U355" s="15"/>
      <c r="V355" s="17"/>
    </row>
    <row r="356" spans="1:22" x14ac:dyDescent="0.2">
      <c r="A356" s="13" t="s">
        <v>1179</v>
      </c>
      <c r="B356" s="15" t="s">
        <v>4027</v>
      </c>
      <c r="C356" s="15" t="s">
        <v>4028</v>
      </c>
      <c r="D356" s="14"/>
      <c r="E356" s="14"/>
      <c r="F356" s="16">
        <v>44642</v>
      </c>
      <c r="G356" s="8" t="s">
        <v>4029</v>
      </c>
      <c r="H356" s="15" t="s">
        <v>3140</v>
      </c>
      <c r="I356" s="14"/>
      <c r="J356" s="14"/>
      <c r="K356" s="17" t="s">
        <v>4053</v>
      </c>
      <c r="L356" s="15" t="s">
        <v>4054</v>
      </c>
      <c r="M356" s="16">
        <v>35215</v>
      </c>
      <c r="N356" s="15" t="s">
        <v>4055</v>
      </c>
      <c r="O356" s="15" t="s">
        <v>3144</v>
      </c>
      <c r="P356" s="15" t="s">
        <v>3175</v>
      </c>
      <c r="Q356" s="15" t="s">
        <v>4056</v>
      </c>
      <c r="R356" s="15">
        <v>1259</v>
      </c>
      <c r="S356" s="15" t="s">
        <v>4057</v>
      </c>
      <c r="T356" s="14"/>
      <c r="U356" s="15" t="s">
        <v>4058</v>
      </c>
      <c r="V356" s="17" t="s">
        <v>4059</v>
      </c>
    </row>
    <row r="357" spans="1:22" x14ac:dyDescent="0.2">
      <c r="A357" s="13"/>
      <c r="B357" s="15"/>
      <c r="C357" s="15"/>
      <c r="D357" s="14"/>
      <c r="E357" s="14"/>
      <c r="F357" s="16"/>
      <c r="G357" s="8" t="s">
        <v>4030</v>
      </c>
      <c r="H357" s="15"/>
      <c r="I357" s="14"/>
      <c r="J357" s="14"/>
      <c r="K357" s="17"/>
      <c r="L357" s="15"/>
      <c r="M357" s="16"/>
      <c r="N357" s="15"/>
      <c r="O357" s="15"/>
      <c r="P357" s="15"/>
      <c r="Q357" s="15"/>
      <c r="R357" s="15"/>
      <c r="S357" s="15"/>
      <c r="T357" s="14"/>
      <c r="U357" s="15"/>
      <c r="V357" s="17"/>
    </row>
    <row r="358" spans="1:22" x14ac:dyDescent="0.2">
      <c r="A358" s="13"/>
      <c r="B358" s="15"/>
      <c r="C358" s="15"/>
      <c r="D358" s="14"/>
      <c r="E358" s="14"/>
      <c r="F358" s="16"/>
      <c r="G358" s="8" t="s">
        <v>4031</v>
      </c>
      <c r="H358" s="15"/>
      <c r="I358" s="14"/>
      <c r="J358" s="14"/>
      <c r="K358" s="17"/>
      <c r="L358" s="15"/>
      <c r="M358" s="16"/>
      <c r="N358" s="15"/>
      <c r="O358" s="15"/>
      <c r="P358" s="15"/>
      <c r="Q358" s="15"/>
      <c r="R358" s="15"/>
      <c r="S358" s="15"/>
      <c r="T358" s="14"/>
      <c r="U358" s="15"/>
      <c r="V358" s="17"/>
    </row>
    <row r="359" spans="1:22" x14ac:dyDescent="0.2">
      <c r="A359" s="13"/>
      <c r="B359" s="15"/>
      <c r="C359" s="15"/>
      <c r="D359" s="14"/>
      <c r="E359" s="14"/>
      <c r="F359" s="16"/>
      <c r="G359" s="8" t="s">
        <v>4032</v>
      </c>
      <c r="H359" s="15"/>
      <c r="I359" s="14"/>
      <c r="J359" s="14"/>
      <c r="K359" s="17"/>
      <c r="L359" s="15"/>
      <c r="M359" s="16"/>
      <c r="N359" s="15"/>
      <c r="O359" s="15"/>
      <c r="P359" s="15"/>
      <c r="Q359" s="15"/>
      <c r="R359" s="15"/>
      <c r="S359" s="15"/>
      <c r="T359" s="14"/>
      <c r="U359" s="15"/>
      <c r="V359" s="17"/>
    </row>
    <row r="360" spans="1:22" x14ac:dyDescent="0.2">
      <c r="A360" s="13"/>
      <c r="B360" s="15"/>
      <c r="C360" s="15"/>
      <c r="D360" s="14"/>
      <c r="E360" s="14"/>
      <c r="F360" s="16"/>
      <c r="G360" s="8" t="s">
        <v>4033</v>
      </c>
      <c r="H360" s="15"/>
      <c r="I360" s="14"/>
      <c r="J360" s="14"/>
      <c r="K360" s="17"/>
      <c r="L360" s="15"/>
      <c r="M360" s="16"/>
      <c r="N360" s="15"/>
      <c r="O360" s="15"/>
      <c r="P360" s="15"/>
      <c r="Q360" s="15"/>
      <c r="R360" s="15"/>
      <c r="S360" s="15"/>
      <c r="T360" s="14"/>
      <c r="U360" s="15"/>
      <c r="V360" s="17"/>
    </row>
    <row r="361" spans="1:22" x14ac:dyDescent="0.2">
      <c r="A361" s="13"/>
      <c r="B361" s="15"/>
      <c r="C361" s="15"/>
      <c r="D361" s="14"/>
      <c r="E361" s="14"/>
      <c r="F361" s="16"/>
      <c r="G361" s="8" t="s">
        <v>4034</v>
      </c>
      <c r="H361" s="15"/>
      <c r="I361" s="14"/>
      <c r="J361" s="14"/>
      <c r="K361" s="17"/>
      <c r="L361" s="15"/>
      <c r="M361" s="16"/>
      <c r="N361" s="15"/>
      <c r="O361" s="15"/>
      <c r="P361" s="15"/>
      <c r="Q361" s="15"/>
      <c r="R361" s="15"/>
      <c r="S361" s="15"/>
      <c r="T361" s="14"/>
      <c r="U361" s="15"/>
      <c r="V361" s="17"/>
    </row>
    <row r="362" spans="1:22" x14ac:dyDescent="0.2">
      <c r="A362" s="13"/>
      <c r="B362" s="15"/>
      <c r="C362" s="15"/>
      <c r="D362" s="14"/>
      <c r="E362" s="14"/>
      <c r="F362" s="16"/>
      <c r="G362" s="11" t="s">
        <v>4035</v>
      </c>
      <c r="H362" s="15"/>
      <c r="I362" s="14"/>
      <c r="J362" s="14"/>
      <c r="K362" s="17"/>
      <c r="L362" s="15"/>
      <c r="M362" s="16"/>
      <c r="N362" s="15"/>
      <c r="O362" s="15"/>
      <c r="P362" s="15"/>
      <c r="Q362" s="15"/>
      <c r="R362" s="15"/>
      <c r="S362" s="15"/>
      <c r="T362" s="14"/>
      <c r="U362" s="15"/>
      <c r="V362" s="17"/>
    </row>
    <row r="363" spans="1:22" x14ac:dyDescent="0.2">
      <c r="A363" s="13"/>
      <c r="B363" s="15"/>
      <c r="C363" s="15"/>
      <c r="D363" s="14"/>
      <c r="E363" s="14"/>
      <c r="F363" s="16"/>
      <c r="G363" s="8" t="s">
        <v>4036</v>
      </c>
      <c r="H363" s="15"/>
      <c r="I363" s="14"/>
      <c r="J363" s="14"/>
      <c r="K363" s="17"/>
      <c r="L363" s="15"/>
      <c r="M363" s="16"/>
      <c r="N363" s="15"/>
      <c r="O363" s="15"/>
      <c r="P363" s="15"/>
      <c r="Q363" s="15"/>
      <c r="R363" s="15"/>
      <c r="S363" s="15"/>
      <c r="T363" s="14"/>
      <c r="U363" s="15"/>
      <c r="V363" s="17"/>
    </row>
    <row r="364" spans="1:22" x14ac:dyDescent="0.2">
      <c r="A364" s="13"/>
      <c r="B364" s="15"/>
      <c r="C364" s="15"/>
      <c r="D364" s="14"/>
      <c r="E364" s="14"/>
      <c r="F364" s="16"/>
      <c r="G364" s="8" t="s">
        <v>4037</v>
      </c>
      <c r="H364" s="15"/>
      <c r="I364" s="14"/>
      <c r="J364" s="14"/>
      <c r="K364" s="17"/>
      <c r="L364" s="15"/>
      <c r="M364" s="16"/>
      <c r="N364" s="15"/>
      <c r="O364" s="15"/>
      <c r="P364" s="15"/>
      <c r="Q364" s="15"/>
      <c r="R364" s="15"/>
      <c r="S364" s="15"/>
      <c r="T364" s="14"/>
      <c r="U364" s="15"/>
      <c r="V364" s="17"/>
    </row>
    <row r="365" spans="1:22" x14ac:dyDescent="0.2">
      <c r="A365" s="13"/>
      <c r="B365" s="15"/>
      <c r="C365" s="15"/>
      <c r="D365" s="14"/>
      <c r="E365" s="14"/>
      <c r="F365" s="16"/>
      <c r="G365" s="11" t="s">
        <v>4038</v>
      </c>
      <c r="H365" s="15"/>
      <c r="I365" s="14"/>
      <c r="J365" s="14"/>
      <c r="K365" s="17"/>
      <c r="L365" s="15"/>
      <c r="M365" s="16"/>
      <c r="N365" s="15"/>
      <c r="O365" s="15"/>
      <c r="P365" s="15"/>
      <c r="Q365" s="15"/>
      <c r="R365" s="15"/>
      <c r="S365" s="15"/>
      <c r="T365" s="14"/>
      <c r="U365" s="15"/>
      <c r="V365" s="17"/>
    </row>
    <row r="366" spans="1:22" x14ac:dyDescent="0.2">
      <c r="A366" s="13"/>
      <c r="B366" s="15"/>
      <c r="C366" s="15"/>
      <c r="D366" s="14"/>
      <c r="E366" s="14"/>
      <c r="F366" s="16"/>
      <c r="G366" s="8" t="s">
        <v>4039</v>
      </c>
      <c r="H366" s="15"/>
      <c r="I366" s="14"/>
      <c r="J366" s="14"/>
      <c r="K366" s="17"/>
      <c r="L366" s="15"/>
      <c r="M366" s="16"/>
      <c r="N366" s="15"/>
      <c r="O366" s="15"/>
      <c r="P366" s="15"/>
      <c r="Q366" s="15"/>
      <c r="R366" s="15"/>
      <c r="S366" s="15"/>
      <c r="T366" s="14"/>
      <c r="U366" s="15"/>
      <c r="V366" s="17"/>
    </row>
    <row r="367" spans="1:22" x14ac:dyDescent="0.2">
      <c r="A367" s="13"/>
      <c r="B367" s="15"/>
      <c r="C367" s="15"/>
      <c r="D367" s="14"/>
      <c r="E367" s="14"/>
      <c r="F367" s="16"/>
      <c r="G367" s="8" t="s">
        <v>4040</v>
      </c>
      <c r="H367" s="15"/>
      <c r="I367" s="14"/>
      <c r="J367" s="14"/>
      <c r="K367" s="17"/>
      <c r="L367" s="15"/>
      <c r="M367" s="16"/>
      <c r="N367" s="15"/>
      <c r="O367" s="15"/>
      <c r="P367" s="15"/>
      <c r="Q367" s="15"/>
      <c r="R367" s="15"/>
      <c r="S367" s="15"/>
      <c r="T367" s="14"/>
      <c r="U367" s="15"/>
      <c r="V367" s="17"/>
    </row>
    <row r="368" spans="1:22" x14ac:dyDescent="0.2">
      <c r="A368" s="13"/>
      <c r="B368" s="15"/>
      <c r="C368" s="15"/>
      <c r="D368" s="14"/>
      <c r="E368" s="14"/>
      <c r="F368" s="16"/>
      <c r="G368" s="8" t="s">
        <v>4041</v>
      </c>
      <c r="H368" s="15"/>
      <c r="I368" s="14"/>
      <c r="J368" s="14"/>
      <c r="K368" s="17"/>
      <c r="L368" s="15"/>
      <c r="M368" s="16"/>
      <c r="N368" s="15"/>
      <c r="O368" s="15"/>
      <c r="P368" s="15"/>
      <c r="Q368" s="15"/>
      <c r="R368" s="15"/>
      <c r="S368" s="15"/>
      <c r="T368" s="14"/>
      <c r="U368" s="15"/>
      <c r="V368" s="17"/>
    </row>
    <row r="369" spans="1:22" x14ac:dyDescent="0.2">
      <c r="A369" s="13"/>
      <c r="B369" s="15"/>
      <c r="C369" s="15"/>
      <c r="D369" s="14"/>
      <c r="E369" s="14"/>
      <c r="F369" s="16"/>
      <c r="G369" s="8" t="s">
        <v>4042</v>
      </c>
      <c r="H369" s="15"/>
      <c r="I369" s="14"/>
      <c r="J369" s="14"/>
      <c r="K369" s="17"/>
      <c r="L369" s="15"/>
      <c r="M369" s="16"/>
      <c r="N369" s="15"/>
      <c r="O369" s="15"/>
      <c r="P369" s="15"/>
      <c r="Q369" s="15"/>
      <c r="R369" s="15"/>
      <c r="S369" s="15"/>
      <c r="T369" s="14"/>
      <c r="U369" s="15"/>
      <c r="V369" s="17"/>
    </row>
    <row r="370" spans="1:22" x14ac:dyDescent="0.2">
      <c r="A370" s="13"/>
      <c r="B370" s="15"/>
      <c r="C370" s="15"/>
      <c r="D370" s="14"/>
      <c r="E370" s="14"/>
      <c r="F370" s="16"/>
      <c r="G370" s="8" t="s">
        <v>4043</v>
      </c>
      <c r="H370" s="15"/>
      <c r="I370" s="14"/>
      <c r="J370" s="14"/>
      <c r="K370" s="17"/>
      <c r="L370" s="15"/>
      <c r="M370" s="16"/>
      <c r="N370" s="15"/>
      <c r="O370" s="15"/>
      <c r="P370" s="15"/>
      <c r="Q370" s="15"/>
      <c r="R370" s="15"/>
      <c r="S370" s="15"/>
      <c r="T370" s="14"/>
      <c r="U370" s="15"/>
      <c r="V370" s="17"/>
    </row>
    <row r="371" spans="1:22" x14ac:dyDescent="0.2">
      <c r="A371" s="13"/>
      <c r="B371" s="15"/>
      <c r="C371" s="15"/>
      <c r="D371" s="14"/>
      <c r="E371" s="14"/>
      <c r="F371" s="16"/>
      <c r="G371" s="8" t="s">
        <v>4044</v>
      </c>
      <c r="H371" s="15"/>
      <c r="I371" s="14"/>
      <c r="J371" s="14"/>
      <c r="K371" s="17"/>
      <c r="L371" s="15"/>
      <c r="M371" s="16"/>
      <c r="N371" s="15"/>
      <c r="O371" s="15"/>
      <c r="P371" s="15"/>
      <c r="Q371" s="15"/>
      <c r="R371" s="15"/>
      <c r="S371" s="15"/>
      <c r="T371" s="14"/>
      <c r="U371" s="15"/>
      <c r="V371" s="17"/>
    </row>
    <row r="372" spans="1:22" x14ac:dyDescent="0.2">
      <c r="A372" s="13"/>
      <c r="B372" s="15"/>
      <c r="C372" s="15"/>
      <c r="D372" s="14"/>
      <c r="E372" s="14"/>
      <c r="F372" s="16"/>
      <c r="G372" s="8" t="s">
        <v>4045</v>
      </c>
      <c r="H372" s="15"/>
      <c r="I372" s="14"/>
      <c r="J372" s="14"/>
      <c r="K372" s="17"/>
      <c r="L372" s="15"/>
      <c r="M372" s="16"/>
      <c r="N372" s="15"/>
      <c r="O372" s="15"/>
      <c r="P372" s="15"/>
      <c r="Q372" s="15"/>
      <c r="R372" s="15"/>
      <c r="S372" s="15"/>
      <c r="T372" s="14"/>
      <c r="U372" s="15"/>
      <c r="V372" s="17"/>
    </row>
    <row r="373" spans="1:22" x14ac:dyDescent="0.2">
      <c r="A373" s="13"/>
      <c r="B373" s="15"/>
      <c r="C373" s="15"/>
      <c r="D373" s="14"/>
      <c r="E373" s="14"/>
      <c r="F373" s="16"/>
      <c r="G373" s="8" t="s">
        <v>4046</v>
      </c>
      <c r="H373" s="15"/>
      <c r="I373" s="14"/>
      <c r="J373" s="14"/>
      <c r="K373" s="17"/>
      <c r="L373" s="15"/>
      <c r="M373" s="16"/>
      <c r="N373" s="15"/>
      <c r="O373" s="15"/>
      <c r="P373" s="15"/>
      <c r="Q373" s="15"/>
      <c r="R373" s="15"/>
      <c r="S373" s="15"/>
      <c r="T373" s="14"/>
      <c r="U373" s="15"/>
      <c r="V373" s="17"/>
    </row>
    <row r="374" spans="1:22" x14ac:dyDescent="0.2">
      <c r="A374" s="13"/>
      <c r="B374" s="15"/>
      <c r="C374" s="15"/>
      <c r="D374" s="14"/>
      <c r="E374" s="14"/>
      <c r="F374" s="16"/>
      <c r="G374" s="8" t="s">
        <v>4047</v>
      </c>
      <c r="H374" s="15"/>
      <c r="I374" s="14"/>
      <c r="J374" s="14"/>
      <c r="K374" s="17"/>
      <c r="L374" s="15"/>
      <c r="M374" s="16"/>
      <c r="N374" s="15"/>
      <c r="O374" s="15"/>
      <c r="P374" s="15"/>
      <c r="Q374" s="15"/>
      <c r="R374" s="15"/>
      <c r="S374" s="15"/>
      <c r="T374" s="14"/>
      <c r="U374" s="15"/>
      <c r="V374" s="17"/>
    </row>
    <row r="375" spans="1:22" x14ac:dyDescent="0.2">
      <c r="A375" s="13"/>
      <c r="B375" s="15"/>
      <c r="C375" s="15"/>
      <c r="D375" s="14"/>
      <c r="E375" s="14"/>
      <c r="F375" s="16"/>
      <c r="G375" s="8" t="s">
        <v>4048</v>
      </c>
      <c r="H375" s="15"/>
      <c r="I375" s="14"/>
      <c r="J375" s="14"/>
      <c r="K375" s="17"/>
      <c r="L375" s="15"/>
      <c r="M375" s="16"/>
      <c r="N375" s="15"/>
      <c r="O375" s="15"/>
      <c r="P375" s="15"/>
      <c r="Q375" s="15"/>
      <c r="R375" s="15"/>
      <c r="S375" s="15"/>
      <c r="T375" s="14"/>
      <c r="U375" s="15"/>
      <c r="V375" s="17"/>
    </row>
    <row r="376" spans="1:22" x14ac:dyDescent="0.2">
      <c r="A376" s="13"/>
      <c r="B376" s="15"/>
      <c r="C376" s="15"/>
      <c r="D376" s="14"/>
      <c r="E376" s="14"/>
      <c r="F376" s="16"/>
      <c r="G376" s="8" t="s">
        <v>4049</v>
      </c>
      <c r="H376" s="15"/>
      <c r="I376" s="14"/>
      <c r="J376" s="14"/>
      <c r="K376" s="17"/>
      <c r="L376" s="15"/>
      <c r="M376" s="16"/>
      <c r="N376" s="15"/>
      <c r="O376" s="15"/>
      <c r="P376" s="15"/>
      <c r="Q376" s="15"/>
      <c r="R376" s="15"/>
      <c r="S376" s="15"/>
      <c r="T376" s="14"/>
      <c r="U376" s="15"/>
      <c r="V376" s="17"/>
    </row>
    <row r="377" spans="1:22" x14ac:dyDescent="0.2">
      <c r="A377" s="13"/>
      <c r="B377" s="15"/>
      <c r="C377" s="15"/>
      <c r="D377" s="14"/>
      <c r="E377" s="14"/>
      <c r="F377" s="16"/>
      <c r="G377" s="8" t="s">
        <v>4050</v>
      </c>
      <c r="H377" s="15"/>
      <c r="I377" s="14"/>
      <c r="J377" s="14"/>
      <c r="K377" s="17"/>
      <c r="L377" s="15"/>
      <c r="M377" s="16"/>
      <c r="N377" s="15"/>
      <c r="O377" s="15"/>
      <c r="P377" s="15"/>
      <c r="Q377" s="15"/>
      <c r="R377" s="15"/>
      <c r="S377" s="15"/>
      <c r="T377" s="14"/>
      <c r="U377" s="15"/>
      <c r="V377" s="17"/>
    </row>
    <row r="378" spans="1:22" x14ac:dyDescent="0.2">
      <c r="A378" s="13"/>
      <c r="B378" s="15"/>
      <c r="C378" s="15"/>
      <c r="D378" s="14"/>
      <c r="E378" s="14"/>
      <c r="F378" s="16"/>
      <c r="G378" s="8" t="s">
        <v>4051</v>
      </c>
      <c r="H378" s="15"/>
      <c r="I378" s="14"/>
      <c r="J378" s="14"/>
      <c r="K378" s="17"/>
      <c r="L378" s="15"/>
      <c r="M378" s="16"/>
      <c r="N378" s="15"/>
      <c r="O378" s="15"/>
      <c r="P378" s="15"/>
      <c r="Q378" s="15"/>
      <c r="R378" s="15"/>
      <c r="S378" s="15"/>
      <c r="T378" s="14"/>
      <c r="U378" s="15"/>
      <c r="V378" s="17"/>
    </row>
    <row r="379" spans="1:22" x14ac:dyDescent="0.2">
      <c r="A379" s="13"/>
      <c r="B379" s="15"/>
      <c r="C379" s="15"/>
      <c r="D379" s="14"/>
      <c r="E379" s="14"/>
      <c r="F379" s="16"/>
      <c r="G379" s="8" t="s">
        <v>4052</v>
      </c>
      <c r="H379" s="15"/>
      <c r="I379" s="14"/>
      <c r="J379" s="14"/>
      <c r="K379" s="17"/>
      <c r="L379" s="15"/>
      <c r="M379" s="16"/>
      <c r="N379" s="15"/>
      <c r="O379" s="15"/>
      <c r="P379" s="15"/>
      <c r="Q379" s="15"/>
      <c r="R379" s="15"/>
      <c r="S379" s="15"/>
      <c r="T379" s="14"/>
      <c r="U379" s="15"/>
      <c r="V379" s="17"/>
    </row>
    <row r="380" spans="1:22" ht="16" x14ac:dyDescent="0.2">
      <c r="A380" s="7" t="s">
        <v>4060</v>
      </c>
      <c r="B380" s="9"/>
      <c r="C380" s="9"/>
      <c r="D380" s="9"/>
      <c r="E380" s="9"/>
      <c r="F380" s="10">
        <v>44265</v>
      </c>
      <c r="G380" s="9"/>
      <c r="H380" s="8" t="s">
        <v>3140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6" x14ac:dyDescent="0.2">
      <c r="A381" s="7" t="s">
        <v>211</v>
      </c>
      <c r="B381" s="8" t="s">
        <v>4061</v>
      </c>
      <c r="C381" s="8" t="s">
        <v>4062</v>
      </c>
      <c r="D381" s="9"/>
      <c r="E381" s="9"/>
      <c r="F381" s="10">
        <v>44844</v>
      </c>
      <c r="G381" s="9"/>
      <c r="H381" s="8" t="s">
        <v>3140</v>
      </c>
      <c r="I381" s="9"/>
      <c r="J381" s="9"/>
      <c r="K381" s="11" t="s">
        <v>4063</v>
      </c>
      <c r="L381" s="8" t="s">
        <v>4064</v>
      </c>
      <c r="M381" s="10">
        <v>35502</v>
      </c>
      <c r="N381" s="8" t="s">
        <v>4065</v>
      </c>
      <c r="O381" s="8" t="s">
        <v>3144</v>
      </c>
      <c r="P381" s="8" t="s">
        <v>3175</v>
      </c>
      <c r="Q381" s="8" t="s">
        <v>4066</v>
      </c>
      <c r="R381" s="8">
        <v>1384</v>
      </c>
      <c r="S381" s="8" t="s">
        <v>4067</v>
      </c>
      <c r="T381" s="9"/>
      <c r="U381" s="8" t="s">
        <v>4068</v>
      </c>
      <c r="V381" s="11" t="s">
        <v>4069</v>
      </c>
    </row>
    <row r="382" spans="1:22" ht="16" x14ac:dyDescent="0.2">
      <c r="A382" s="7" t="s">
        <v>4070</v>
      </c>
      <c r="B382" s="9"/>
      <c r="C382" s="9"/>
      <c r="D382" s="9"/>
      <c r="E382" s="9"/>
      <c r="F382" s="10">
        <v>45008</v>
      </c>
      <c r="G382" s="9"/>
      <c r="H382" s="8" t="s">
        <v>3140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6" x14ac:dyDescent="0.2">
      <c r="A383" s="7" t="s">
        <v>1566</v>
      </c>
      <c r="B383" s="8" t="s">
        <v>4071</v>
      </c>
      <c r="C383" s="8" t="s">
        <v>4072</v>
      </c>
      <c r="D383" s="9"/>
      <c r="E383" s="9"/>
      <c r="F383" s="10">
        <v>44791</v>
      </c>
      <c r="G383" s="8" t="s">
        <v>4073</v>
      </c>
      <c r="H383" s="8" t="s">
        <v>3140</v>
      </c>
      <c r="I383" s="9"/>
      <c r="J383" s="9"/>
      <c r="K383" s="11" t="s">
        <v>4074</v>
      </c>
      <c r="L383" s="8" t="s">
        <v>4075</v>
      </c>
      <c r="M383" s="10">
        <v>38930</v>
      </c>
      <c r="N383" s="8" t="s">
        <v>4076</v>
      </c>
      <c r="O383" s="8" t="s">
        <v>3144</v>
      </c>
      <c r="P383" s="8" t="s">
        <v>3175</v>
      </c>
      <c r="Q383" s="8" t="s">
        <v>4077</v>
      </c>
      <c r="R383" s="8">
        <v>1004</v>
      </c>
      <c r="S383" s="8" t="s">
        <v>4078</v>
      </c>
      <c r="T383" s="9"/>
      <c r="U383" s="9"/>
      <c r="V383" s="9"/>
    </row>
    <row r="384" spans="1:22" ht="16" x14ac:dyDescent="0.2">
      <c r="A384" s="7" t="s">
        <v>57</v>
      </c>
      <c r="B384" s="9"/>
      <c r="C384" s="9"/>
      <c r="D384" s="9"/>
      <c r="E384" s="9"/>
      <c r="F384" s="10">
        <v>44280</v>
      </c>
      <c r="G384" s="9"/>
      <c r="H384" s="8" t="s">
        <v>3140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16" x14ac:dyDescent="0.2">
      <c r="A385" s="7" t="s">
        <v>315</v>
      </c>
      <c r="B385" s="9"/>
      <c r="C385" s="9"/>
      <c r="D385" s="9"/>
      <c r="E385" s="9"/>
      <c r="F385" s="10">
        <v>44312</v>
      </c>
      <c r="G385" s="9"/>
      <c r="H385" s="8" t="s">
        <v>3140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16" x14ac:dyDescent="0.2">
      <c r="A386" s="7" t="s">
        <v>657</v>
      </c>
      <c r="B386" s="9"/>
      <c r="C386" s="9"/>
      <c r="D386" s="9"/>
      <c r="E386" s="9"/>
      <c r="F386" s="10">
        <v>44568</v>
      </c>
      <c r="G386" s="9"/>
      <c r="H386" s="8" t="s">
        <v>3140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16" x14ac:dyDescent="0.2">
      <c r="A387" s="7" t="s">
        <v>4079</v>
      </c>
      <c r="B387" s="9"/>
      <c r="C387" s="9"/>
      <c r="D387" s="9"/>
      <c r="E387" s="9"/>
      <c r="F387" s="10">
        <v>44158</v>
      </c>
      <c r="G387" s="9"/>
      <c r="H387" s="8" t="s">
        <v>3140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16" x14ac:dyDescent="0.2">
      <c r="A388" s="7" t="s">
        <v>4080</v>
      </c>
      <c r="B388" s="9"/>
      <c r="C388" s="9"/>
      <c r="D388" s="9"/>
      <c r="E388" s="9"/>
      <c r="F388" s="10">
        <v>44600</v>
      </c>
      <c r="G388" s="9"/>
      <c r="H388" s="8" t="s">
        <v>3140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16" x14ac:dyDescent="0.2">
      <c r="A389" s="7" t="s">
        <v>101</v>
      </c>
      <c r="B389" s="9"/>
      <c r="C389" s="9"/>
      <c r="D389" s="9"/>
      <c r="E389" s="9"/>
      <c r="F389" s="10">
        <v>44292</v>
      </c>
      <c r="G389" s="9"/>
      <c r="H389" s="8" t="s">
        <v>3140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16" x14ac:dyDescent="0.2">
      <c r="A390" s="7" t="s">
        <v>592</v>
      </c>
      <c r="B390" s="9"/>
      <c r="C390" s="9"/>
      <c r="D390" s="9"/>
      <c r="E390" s="9"/>
      <c r="F390" s="10">
        <v>44519</v>
      </c>
      <c r="G390" s="9"/>
      <c r="H390" s="8" t="s">
        <v>3140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16" x14ac:dyDescent="0.2">
      <c r="A391" s="7" t="s">
        <v>174</v>
      </c>
      <c r="B391" s="9"/>
      <c r="C391" s="9"/>
      <c r="D391" s="9"/>
      <c r="E391" s="9"/>
      <c r="F391" s="10">
        <v>44328</v>
      </c>
      <c r="G391" s="9"/>
      <c r="H391" s="8" t="s">
        <v>3140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16" x14ac:dyDescent="0.2">
      <c r="A392" s="7" t="s">
        <v>2110</v>
      </c>
      <c r="B392" s="9"/>
      <c r="C392" s="9"/>
      <c r="D392" s="8" t="s">
        <v>4081</v>
      </c>
      <c r="E392" s="9"/>
      <c r="F392" s="10">
        <v>45152</v>
      </c>
      <c r="G392" s="9"/>
      <c r="H392" s="8" t="s">
        <v>3140</v>
      </c>
      <c r="I392" s="9"/>
      <c r="J392" s="9"/>
      <c r="K392" s="11" t="s">
        <v>4082</v>
      </c>
      <c r="L392" s="8" t="s">
        <v>4083</v>
      </c>
      <c r="M392" s="10">
        <v>42103</v>
      </c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16" x14ac:dyDescent="0.2">
      <c r="A393" s="7" t="s">
        <v>4084</v>
      </c>
      <c r="B393" s="9"/>
      <c r="C393" s="9"/>
      <c r="D393" s="9"/>
      <c r="E393" s="9"/>
      <c r="F393" s="10">
        <v>44265</v>
      </c>
      <c r="G393" s="9"/>
      <c r="H393" s="8" t="s">
        <v>3140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16" x14ac:dyDescent="0.2">
      <c r="A394" s="7" t="s">
        <v>4085</v>
      </c>
      <c r="B394" s="9"/>
      <c r="C394" s="9"/>
      <c r="D394" s="9"/>
      <c r="E394" s="9"/>
      <c r="F394" s="10">
        <v>44265</v>
      </c>
      <c r="G394" s="9"/>
      <c r="H394" s="8" t="s">
        <v>3140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16" x14ac:dyDescent="0.2">
      <c r="A395" s="7" t="s">
        <v>2613</v>
      </c>
      <c r="B395" s="8" t="s">
        <v>4086</v>
      </c>
      <c r="C395" s="8" t="s">
        <v>4087</v>
      </c>
      <c r="D395" s="9"/>
      <c r="E395" s="9"/>
      <c r="F395" s="10">
        <v>45329</v>
      </c>
      <c r="G395" s="9"/>
      <c r="H395" s="8" t="s">
        <v>3140</v>
      </c>
      <c r="I395" s="9"/>
      <c r="J395" s="9"/>
      <c r="K395" s="11" t="s">
        <v>4088</v>
      </c>
      <c r="L395" s="8" t="s">
        <v>4089</v>
      </c>
      <c r="M395" s="10">
        <v>35257</v>
      </c>
      <c r="N395" s="8" t="s">
        <v>4090</v>
      </c>
      <c r="O395" s="8" t="s">
        <v>3144</v>
      </c>
      <c r="P395" s="8" t="s">
        <v>4091</v>
      </c>
      <c r="Q395" s="8" t="s">
        <v>4092</v>
      </c>
      <c r="R395" s="8">
        <v>660</v>
      </c>
      <c r="S395" s="8" t="s">
        <v>4093</v>
      </c>
      <c r="T395" s="9"/>
      <c r="U395" s="9"/>
      <c r="V395" s="9"/>
    </row>
    <row r="396" spans="1:22" ht="16" x14ac:dyDescent="0.2">
      <c r="A396" s="7" t="s">
        <v>2366</v>
      </c>
      <c r="B396" s="8" t="s">
        <v>4094</v>
      </c>
      <c r="C396" s="8" t="s">
        <v>4095</v>
      </c>
      <c r="D396" s="9"/>
      <c r="E396" s="9"/>
      <c r="F396" s="10">
        <v>44249</v>
      </c>
      <c r="G396" s="8" t="s">
        <v>4096</v>
      </c>
      <c r="H396" s="8" t="s">
        <v>3140</v>
      </c>
      <c r="I396" s="9"/>
      <c r="J396" s="9"/>
      <c r="K396" s="11" t="s">
        <v>4097</v>
      </c>
      <c r="L396" s="8" t="s">
        <v>4098</v>
      </c>
      <c r="M396" s="10">
        <v>29034</v>
      </c>
      <c r="N396" s="8" t="s">
        <v>4099</v>
      </c>
      <c r="O396" s="8" t="s">
        <v>3144</v>
      </c>
      <c r="P396" s="8" t="s">
        <v>3175</v>
      </c>
      <c r="Q396" s="8" t="s">
        <v>4100</v>
      </c>
      <c r="R396" s="8">
        <v>859</v>
      </c>
      <c r="S396" s="8" t="s">
        <v>3479</v>
      </c>
      <c r="T396" s="9"/>
      <c r="U396" s="9"/>
      <c r="V396" s="9"/>
    </row>
    <row r="397" spans="1:22" x14ac:dyDescent="0.2">
      <c r="A397" s="13" t="s">
        <v>1224</v>
      </c>
      <c r="B397" s="15" t="s">
        <v>4101</v>
      </c>
      <c r="C397" s="15" t="s">
        <v>4102</v>
      </c>
      <c r="D397" s="14"/>
      <c r="E397" s="14"/>
      <c r="F397" s="16">
        <v>44249</v>
      </c>
      <c r="G397" s="8" t="s">
        <v>4103</v>
      </c>
      <c r="H397" s="15" t="s">
        <v>3140</v>
      </c>
      <c r="I397" s="14"/>
      <c r="J397" s="15">
        <v>9054284893</v>
      </c>
      <c r="K397" s="17" t="s">
        <v>4107</v>
      </c>
      <c r="L397" s="15" t="s">
        <v>4108</v>
      </c>
      <c r="M397" s="16">
        <v>40387</v>
      </c>
      <c r="N397" s="15" t="s">
        <v>3278</v>
      </c>
      <c r="O397" s="15" t="s">
        <v>3144</v>
      </c>
      <c r="P397" s="15" t="s">
        <v>3175</v>
      </c>
      <c r="Q397" s="15" t="s">
        <v>3279</v>
      </c>
      <c r="R397" s="15" t="s">
        <v>3944</v>
      </c>
      <c r="S397" s="15" t="s">
        <v>3280</v>
      </c>
      <c r="T397" s="14"/>
      <c r="U397" s="15" t="s">
        <v>4109</v>
      </c>
      <c r="V397" s="17" t="s">
        <v>4110</v>
      </c>
    </row>
    <row r="398" spans="1:22" x14ac:dyDescent="0.2">
      <c r="A398" s="13"/>
      <c r="B398" s="15"/>
      <c r="C398" s="15"/>
      <c r="D398" s="14"/>
      <c r="E398" s="14"/>
      <c r="F398" s="16"/>
      <c r="G398" s="8" t="s">
        <v>4104</v>
      </c>
      <c r="H398" s="15"/>
      <c r="I398" s="14"/>
      <c r="J398" s="15"/>
      <c r="K398" s="17"/>
      <c r="L398" s="15"/>
      <c r="M398" s="16"/>
      <c r="N398" s="15"/>
      <c r="O398" s="15"/>
      <c r="P398" s="15"/>
      <c r="Q398" s="15"/>
      <c r="R398" s="15"/>
      <c r="S398" s="15"/>
      <c r="T398" s="14"/>
      <c r="U398" s="15"/>
      <c r="V398" s="17"/>
    </row>
    <row r="399" spans="1:22" x14ac:dyDescent="0.2">
      <c r="A399" s="13"/>
      <c r="B399" s="15"/>
      <c r="C399" s="15"/>
      <c r="D399" s="14"/>
      <c r="E399" s="14"/>
      <c r="F399" s="16"/>
      <c r="G399" s="8" t="s">
        <v>4105</v>
      </c>
      <c r="H399" s="15"/>
      <c r="I399" s="14"/>
      <c r="J399" s="15"/>
      <c r="K399" s="17"/>
      <c r="L399" s="15"/>
      <c r="M399" s="16"/>
      <c r="N399" s="15"/>
      <c r="O399" s="15"/>
      <c r="P399" s="15"/>
      <c r="Q399" s="15"/>
      <c r="R399" s="15"/>
      <c r="S399" s="15"/>
      <c r="T399" s="14"/>
      <c r="U399" s="15"/>
      <c r="V399" s="17"/>
    </row>
    <row r="400" spans="1:22" x14ac:dyDescent="0.2">
      <c r="A400" s="13"/>
      <c r="B400" s="15"/>
      <c r="C400" s="15"/>
      <c r="D400" s="14"/>
      <c r="E400" s="14"/>
      <c r="F400" s="16"/>
      <c r="G400" s="8" t="s">
        <v>4106</v>
      </c>
      <c r="H400" s="15"/>
      <c r="I400" s="14"/>
      <c r="J400" s="15"/>
      <c r="K400" s="17"/>
      <c r="L400" s="15"/>
      <c r="M400" s="16"/>
      <c r="N400" s="15"/>
      <c r="O400" s="15"/>
      <c r="P400" s="15"/>
      <c r="Q400" s="15"/>
      <c r="R400" s="15"/>
      <c r="S400" s="15"/>
      <c r="T400" s="14"/>
      <c r="U400" s="15"/>
      <c r="V400" s="17"/>
    </row>
    <row r="401" spans="1:22" ht="16" x14ac:dyDescent="0.2">
      <c r="A401" s="7" t="s">
        <v>4111</v>
      </c>
      <c r="B401" s="9"/>
      <c r="C401" s="9"/>
      <c r="D401" s="9"/>
      <c r="E401" s="9"/>
      <c r="F401" s="10">
        <v>44214</v>
      </c>
      <c r="G401" s="9"/>
      <c r="H401" s="8" t="s">
        <v>3140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6" x14ac:dyDescent="0.2">
      <c r="A402" s="7" t="s">
        <v>4112</v>
      </c>
      <c r="B402" s="9"/>
      <c r="C402" s="9"/>
      <c r="D402" s="9"/>
      <c r="E402" s="9"/>
      <c r="F402" s="10">
        <v>44214</v>
      </c>
      <c r="G402" s="9"/>
      <c r="H402" s="8" t="s">
        <v>3140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x14ac:dyDescent="0.2">
      <c r="A403" s="13" t="s">
        <v>1205</v>
      </c>
      <c r="B403" s="15" t="s">
        <v>4113</v>
      </c>
      <c r="C403" s="15" t="s">
        <v>4114</v>
      </c>
      <c r="D403" s="14"/>
      <c r="E403" s="14"/>
      <c r="F403" s="16">
        <v>44214</v>
      </c>
      <c r="G403" s="8" t="s">
        <v>4115</v>
      </c>
      <c r="H403" s="15" t="s">
        <v>3140</v>
      </c>
      <c r="I403" s="14"/>
      <c r="J403" s="14"/>
      <c r="K403" s="17" t="s">
        <v>4123</v>
      </c>
      <c r="L403" s="14"/>
      <c r="M403" s="16">
        <v>41911</v>
      </c>
      <c r="N403" s="15" t="s">
        <v>4124</v>
      </c>
      <c r="O403" s="15" t="s">
        <v>3144</v>
      </c>
      <c r="P403" s="15" t="s">
        <v>3175</v>
      </c>
      <c r="Q403" s="15" t="s">
        <v>4125</v>
      </c>
      <c r="R403" s="15">
        <v>2001</v>
      </c>
      <c r="S403" s="15" t="s">
        <v>4126</v>
      </c>
      <c r="T403" s="14"/>
      <c r="U403" s="15" t="s">
        <v>4127</v>
      </c>
      <c r="V403" s="17" t="s">
        <v>4123</v>
      </c>
    </row>
    <row r="404" spans="1:22" x14ac:dyDescent="0.2">
      <c r="A404" s="13"/>
      <c r="B404" s="15"/>
      <c r="C404" s="15"/>
      <c r="D404" s="14"/>
      <c r="E404" s="14"/>
      <c r="F404" s="16"/>
      <c r="G404" s="8" t="s">
        <v>4116</v>
      </c>
      <c r="H404" s="15"/>
      <c r="I404" s="14"/>
      <c r="J404" s="14"/>
      <c r="K404" s="17"/>
      <c r="L404" s="14"/>
      <c r="M404" s="16"/>
      <c r="N404" s="15"/>
      <c r="O404" s="15"/>
      <c r="P404" s="15"/>
      <c r="Q404" s="15"/>
      <c r="R404" s="15"/>
      <c r="S404" s="15"/>
      <c r="T404" s="14"/>
      <c r="U404" s="15"/>
      <c r="V404" s="17"/>
    </row>
    <row r="405" spans="1:22" x14ac:dyDescent="0.2">
      <c r="A405" s="13"/>
      <c r="B405" s="15"/>
      <c r="C405" s="15"/>
      <c r="D405" s="14"/>
      <c r="E405" s="14"/>
      <c r="F405" s="16"/>
      <c r="G405" s="8" t="s">
        <v>4117</v>
      </c>
      <c r="H405" s="15"/>
      <c r="I405" s="14"/>
      <c r="J405" s="14"/>
      <c r="K405" s="17"/>
      <c r="L405" s="14"/>
      <c r="M405" s="16"/>
      <c r="N405" s="15"/>
      <c r="O405" s="15"/>
      <c r="P405" s="15"/>
      <c r="Q405" s="15"/>
      <c r="R405" s="15"/>
      <c r="S405" s="15"/>
      <c r="T405" s="14"/>
      <c r="U405" s="15"/>
      <c r="V405" s="17"/>
    </row>
    <row r="406" spans="1:22" x14ac:dyDescent="0.2">
      <c r="A406" s="13"/>
      <c r="B406" s="15"/>
      <c r="C406" s="15"/>
      <c r="D406" s="14"/>
      <c r="E406" s="14"/>
      <c r="F406" s="16"/>
      <c r="G406" s="8" t="s">
        <v>4118</v>
      </c>
      <c r="H406" s="15"/>
      <c r="I406" s="14"/>
      <c r="J406" s="14"/>
      <c r="K406" s="17"/>
      <c r="L406" s="14"/>
      <c r="M406" s="16"/>
      <c r="N406" s="15"/>
      <c r="O406" s="15"/>
      <c r="P406" s="15"/>
      <c r="Q406" s="15"/>
      <c r="R406" s="15"/>
      <c r="S406" s="15"/>
      <c r="T406" s="14"/>
      <c r="U406" s="15"/>
      <c r="V406" s="17"/>
    </row>
    <row r="407" spans="1:22" x14ac:dyDescent="0.2">
      <c r="A407" s="13"/>
      <c r="B407" s="15"/>
      <c r="C407" s="15"/>
      <c r="D407" s="14"/>
      <c r="E407" s="14"/>
      <c r="F407" s="16"/>
      <c r="G407" s="11" t="s">
        <v>4119</v>
      </c>
      <c r="H407" s="15"/>
      <c r="I407" s="14"/>
      <c r="J407" s="14"/>
      <c r="K407" s="17"/>
      <c r="L407" s="14"/>
      <c r="M407" s="16"/>
      <c r="N407" s="15"/>
      <c r="O407" s="15"/>
      <c r="P407" s="15"/>
      <c r="Q407" s="15"/>
      <c r="R407" s="15"/>
      <c r="S407" s="15"/>
      <c r="T407" s="14"/>
      <c r="U407" s="15"/>
      <c r="V407" s="17"/>
    </row>
    <row r="408" spans="1:22" x14ac:dyDescent="0.2">
      <c r="A408" s="13"/>
      <c r="B408" s="15"/>
      <c r="C408" s="15"/>
      <c r="D408" s="14"/>
      <c r="E408" s="14"/>
      <c r="F408" s="16"/>
      <c r="G408" s="8" t="s">
        <v>4120</v>
      </c>
      <c r="H408" s="15"/>
      <c r="I408" s="14"/>
      <c r="J408" s="14"/>
      <c r="K408" s="17"/>
      <c r="L408" s="14"/>
      <c r="M408" s="16"/>
      <c r="N408" s="15"/>
      <c r="O408" s="15"/>
      <c r="P408" s="15"/>
      <c r="Q408" s="15"/>
      <c r="R408" s="15"/>
      <c r="S408" s="15"/>
      <c r="T408" s="14"/>
      <c r="U408" s="15"/>
      <c r="V408" s="17"/>
    </row>
    <row r="409" spans="1:22" x14ac:dyDescent="0.2">
      <c r="A409" s="13"/>
      <c r="B409" s="15"/>
      <c r="C409" s="15"/>
      <c r="D409" s="14"/>
      <c r="E409" s="14"/>
      <c r="F409" s="16"/>
      <c r="H409" s="15"/>
      <c r="I409" s="14"/>
      <c r="J409" s="14"/>
      <c r="K409" s="17"/>
      <c r="L409" s="14"/>
      <c r="M409" s="16"/>
      <c r="N409" s="15"/>
      <c r="O409" s="15"/>
      <c r="P409" s="15"/>
      <c r="Q409" s="15"/>
      <c r="R409" s="15"/>
      <c r="S409" s="15"/>
      <c r="T409" s="14"/>
      <c r="U409" s="15"/>
      <c r="V409" s="17"/>
    </row>
    <row r="410" spans="1:22" x14ac:dyDescent="0.2">
      <c r="A410" s="13"/>
      <c r="B410" s="15"/>
      <c r="C410" s="15"/>
      <c r="D410" s="14"/>
      <c r="E410" s="14"/>
      <c r="F410" s="16"/>
      <c r="H410" s="15"/>
      <c r="I410" s="14"/>
      <c r="J410" s="14"/>
      <c r="K410" s="17"/>
      <c r="L410" s="14"/>
      <c r="M410" s="16"/>
      <c r="N410" s="15"/>
      <c r="O410" s="15"/>
      <c r="P410" s="15"/>
      <c r="Q410" s="15"/>
      <c r="R410" s="15"/>
      <c r="S410" s="15"/>
      <c r="T410" s="14"/>
      <c r="U410" s="15"/>
      <c r="V410" s="17"/>
    </row>
    <row r="411" spans="1:22" x14ac:dyDescent="0.2">
      <c r="A411" s="13"/>
      <c r="B411" s="15"/>
      <c r="C411" s="15"/>
      <c r="D411" s="14"/>
      <c r="E411" s="14"/>
      <c r="F411" s="16"/>
      <c r="H411" s="15"/>
      <c r="I411" s="14"/>
      <c r="J411" s="14"/>
      <c r="K411" s="17"/>
      <c r="L411" s="14"/>
      <c r="M411" s="16"/>
      <c r="N411" s="15"/>
      <c r="O411" s="15"/>
      <c r="P411" s="15"/>
      <c r="Q411" s="15"/>
      <c r="R411" s="15"/>
      <c r="S411" s="15"/>
      <c r="T411" s="14"/>
      <c r="U411" s="15"/>
      <c r="V411" s="17"/>
    </row>
    <row r="412" spans="1:22" x14ac:dyDescent="0.2">
      <c r="A412" s="13"/>
      <c r="B412" s="15"/>
      <c r="C412" s="15"/>
      <c r="D412" s="14"/>
      <c r="E412" s="14"/>
      <c r="F412" s="16"/>
      <c r="G412" s="8" t="s">
        <v>4121</v>
      </c>
      <c r="H412" s="15"/>
      <c r="I412" s="14"/>
      <c r="J412" s="14"/>
      <c r="K412" s="17"/>
      <c r="L412" s="14"/>
      <c r="M412" s="16"/>
      <c r="N412" s="15"/>
      <c r="O412" s="15"/>
      <c r="P412" s="15"/>
      <c r="Q412" s="15"/>
      <c r="R412" s="15"/>
      <c r="S412" s="15"/>
      <c r="T412" s="14"/>
      <c r="U412" s="15"/>
      <c r="V412" s="17"/>
    </row>
    <row r="413" spans="1:22" x14ac:dyDescent="0.2">
      <c r="A413" s="13"/>
      <c r="B413" s="15"/>
      <c r="C413" s="15"/>
      <c r="D413" s="14"/>
      <c r="E413" s="14"/>
      <c r="F413" s="16"/>
      <c r="G413" s="8" t="s">
        <v>4122</v>
      </c>
      <c r="H413" s="15"/>
      <c r="I413" s="14"/>
      <c r="J413" s="14"/>
      <c r="K413" s="17"/>
      <c r="L413" s="14"/>
      <c r="M413" s="16"/>
      <c r="N413" s="15"/>
      <c r="O413" s="15"/>
      <c r="P413" s="15"/>
      <c r="Q413" s="15"/>
      <c r="R413" s="15"/>
      <c r="S413" s="15"/>
      <c r="T413" s="14"/>
      <c r="U413" s="15"/>
      <c r="V413" s="17"/>
    </row>
    <row r="414" spans="1:22" ht="16" x14ac:dyDescent="0.2">
      <c r="A414" s="7" t="s">
        <v>2701</v>
      </c>
      <c r="B414" s="9"/>
      <c r="C414" s="8" t="s">
        <v>4128</v>
      </c>
      <c r="D414" s="9"/>
      <c r="E414" s="9"/>
      <c r="F414" s="10">
        <v>45351</v>
      </c>
      <c r="G414" s="9"/>
      <c r="H414" s="8" t="s">
        <v>3140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16" x14ac:dyDescent="0.2">
      <c r="A415" s="7" t="s">
        <v>2519</v>
      </c>
      <c r="B415" s="8" t="s">
        <v>4129</v>
      </c>
      <c r="C415" s="8" t="s">
        <v>4130</v>
      </c>
      <c r="D415" s="9"/>
      <c r="E415" s="9"/>
      <c r="F415" s="10">
        <v>45261</v>
      </c>
      <c r="G415" s="9"/>
      <c r="H415" s="8" t="s">
        <v>3140</v>
      </c>
      <c r="I415" s="9"/>
      <c r="J415" s="9"/>
      <c r="K415" s="11" t="s">
        <v>4131</v>
      </c>
      <c r="L415" s="8" t="s">
        <v>4132</v>
      </c>
      <c r="M415" s="10">
        <v>39692</v>
      </c>
      <c r="N415" s="8" t="s">
        <v>3367</v>
      </c>
      <c r="O415" s="8" t="s">
        <v>3144</v>
      </c>
      <c r="P415" s="8" t="s">
        <v>3175</v>
      </c>
      <c r="Q415" s="8" t="s">
        <v>3351</v>
      </c>
      <c r="R415" s="8">
        <v>398</v>
      </c>
      <c r="S415" s="8" t="s">
        <v>3352</v>
      </c>
      <c r="T415" s="9"/>
      <c r="U415" s="9"/>
      <c r="V415" s="9"/>
    </row>
    <row r="416" spans="1:22" ht="16" x14ac:dyDescent="0.2">
      <c r="A416" s="7" t="s">
        <v>2315</v>
      </c>
      <c r="B416" s="9"/>
      <c r="C416" s="9"/>
      <c r="D416" s="8" t="s">
        <v>4133</v>
      </c>
      <c r="E416" s="9"/>
      <c r="F416" s="10">
        <v>45229</v>
      </c>
      <c r="G416" s="9"/>
      <c r="H416" s="8" t="s">
        <v>3140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x14ac:dyDescent="0.2">
      <c r="A417" s="13" t="s">
        <v>1305</v>
      </c>
      <c r="B417" s="15" t="s">
        <v>4134</v>
      </c>
      <c r="C417" s="15" t="s">
        <v>4135</v>
      </c>
      <c r="D417" s="14"/>
      <c r="E417" s="14"/>
      <c r="F417" s="16">
        <v>44231</v>
      </c>
      <c r="G417" s="8" t="s">
        <v>4136</v>
      </c>
      <c r="H417" s="15" t="s">
        <v>3140</v>
      </c>
      <c r="I417" s="14"/>
      <c r="J417" s="14"/>
      <c r="K417" s="17" t="s">
        <v>4140</v>
      </c>
      <c r="L417" s="15" t="s">
        <v>4141</v>
      </c>
      <c r="M417" s="16">
        <v>41445</v>
      </c>
      <c r="N417" s="15" t="s">
        <v>4142</v>
      </c>
      <c r="O417" s="15" t="s">
        <v>3144</v>
      </c>
      <c r="P417" s="15" t="s">
        <v>3982</v>
      </c>
      <c r="Q417" s="15" t="s">
        <v>4143</v>
      </c>
      <c r="R417" s="15">
        <v>135</v>
      </c>
      <c r="S417" s="15" t="s">
        <v>4144</v>
      </c>
      <c r="T417" s="14"/>
      <c r="U417" s="15" t="s">
        <v>4145</v>
      </c>
      <c r="V417" s="17" t="s">
        <v>4140</v>
      </c>
    </row>
    <row r="418" spans="1:22" x14ac:dyDescent="0.2">
      <c r="A418" s="13"/>
      <c r="B418" s="15"/>
      <c r="C418" s="15"/>
      <c r="D418" s="14"/>
      <c r="E418" s="14"/>
      <c r="F418" s="16"/>
      <c r="G418" s="8" t="s">
        <v>4137</v>
      </c>
      <c r="H418" s="15"/>
      <c r="I418" s="14"/>
      <c r="J418" s="14"/>
      <c r="K418" s="17"/>
      <c r="L418" s="15"/>
      <c r="M418" s="16"/>
      <c r="N418" s="15"/>
      <c r="O418" s="15"/>
      <c r="P418" s="15"/>
      <c r="Q418" s="15"/>
      <c r="R418" s="15"/>
      <c r="S418" s="15"/>
      <c r="T418" s="14"/>
      <c r="U418" s="15"/>
      <c r="V418" s="17"/>
    </row>
    <row r="419" spans="1:22" x14ac:dyDescent="0.2">
      <c r="A419" s="13"/>
      <c r="B419" s="15"/>
      <c r="C419" s="15"/>
      <c r="D419" s="14"/>
      <c r="E419" s="14"/>
      <c r="F419" s="16"/>
      <c r="G419" s="8" t="s">
        <v>4138</v>
      </c>
      <c r="H419" s="15"/>
      <c r="I419" s="14"/>
      <c r="J419" s="14"/>
      <c r="K419" s="17"/>
      <c r="L419" s="15"/>
      <c r="M419" s="16"/>
      <c r="N419" s="15"/>
      <c r="O419" s="15"/>
      <c r="P419" s="15"/>
      <c r="Q419" s="15"/>
      <c r="R419" s="15"/>
      <c r="S419" s="15"/>
      <c r="T419" s="14"/>
      <c r="U419" s="15"/>
      <c r="V419" s="17"/>
    </row>
    <row r="420" spans="1:22" x14ac:dyDescent="0.2">
      <c r="A420" s="13"/>
      <c r="B420" s="15"/>
      <c r="C420" s="15"/>
      <c r="D420" s="14"/>
      <c r="E420" s="14"/>
      <c r="F420" s="16"/>
      <c r="G420" s="8" t="s">
        <v>4139</v>
      </c>
      <c r="H420" s="15"/>
      <c r="I420" s="14"/>
      <c r="J420" s="14"/>
      <c r="K420" s="17"/>
      <c r="L420" s="15"/>
      <c r="M420" s="16"/>
      <c r="N420" s="15"/>
      <c r="O420" s="15"/>
      <c r="P420" s="15"/>
      <c r="Q420" s="15"/>
      <c r="R420" s="15"/>
      <c r="S420" s="15"/>
      <c r="T420" s="14"/>
      <c r="U420" s="15"/>
      <c r="V420" s="17"/>
    </row>
    <row r="421" spans="1:22" ht="16" x14ac:dyDescent="0.2">
      <c r="A421" s="7" t="s">
        <v>1424</v>
      </c>
      <c r="B421" s="9"/>
      <c r="C421" s="8" t="s">
        <v>4146</v>
      </c>
      <c r="D421" s="9"/>
      <c r="E421" s="9"/>
      <c r="F421" s="10">
        <v>44845</v>
      </c>
      <c r="G421" s="9"/>
      <c r="H421" s="8" t="s">
        <v>3140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8" t="s">
        <v>4147</v>
      </c>
      <c r="V421" s="9"/>
    </row>
    <row r="422" spans="1:22" ht="16" x14ac:dyDescent="0.2">
      <c r="A422" s="7" t="s">
        <v>1942</v>
      </c>
      <c r="B422" s="8" t="s">
        <v>4148</v>
      </c>
      <c r="C422" s="8" t="s">
        <v>4149</v>
      </c>
      <c r="D422" s="9"/>
      <c r="E422" s="9"/>
      <c r="F422" s="10">
        <v>45083</v>
      </c>
      <c r="G422" s="9"/>
      <c r="H422" s="8" t="s">
        <v>3140</v>
      </c>
      <c r="I422" s="9"/>
      <c r="J422" s="9"/>
      <c r="K422" s="11" t="s">
        <v>3987</v>
      </c>
      <c r="L422" s="8" t="s">
        <v>3988</v>
      </c>
      <c r="M422" s="10">
        <v>41955</v>
      </c>
      <c r="N422" s="8" t="s">
        <v>4150</v>
      </c>
      <c r="O422" s="8" t="s">
        <v>3144</v>
      </c>
      <c r="P422" s="8" t="s">
        <v>4151</v>
      </c>
      <c r="Q422" s="8" t="s">
        <v>4152</v>
      </c>
      <c r="R422" s="8">
        <v>207</v>
      </c>
      <c r="S422" s="8" t="s">
        <v>3185</v>
      </c>
      <c r="T422" s="9"/>
      <c r="U422" s="9"/>
      <c r="V422" s="9"/>
    </row>
    <row r="423" spans="1:22" x14ac:dyDescent="0.2">
      <c r="A423" s="13" t="s">
        <v>1719</v>
      </c>
      <c r="B423" s="15" t="s">
        <v>4153</v>
      </c>
      <c r="C423" s="15" t="s">
        <v>4154</v>
      </c>
      <c r="D423" s="14"/>
      <c r="E423" s="14"/>
      <c r="F423" s="16">
        <v>44391</v>
      </c>
      <c r="G423" s="8" t="s">
        <v>3610</v>
      </c>
      <c r="H423" s="15" t="s">
        <v>3140</v>
      </c>
      <c r="I423" s="14"/>
      <c r="J423" s="14"/>
      <c r="K423" s="17" t="s">
        <v>4161</v>
      </c>
      <c r="L423" s="15" t="s">
        <v>4162</v>
      </c>
      <c r="M423" s="16">
        <v>39626</v>
      </c>
      <c r="N423" s="15" t="s">
        <v>4163</v>
      </c>
      <c r="O423" s="15" t="s">
        <v>3144</v>
      </c>
      <c r="P423" s="15" t="s">
        <v>3175</v>
      </c>
      <c r="Q423" s="15" t="s">
        <v>4164</v>
      </c>
      <c r="R423" s="15">
        <v>198</v>
      </c>
      <c r="S423" s="15" t="s">
        <v>4165</v>
      </c>
      <c r="T423" s="15" t="s">
        <v>4166</v>
      </c>
      <c r="U423" s="15" t="s">
        <v>4167</v>
      </c>
      <c r="V423" s="17" t="s">
        <v>4168</v>
      </c>
    </row>
    <row r="424" spans="1:22" x14ac:dyDescent="0.2">
      <c r="A424" s="13"/>
      <c r="B424" s="15"/>
      <c r="C424" s="15"/>
      <c r="D424" s="14"/>
      <c r="E424" s="14"/>
      <c r="F424" s="16"/>
      <c r="H424" s="15"/>
      <c r="I424" s="14"/>
      <c r="J424" s="14"/>
      <c r="K424" s="17"/>
      <c r="L424" s="15"/>
      <c r="M424" s="16"/>
      <c r="N424" s="15"/>
      <c r="O424" s="15"/>
      <c r="P424" s="15"/>
      <c r="Q424" s="15"/>
      <c r="R424" s="15"/>
      <c r="S424" s="15"/>
      <c r="T424" s="15"/>
      <c r="U424" s="15"/>
      <c r="V424" s="17"/>
    </row>
    <row r="425" spans="1:22" x14ac:dyDescent="0.2">
      <c r="A425" s="13"/>
      <c r="B425" s="15"/>
      <c r="C425" s="15"/>
      <c r="D425" s="14"/>
      <c r="E425" s="14"/>
      <c r="F425" s="16"/>
      <c r="G425" s="8" t="s">
        <v>4153</v>
      </c>
      <c r="H425" s="15"/>
      <c r="I425" s="14"/>
      <c r="J425" s="14"/>
      <c r="K425" s="17"/>
      <c r="L425" s="15"/>
      <c r="M425" s="16"/>
      <c r="N425" s="15"/>
      <c r="O425" s="15"/>
      <c r="P425" s="15"/>
      <c r="Q425" s="15"/>
      <c r="R425" s="15"/>
      <c r="S425" s="15"/>
      <c r="T425" s="15"/>
      <c r="U425" s="15"/>
      <c r="V425" s="17"/>
    </row>
    <row r="426" spans="1:22" x14ac:dyDescent="0.2">
      <c r="A426" s="13"/>
      <c r="B426" s="15"/>
      <c r="C426" s="15"/>
      <c r="D426" s="14"/>
      <c r="E426" s="14"/>
      <c r="F426" s="16"/>
      <c r="G426" s="8" t="s">
        <v>4155</v>
      </c>
      <c r="H426" s="15"/>
      <c r="I426" s="14"/>
      <c r="J426" s="14"/>
      <c r="K426" s="17"/>
      <c r="L426" s="15"/>
      <c r="M426" s="16"/>
      <c r="N426" s="15"/>
      <c r="O426" s="15"/>
      <c r="P426" s="15"/>
      <c r="Q426" s="15"/>
      <c r="R426" s="15"/>
      <c r="S426" s="15"/>
      <c r="T426" s="15"/>
      <c r="U426" s="15"/>
      <c r="V426" s="17"/>
    </row>
    <row r="427" spans="1:22" x14ac:dyDescent="0.2">
      <c r="A427" s="13"/>
      <c r="B427" s="15"/>
      <c r="C427" s="15"/>
      <c r="D427" s="14"/>
      <c r="E427" s="14"/>
      <c r="F427" s="16"/>
      <c r="G427" s="8" t="s">
        <v>4156</v>
      </c>
      <c r="H427" s="15"/>
      <c r="I427" s="14"/>
      <c r="J427" s="14"/>
      <c r="K427" s="17"/>
      <c r="L427" s="15"/>
      <c r="M427" s="16"/>
      <c r="N427" s="15"/>
      <c r="O427" s="15"/>
      <c r="P427" s="15"/>
      <c r="Q427" s="15"/>
      <c r="R427" s="15"/>
      <c r="S427" s="15"/>
      <c r="T427" s="15"/>
      <c r="U427" s="15"/>
      <c r="V427" s="17"/>
    </row>
    <row r="428" spans="1:22" x14ac:dyDescent="0.2">
      <c r="A428" s="13"/>
      <c r="B428" s="15"/>
      <c r="C428" s="15"/>
      <c r="D428" s="14"/>
      <c r="E428" s="14"/>
      <c r="F428" s="16"/>
      <c r="G428" s="8" t="s">
        <v>4157</v>
      </c>
      <c r="H428" s="15"/>
      <c r="I428" s="14"/>
      <c r="J428" s="14"/>
      <c r="K428" s="17"/>
      <c r="L428" s="15"/>
      <c r="M428" s="16"/>
      <c r="N428" s="15"/>
      <c r="O428" s="15"/>
      <c r="P428" s="15"/>
      <c r="Q428" s="15"/>
      <c r="R428" s="15"/>
      <c r="S428" s="15"/>
      <c r="T428" s="15"/>
      <c r="U428" s="15"/>
      <c r="V428" s="17"/>
    </row>
    <row r="429" spans="1:22" x14ac:dyDescent="0.2">
      <c r="A429" s="13"/>
      <c r="B429" s="15"/>
      <c r="C429" s="15"/>
      <c r="D429" s="14"/>
      <c r="E429" s="14"/>
      <c r="F429" s="16"/>
      <c r="G429" s="8" t="s">
        <v>4158</v>
      </c>
      <c r="H429" s="15"/>
      <c r="I429" s="14"/>
      <c r="J429" s="14"/>
      <c r="K429" s="17"/>
      <c r="L429" s="15"/>
      <c r="M429" s="16"/>
      <c r="N429" s="15"/>
      <c r="O429" s="15"/>
      <c r="P429" s="15"/>
      <c r="Q429" s="15"/>
      <c r="R429" s="15"/>
      <c r="S429" s="15"/>
      <c r="T429" s="15"/>
      <c r="U429" s="15"/>
      <c r="V429" s="17"/>
    </row>
    <row r="430" spans="1:22" x14ac:dyDescent="0.2">
      <c r="A430" s="13"/>
      <c r="B430" s="15"/>
      <c r="C430" s="15"/>
      <c r="D430" s="14"/>
      <c r="E430" s="14"/>
      <c r="F430" s="16"/>
      <c r="G430" s="8" t="s">
        <v>4159</v>
      </c>
      <c r="H430" s="15"/>
      <c r="I430" s="14"/>
      <c r="J430" s="14"/>
      <c r="K430" s="17"/>
      <c r="L430" s="15"/>
      <c r="M430" s="16"/>
      <c r="N430" s="15"/>
      <c r="O430" s="15"/>
      <c r="P430" s="15"/>
      <c r="Q430" s="15"/>
      <c r="R430" s="15"/>
      <c r="S430" s="15"/>
      <c r="T430" s="15"/>
      <c r="U430" s="15"/>
      <c r="V430" s="17"/>
    </row>
    <row r="431" spans="1:22" x14ac:dyDescent="0.2">
      <c r="A431" s="13"/>
      <c r="B431" s="15"/>
      <c r="C431" s="15"/>
      <c r="D431" s="14"/>
      <c r="E431" s="14"/>
      <c r="F431" s="16"/>
      <c r="G431" s="8" t="s">
        <v>4160</v>
      </c>
      <c r="H431" s="15"/>
      <c r="I431" s="14"/>
      <c r="J431" s="14"/>
      <c r="K431" s="17"/>
      <c r="L431" s="15"/>
      <c r="M431" s="16"/>
      <c r="N431" s="15"/>
      <c r="O431" s="15"/>
      <c r="P431" s="15"/>
      <c r="Q431" s="15"/>
      <c r="R431" s="15"/>
      <c r="S431" s="15"/>
      <c r="T431" s="15"/>
      <c r="U431" s="15"/>
      <c r="V431" s="17"/>
    </row>
    <row r="432" spans="1:22" x14ac:dyDescent="0.2">
      <c r="A432" s="13" t="s">
        <v>1516</v>
      </c>
      <c r="B432" s="15" t="s">
        <v>4169</v>
      </c>
      <c r="C432" s="15" t="s">
        <v>4170</v>
      </c>
      <c r="D432" s="14"/>
      <c r="E432" s="14"/>
      <c r="F432" s="16">
        <v>44873</v>
      </c>
      <c r="G432" s="8" t="s">
        <v>3610</v>
      </c>
      <c r="H432" s="15" t="s">
        <v>3140</v>
      </c>
      <c r="I432" s="14"/>
      <c r="J432" s="14"/>
      <c r="K432" s="17" t="s">
        <v>4178</v>
      </c>
      <c r="L432" s="15" t="s">
        <v>4162</v>
      </c>
      <c r="M432" s="16">
        <v>36643</v>
      </c>
      <c r="N432" s="15" t="s">
        <v>4163</v>
      </c>
      <c r="O432" s="15" t="s">
        <v>3144</v>
      </c>
      <c r="P432" s="15" t="s">
        <v>3175</v>
      </c>
      <c r="Q432" s="15" t="s">
        <v>4164</v>
      </c>
      <c r="R432" s="15">
        <v>186</v>
      </c>
      <c r="S432" s="15" t="s">
        <v>4165</v>
      </c>
      <c r="T432" s="14"/>
      <c r="U432" s="15" t="s">
        <v>4179</v>
      </c>
      <c r="V432" s="17" t="s">
        <v>4168</v>
      </c>
    </row>
    <row r="433" spans="1:22" x14ac:dyDescent="0.2">
      <c r="A433" s="13"/>
      <c r="B433" s="15"/>
      <c r="C433" s="15"/>
      <c r="D433" s="14"/>
      <c r="E433" s="14"/>
      <c r="F433" s="16"/>
      <c r="H433" s="15"/>
      <c r="I433" s="14"/>
      <c r="J433" s="14"/>
      <c r="K433" s="17"/>
      <c r="L433" s="15"/>
      <c r="M433" s="16"/>
      <c r="N433" s="15"/>
      <c r="O433" s="15"/>
      <c r="P433" s="15"/>
      <c r="Q433" s="15"/>
      <c r="R433" s="15"/>
      <c r="S433" s="15"/>
      <c r="T433" s="14"/>
      <c r="U433" s="15"/>
      <c r="V433" s="17"/>
    </row>
    <row r="434" spans="1:22" x14ac:dyDescent="0.2">
      <c r="A434" s="13"/>
      <c r="B434" s="15"/>
      <c r="C434" s="15"/>
      <c r="D434" s="14"/>
      <c r="E434" s="14"/>
      <c r="F434" s="16"/>
      <c r="G434" s="8" t="s">
        <v>4153</v>
      </c>
      <c r="H434" s="15"/>
      <c r="I434" s="14"/>
      <c r="J434" s="14"/>
      <c r="K434" s="17"/>
      <c r="L434" s="15"/>
      <c r="M434" s="16"/>
      <c r="N434" s="15"/>
      <c r="O434" s="15"/>
      <c r="P434" s="15"/>
      <c r="Q434" s="15"/>
      <c r="R434" s="15"/>
      <c r="S434" s="15"/>
      <c r="T434" s="14"/>
      <c r="U434" s="15"/>
      <c r="V434" s="17"/>
    </row>
    <row r="435" spans="1:22" x14ac:dyDescent="0.2">
      <c r="A435" s="13"/>
      <c r="B435" s="15"/>
      <c r="C435" s="15"/>
      <c r="D435" s="14"/>
      <c r="E435" s="14"/>
      <c r="F435" s="16"/>
      <c r="G435" s="8" t="s">
        <v>4155</v>
      </c>
      <c r="H435" s="15"/>
      <c r="I435" s="14"/>
      <c r="J435" s="14"/>
      <c r="K435" s="17"/>
      <c r="L435" s="15"/>
      <c r="M435" s="16"/>
      <c r="N435" s="15"/>
      <c r="O435" s="15"/>
      <c r="P435" s="15"/>
      <c r="Q435" s="15"/>
      <c r="R435" s="15"/>
      <c r="S435" s="15"/>
      <c r="T435" s="14"/>
      <c r="U435" s="15"/>
      <c r="V435" s="17"/>
    </row>
    <row r="436" spans="1:22" x14ac:dyDescent="0.2">
      <c r="A436" s="13"/>
      <c r="B436" s="15"/>
      <c r="C436" s="15"/>
      <c r="D436" s="14"/>
      <c r="E436" s="14"/>
      <c r="F436" s="16"/>
      <c r="G436" s="8" t="s">
        <v>4156</v>
      </c>
      <c r="H436" s="15"/>
      <c r="I436" s="14"/>
      <c r="J436" s="14"/>
      <c r="K436" s="17"/>
      <c r="L436" s="15"/>
      <c r="M436" s="16"/>
      <c r="N436" s="15"/>
      <c r="O436" s="15"/>
      <c r="P436" s="15"/>
      <c r="Q436" s="15"/>
      <c r="R436" s="15"/>
      <c r="S436" s="15"/>
      <c r="T436" s="14"/>
      <c r="U436" s="15"/>
      <c r="V436" s="17"/>
    </row>
    <row r="437" spans="1:22" x14ac:dyDescent="0.2">
      <c r="A437" s="13"/>
      <c r="B437" s="15"/>
      <c r="C437" s="15"/>
      <c r="D437" s="14"/>
      <c r="E437" s="14"/>
      <c r="F437" s="16"/>
      <c r="G437" s="8" t="s">
        <v>4157</v>
      </c>
      <c r="H437" s="15"/>
      <c r="I437" s="14"/>
      <c r="J437" s="14"/>
      <c r="K437" s="17"/>
      <c r="L437" s="15"/>
      <c r="M437" s="16"/>
      <c r="N437" s="15"/>
      <c r="O437" s="15"/>
      <c r="P437" s="15"/>
      <c r="Q437" s="15"/>
      <c r="R437" s="15"/>
      <c r="S437" s="15"/>
      <c r="T437" s="14"/>
      <c r="U437" s="15"/>
      <c r="V437" s="17"/>
    </row>
    <row r="438" spans="1:22" x14ac:dyDescent="0.2">
      <c r="A438" s="13"/>
      <c r="B438" s="15"/>
      <c r="C438" s="15"/>
      <c r="D438" s="14"/>
      <c r="E438" s="14"/>
      <c r="F438" s="16"/>
      <c r="G438" s="8" t="s">
        <v>4158</v>
      </c>
      <c r="H438" s="15"/>
      <c r="I438" s="14"/>
      <c r="J438" s="14"/>
      <c r="K438" s="17"/>
      <c r="L438" s="15"/>
      <c r="M438" s="16"/>
      <c r="N438" s="15"/>
      <c r="O438" s="15"/>
      <c r="P438" s="15"/>
      <c r="Q438" s="15"/>
      <c r="R438" s="15"/>
      <c r="S438" s="15"/>
      <c r="T438" s="14"/>
      <c r="U438" s="15"/>
      <c r="V438" s="17"/>
    </row>
    <row r="439" spans="1:22" x14ac:dyDescent="0.2">
      <c r="A439" s="13"/>
      <c r="B439" s="15"/>
      <c r="C439" s="15"/>
      <c r="D439" s="14"/>
      <c r="E439" s="14"/>
      <c r="F439" s="16"/>
      <c r="G439" s="8" t="s">
        <v>4159</v>
      </c>
      <c r="H439" s="15"/>
      <c r="I439" s="14"/>
      <c r="J439" s="14"/>
      <c r="K439" s="17"/>
      <c r="L439" s="15"/>
      <c r="M439" s="16"/>
      <c r="N439" s="15"/>
      <c r="O439" s="15"/>
      <c r="P439" s="15"/>
      <c r="Q439" s="15"/>
      <c r="R439" s="15"/>
      <c r="S439" s="15"/>
      <c r="T439" s="14"/>
      <c r="U439" s="15"/>
      <c r="V439" s="17"/>
    </row>
    <row r="440" spans="1:22" x14ac:dyDescent="0.2">
      <c r="A440" s="13"/>
      <c r="B440" s="15"/>
      <c r="C440" s="15"/>
      <c r="D440" s="14"/>
      <c r="E440" s="14"/>
      <c r="F440" s="16"/>
      <c r="G440" s="8" t="s">
        <v>3863</v>
      </c>
      <c r="H440" s="15"/>
      <c r="I440" s="14"/>
      <c r="J440" s="14"/>
      <c r="K440" s="17"/>
      <c r="L440" s="15"/>
      <c r="M440" s="16"/>
      <c r="N440" s="15"/>
      <c r="O440" s="15"/>
      <c r="P440" s="15"/>
      <c r="Q440" s="15"/>
      <c r="R440" s="15"/>
      <c r="S440" s="15"/>
      <c r="T440" s="14"/>
      <c r="U440" s="15"/>
      <c r="V440" s="17"/>
    </row>
    <row r="441" spans="1:22" x14ac:dyDescent="0.2">
      <c r="A441" s="13"/>
      <c r="B441" s="15"/>
      <c r="C441" s="15"/>
      <c r="D441" s="14"/>
      <c r="E441" s="14"/>
      <c r="F441" s="16"/>
      <c r="H441" s="15"/>
      <c r="I441" s="14"/>
      <c r="J441" s="14"/>
      <c r="K441" s="17"/>
      <c r="L441" s="15"/>
      <c r="M441" s="16"/>
      <c r="N441" s="15"/>
      <c r="O441" s="15"/>
      <c r="P441" s="15"/>
      <c r="Q441" s="15"/>
      <c r="R441" s="15"/>
      <c r="S441" s="15"/>
      <c r="T441" s="14"/>
      <c r="U441" s="15"/>
      <c r="V441" s="17"/>
    </row>
    <row r="442" spans="1:22" x14ac:dyDescent="0.2">
      <c r="A442" s="13"/>
      <c r="B442" s="15"/>
      <c r="C442" s="15"/>
      <c r="D442" s="14"/>
      <c r="E442" s="14"/>
      <c r="F442" s="16"/>
      <c r="G442" s="8" t="s">
        <v>4171</v>
      </c>
      <c r="H442" s="15"/>
      <c r="I442" s="14"/>
      <c r="J442" s="14"/>
      <c r="K442" s="17"/>
      <c r="L442" s="15"/>
      <c r="M442" s="16"/>
      <c r="N442" s="15"/>
      <c r="O442" s="15"/>
      <c r="P442" s="15"/>
      <c r="Q442" s="15"/>
      <c r="R442" s="15"/>
      <c r="S442" s="15"/>
      <c r="T442" s="14"/>
      <c r="U442" s="15"/>
      <c r="V442" s="17"/>
    </row>
    <row r="443" spans="1:22" x14ac:dyDescent="0.2">
      <c r="A443" s="13"/>
      <c r="B443" s="15"/>
      <c r="C443" s="15"/>
      <c r="D443" s="14"/>
      <c r="E443" s="14"/>
      <c r="F443" s="16"/>
      <c r="G443" s="8" t="s">
        <v>4172</v>
      </c>
      <c r="H443" s="15"/>
      <c r="I443" s="14"/>
      <c r="J443" s="14"/>
      <c r="K443" s="17"/>
      <c r="L443" s="15"/>
      <c r="M443" s="16"/>
      <c r="N443" s="15"/>
      <c r="O443" s="15"/>
      <c r="P443" s="15"/>
      <c r="Q443" s="15"/>
      <c r="R443" s="15"/>
      <c r="S443" s="15"/>
      <c r="T443" s="14"/>
      <c r="U443" s="15"/>
      <c r="V443" s="17"/>
    </row>
    <row r="444" spans="1:22" x14ac:dyDescent="0.2">
      <c r="A444" s="13"/>
      <c r="B444" s="15"/>
      <c r="C444" s="15"/>
      <c r="D444" s="14"/>
      <c r="E444" s="14"/>
      <c r="F444" s="16"/>
      <c r="G444" s="8" t="s">
        <v>4173</v>
      </c>
      <c r="H444" s="15"/>
      <c r="I444" s="14"/>
      <c r="J444" s="14"/>
      <c r="K444" s="17"/>
      <c r="L444" s="15"/>
      <c r="M444" s="16"/>
      <c r="N444" s="15"/>
      <c r="O444" s="15"/>
      <c r="P444" s="15"/>
      <c r="Q444" s="15"/>
      <c r="R444" s="15"/>
      <c r="S444" s="15"/>
      <c r="T444" s="14"/>
      <c r="U444" s="15"/>
      <c r="V444" s="17"/>
    </row>
    <row r="445" spans="1:22" x14ac:dyDescent="0.2">
      <c r="A445" s="13"/>
      <c r="B445" s="15"/>
      <c r="C445" s="15"/>
      <c r="D445" s="14"/>
      <c r="E445" s="14"/>
      <c r="F445" s="16"/>
      <c r="G445" s="8" t="s">
        <v>4174</v>
      </c>
      <c r="H445" s="15"/>
      <c r="I445" s="14"/>
      <c r="J445" s="14"/>
      <c r="K445" s="17"/>
      <c r="L445" s="15"/>
      <c r="M445" s="16"/>
      <c r="N445" s="15"/>
      <c r="O445" s="15"/>
      <c r="P445" s="15"/>
      <c r="Q445" s="15"/>
      <c r="R445" s="15"/>
      <c r="S445" s="15"/>
      <c r="T445" s="14"/>
      <c r="U445" s="15"/>
      <c r="V445" s="17"/>
    </row>
    <row r="446" spans="1:22" x14ac:dyDescent="0.2">
      <c r="A446" s="13"/>
      <c r="B446" s="15"/>
      <c r="C446" s="15"/>
      <c r="D446" s="14"/>
      <c r="E446" s="14"/>
      <c r="F446" s="16"/>
      <c r="G446" s="8" t="s">
        <v>4175</v>
      </c>
      <c r="H446" s="15"/>
      <c r="I446" s="14"/>
      <c r="J446" s="14"/>
      <c r="K446" s="17"/>
      <c r="L446" s="15"/>
      <c r="M446" s="16"/>
      <c r="N446" s="15"/>
      <c r="O446" s="15"/>
      <c r="P446" s="15"/>
      <c r="Q446" s="15"/>
      <c r="R446" s="15"/>
      <c r="S446" s="15"/>
      <c r="T446" s="14"/>
      <c r="U446" s="15"/>
      <c r="V446" s="17"/>
    </row>
    <row r="447" spans="1:22" x14ac:dyDescent="0.2">
      <c r="A447" s="13"/>
      <c r="B447" s="15"/>
      <c r="C447" s="15"/>
      <c r="D447" s="14"/>
      <c r="E447" s="14"/>
      <c r="F447" s="16"/>
      <c r="G447" s="8" t="s">
        <v>4176</v>
      </c>
      <c r="H447" s="15"/>
      <c r="I447" s="14"/>
      <c r="J447" s="14"/>
      <c r="K447" s="17"/>
      <c r="L447" s="15"/>
      <c r="M447" s="16"/>
      <c r="N447" s="15"/>
      <c r="O447" s="15"/>
      <c r="P447" s="15"/>
      <c r="Q447" s="15"/>
      <c r="R447" s="15"/>
      <c r="S447" s="15"/>
      <c r="T447" s="14"/>
      <c r="U447" s="15"/>
      <c r="V447" s="17"/>
    </row>
    <row r="448" spans="1:22" x14ac:dyDescent="0.2">
      <c r="A448" s="13"/>
      <c r="B448" s="15"/>
      <c r="C448" s="15"/>
      <c r="D448" s="14"/>
      <c r="E448" s="14"/>
      <c r="F448" s="16"/>
      <c r="G448" s="8" t="s">
        <v>4177</v>
      </c>
      <c r="H448" s="15"/>
      <c r="I448" s="14"/>
      <c r="J448" s="14"/>
      <c r="K448" s="17"/>
      <c r="L448" s="15"/>
      <c r="M448" s="16"/>
      <c r="N448" s="15"/>
      <c r="O448" s="15"/>
      <c r="P448" s="15"/>
      <c r="Q448" s="15"/>
      <c r="R448" s="15"/>
      <c r="S448" s="15"/>
      <c r="T448" s="14"/>
      <c r="U448" s="15"/>
      <c r="V448" s="17"/>
    </row>
    <row r="449" spans="1:22" ht="16" x14ac:dyDescent="0.2">
      <c r="A449" s="7" t="s">
        <v>1429</v>
      </c>
      <c r="B449" s="8" t="s">
        <v>4180</v>
      </c>
      <c r="C449" s="8" t="s">
        <v>4181</v>
      </c>
      <c r="D449" s="9"/>
      <c r="E449" s="9"/>
      <c r="F449" s="10">
        <v>44804</v>
      </c>
      <c r="G449" s="8" t="s">
        <v>4182</v>
      </c>
      <c r="H449" s="8" t="s">
        <v>3140</v>
      </c>
      <c r="I449" s="9"/>
      <c r="J449" s="9"/>
      <c r="K449" s="11" t="s">
        <v>4183</v>
      </c>
      <c r="L449" s="8" t="s">
        <v>4184</v>
      </c>
      <c r="M449" s="10">
        <v>34919</v>
      </c>
      <c r="N449" s="8" t="s">
        <v>3350</v>
      </c>
      <c r="O449" s="8" t="s">
        <v>3144</v>
      </c>
      <c r="P449" s="8" t="s">
        <v>3175</v>
      </c>
      <c r="Q449" s="8" t="s">
        <v>3351</v>
      </c>
      <c r="R449" s="8">
        <v>1742</v>
      </c>
      <c r="S449" s="8" t="s">
        <v>3692</v>
      </c>
      <c r="T449" s="9"/>
      <c r="U449" s="8" t="s">
        <v>4185</v>
      </c>
      <c r="V449" s="11" t="s">
        <v>4186</v>
      </c>
    </row>
    <row r="450" spans="1:22" ht="16" x14ac:dyDescent="0.2">
      <c r="A450" s="7" t="s">
        <v>2523</v>
      </c>
      <c r="B450" s="8" t="s">
        <v>2523</v>
      </c>
      <c r="C450" s="8" t="s">
        <v>4187</v>
      </c>
      <c r="D450" s="9"/>
      <c r="E450" s="9"/>
      <c r="F450" s="10">
        <v>45274</v>
      </c>
      <c r="G450" s="9"/>
      <c r="H450" s="8" t="s">
        <v>3140</v>
      </c>
      <c r="I450" s="9"/>
      <c r="J450" s="8">
        <v>136310464113</v>
      </c>
      <c r="K450" s="11" t="s">
        <v>4188</v>
      </c>
      <c r="L450" s="8" t="s">
        <v>4189</v>
      </c>
      <c r="M450" s="10">
        <v>34382</v>
      </c>
      <c r="N450" s="8" t="s">
        <v>4190</v>
      </c>
      <c r="O450" s="8" t="s">
        <v>3144</v>
      </c>
      <c r="P450" s="8" t="s">
        <v>3175</v>
      </c>
      <c r="Q450" s="8" t="s">
        <v>4191</v>
      </c>
      <c r="R450" s="8">
        <v>56</v>
      </c>
      <c r="S450" s="8" t="s">
        <v>4192</v>
      </c>
      <c r="T450" s="9"/>
      <c r="U450" s="9"/>
      <c r="V450" s="9"/>
    </row>
    <row r="451" spans="1:22" ht="16" x14ac:dyDescent="0.2">
      <c r="A451" s="7" t="s">
        <v>121</v>
      </c>
      <c r="B451" s="9"/>
      <c r="C451" s="9"/>
      <c r="D451" s="9"/>
      <c r="E451" s="9"/>
      <c r="F451" s="10">
        <v>44320</v>
      </c>
      <c r="G451" s="9"/>
      <c r="H451" s="8" t="s">
        <v>3140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ht="16" x14ac:dyDescent="0.2">
      <c r="A452" s="7" t="s">
        <v>292</v>
      </c>
      <c r="B452" s="9"/>
      <c r="C452" s="9"/>
      <c r="D452" s="9"/>
      <c r="E452" s="9"/>
      <c r="F452" s="10">
        <v>44390</v>
      </c>
      <c r="G452" s="9"/>
      <c r="H452" s="8" t="s">
        <v>3140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ht="16" x14ac:dyDescent="0.2">
      <c r="A453" s="7" t="s">
        <v>49</v>
      </c>
      <c r="B453" s="9"/>
      <c r="C453" s="9"/>
      <c r="D453" s="9"/>
      <c r="E453" s="9"/>
      <c r="F453" s="10">
        <v>44293</v>
      </c>
      <c r="G453" s="9"/>
      <c r="H453" s="8" t="s">
        <v>3140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ht="16" x14ac:dyDescent="0.2">
      <c r="A454" s="7" t="s">
        <v>2736</v>
      </c>
      <c r="B454" s="9"/>
      <c r="C454" s="9"/>
      <c r="D454" s="8" t="s">
        <v>4193</v>
      </c>
      <c r="E454" s="9"/>
      <c r="F454" s="10">
        <v>45359</v>
      </c>
      <c r="G454" s="9"/>
      <c r="H454" s="8" t="s">
        <v>3140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ht="16" x14ac:dyDescent="0.2">
      <c r="A455" s="7" t="s">
        <v>395</v>
      </c>
      <c r="B455" s="9"/>
      <c r="C455" s="9"/>
      <c r="D455" s="9"/>
      <c r="E455" s="9"/>
      <c r="F455" s="10">
        <v>44426</v>
      </c>
      <c r="G455" s="9"/>
      <c r="H455" s="8" t="s">
        <v>3140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ht="16" x14ac:dyDescent="0.2">
      <c r="A456" s="7" t="s">
        <v>917</v>
      </c>
      <c r="B456" s="9"/>
      <c r="C456" s="9"/>
      <c r="D456" s="9"/>
      <c r="E456" s="9"/>
      <c r="F456" s="10">
        <v>44685</v>
      </c>
      <c r="G456" s="9"/>
      <c r="H456" s="8" t="s">
        <v>3140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ht="16" x14ac:dyDescent="0.2">
      <c r="A457" s="7" t="s">
        <v>4194</v>
      </c>
      <c r="B457" s="9"/>
      <c r="C457" s="9"/>
      <c r="D457" s="9"/>
      <c r="E457" s="9"/>
      <c r="F457" s="10">
        <v>45050</v>
      </c>
      <c r="G457" s="9"/>
      <c r="H457" s="8" t="s">
        <v>3140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ht="16" x14ac:dyDescent="0.2">
      <c r="A458" s="7" t="s">
        <v>1811</v>
      </c>
      <c r="B458" s="9"/>
      <c r="C458" s="9"/>
      <c r="D458" s="8" t="s">
        <v>4195</v>
      </c>
      <c r="E458" s="9"/>
      <c r="F458" s="10">
        <v>45027</v>
      </c>
      <c r="G458" s="8" t="s">
        <v>4196</v>
      </c>
      <c r="H458" s="8" t="s">
        <v>3140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ht="16" x14ac:dyDescent="0.2">
      <c r="A459" s="7" t="s">
        <v>1917</v>
      </c>
      <c r="B459" s="8" t="s">
        <v>4197</v>
      </c>
      <c r="C459" s="8" t="s">
        <v>4198</v>
      </c>
      <c r="D459" s="9"/>
      <c r="E459" s="9"/>
      <c r="F459" s="10">
        <v>44802</v>
      </c>
      <c r="G459" s="9"/>
      <c r="H459" s="8" t="s">
        <v>3140</v>
      </c>
      <c r="I459" s="9"/>
      <c r="J459" s="9"/>
      <c r="K459" s="11" t="s">
        <v>4199</v>
      </c>
      <c r="L459" s="8" t="s">
        <v>4200</v>
      </c>
      <c r="M459" s="10">
        <v>43095</v>
      </c>
      <c r="N459" s="8" t="s">
        <v>4201</v>
      </c>
      <c r="O459" s="8" t="s">
        <v>3144</v>
      </c>
      <c r="P459" s="8" t="s">
        <v>3175</v>
      </c>
      <c r="Q459" s="8" t="s">
        <v>4202</v>
      </c>
      <c r="R459" s="8">
        <v>1217</v>
      </c>
      <c r="S459" s="8" t="s">
        <v>4203</v>
      </c>
      <c r="T459" s="9"/>
      <c r="U459" s="8" t="s">
        <v>4204</v>
      </c>
      <c r="V459" s="9"/>
    </row>
    <row r="460" spans="1:22" ht="16" x14ac:dyDescent="0.2">
      <c r="A460" s="7" t="s">
        <v>1894</v>
      </c>
      <c r="B460" s="8" t="s">
        <v>4205</v>
      </c>
      <c r="C460" s="8" t="s">
        <v>4206</v>
      </c>
      <c r="D460" s="9"/>
      <c r="E460" s="9"/>
      <c r="F460" s="10">
        <v>44795</v>
      </c>
      <c r="G460" s="8" t="s">
        <v>3465</v>
      </c>
      <c r="H460" s="8" t="s">
        <v>3140</v>
      </c>
      <c r="I460" s="9"/>
      <c r="J460" s="9"/>
      <c r="K460" s="11" t="s">
        <v>4207</v>
      </c>
      <c r="L460" s="8" t="s">
        <v>4208</v>
      </c>
      <c r="M460" s="10">
        <v>39322</v>
      </c>
      <c r="N460" s="8" t="s">
        <v>4209</v>
      </c>
      <c r="O460" s="8" t="s">
        <v>3144</v>
      </c>
      <c r="P460" s="8" t="s">
        <v>3145</v>
      </c>
      <c r="Q460" s="8" t="s">
        <v>4210</v>
      </c>
      <c r="R460" s="8">
        <v>204</v>
      </c>
      <c r="S460" s="8" t="s">
        <v>4211</v>
      </c>
      <c r="T460" s="8" t="s">
        <v>4212</v>
      </c>
      <c r="U460" s="9"/>
      <c r="V460" s="9"/>
    </row>
    <row r="461" spans="1:22" ht="16" x14ac:dyDescent="0.2">
      <c r="A461" s="7" t="s">
        <v>47</v>
      </c>
      <c r="B461" s="9"/>
      <c r="C461" s="9"/>
      <c r="D461" s="9"/>
      <c r="E461" s="9"/>
      <c r="F461" s="10">
        <v>44882</v>
      </c>
      <c r="G461" s="9"/>
      <c r="H461" s="8" t="s">
        <v>3140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ht="16" x14ac:dyDescent="0.2">
      <c r="A462" s="7" t="s">
        <v>2178</v>
      </c>
      <c r="B462" s="8" t="s">
        <v>4213</v>
      </c>
      <c r="C462" s="8" t="s">
        <v>4214</v>
      </c>
      <c r="D462" s="9"/>
      <c r="E462" s="9"/>
      <c r="F462" s="10">
        <v>44232</v>
      </c>
      <c r="G462" s="8" t="s">
        <v>1281</v>
      </c>
      <c r="H462" s="8" t="s">
        <v>3140</v>
      </c>
      <c r="I462" s="9"/>
      <c r="J462" s="9"/>
      <c r="K462" s="11" t="s">
        <v>4215</v>
      </c>
      <c r="L462" s="8" t="s">
        <v>4216</v>
      </c>
      <c r="M462" s="10">
        <v>40770</v>
      </c>
      <c r="N462" s="8" t="s">
        <v>4217</v>
      </c>
      <c r="O462" s="8" t="s">
        <v>3144</v>
      </c>
      <c r="P462" s="8" t="s">
        <v>3175</v>
      </c>
      <c r="Q462" s="8" t="s">
        <v>4218</v>
      </c>
      <c r="R462" s="8">
        <v>496</v>
      </c>
      <c r="S462" s="8" t="s">
        <v>4219</v>
      </c>
      <c r="T462" s="8" t="s">
        <v>4220</v>
      </c>
      <c r="U462" s="8" t="s">
        <v>4221</v>
      </c>
      <c r="V462" s="11" t="s">
        <v>4215</v>
      </c>
    </row>
    <row r="463" spans="1:22" ht="16" x14ac:dyDescent="0.2">
      <c r="A463" s="7" t="s">
        <v>2454</v>
      </c>
      <c r="B463" s="8" t="s">
        <v>4222</v>
      </c>
      <c r="C463" s="8" t="s">
        <v>4223</v>
      </c>
      <c r="D463" s="9"/>
      <c r="E463" s="9"/>
      <c r="F463" s="10">
        <v>45190</v>
      </c>
      <c r="G463" s="9"/>
      <c r="H463" s="8" t="s">
        <v>3140</v>
      </c>
      <c r="I463" s="9"/>
      <c r="J463" s="9"/>
      <c r="K463" s="11" t="s">
        <v>4224</v>
      </c>
      <c r="L463" s="8" t="s">
        <v>4225</v>
      </c>
      <c r="M463" s="10">
        <v>41785</v>
      </c>
      <c r="N463" s="8" t="s">
        <v>4226</v>
      </c>
      <c r="O463" s="8" t="s">
        <v>3144</v>
      </c>
      <c r="P463" s="8" t="s">
        <v>3175</v>
      </c>
      <c r="Q463" s="8" t="s">
        <v>4227</v>
      </c>
      <c r="R463" s="8">
        <v>84</v>
      </c>
      <c r="S463" s="8" t="s">
        <v>4228</v>
      </c>
      <c r="T463" s="9"/>
      <c r="U463" s="9"/>
      <c r="V463" s="9"/>
    </row>
    <row r="464" spans="1:22" ht="16" x14ac:dyDescent="0.2">
      <c r="A464" s="7" t="s">
        <v>2648</v>
      </c>
      <c r="B464" s="8" t="s">
        <v>4229</v>
      </c>
      <c r="C464" s="8" t="s">
        <v>4230</v>
      </c>
      <c r="D464" s="9"/>
      <c r="E464" s="9"/>
      <c r="F464" s="10">
        <v>45343</v>
      </c>
      <c r="G464" s="9"/>
      <c r="H464" s="8" t="s">
        <v>3140</v>
      </c>
      <c r="I464" s="9"/>
      <c r="J464" s="9"/>
      <c r="K464" s="11" t="s">
        <v>4231</v>
      </c>
      <c r="L464" s="8" t="s">
        <v>3220</v>
      </c>
      <c r="M464" s="10">
        <v>35367</v>
      </c>
      <c r="N464" s="8" t="s">
        <v>4232</v>
      </c>
      <c r="O464" s="8" t="s">
        <v>3144</v>
      </c>
      <c r="P464" s="8" t="s">
        <v>3175</v>
      </c>
      <c r="Q464" s="8" t="s">
        <v>4233</v>
      </c>
      <c r="R464" s="8">
        <v>2920</v>
      </c>
      <c r="S464" s="8" t="s">
        <v>4234</v>
      </c>
      <c r="T464" s="9"/>
      <c r="U464" s="9"/>
      <c r="V464" s="9"/>
    </row>
    <row r="465" spans="1:22" ht="16" x14ac:dyDescent="0.2">
      <c r="A465" s="7" t="s">
        <v>4235</v>
      </c>
      <c r="B465" s="9"/>
      <c r="C465" s="9"/>
      <c r="D465" s="9"/>
      <c r="E465" s="9"/>
      <c r="F465" s="10">
        <v>44722</v>
      </c>
      <c r="G465" s="9"/>
      <c r="H465" s="8" t="s">
        <v>3140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16" x14ac:dyDescent="0.2">
      <c r="A466" s="7" t="s">
        <v>4235</v>
      </c>
      <c r="B466" s="9"/>
      <c r="C466" s="9"/>
      <c r="D466" s="9"/>
      <c r="E466" s="9"/>
      <c r="F466" s="10">
        <v>44722</v>
      </c>
      <c r="G466" s="9"/>
      <c r="H466" s="8" t="s">
        <v>3140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16" x14ac:dyDescent="0.2">
      <c r="A467" s="7" t="s">
        <v>4236</v>
      </c>
      <c r="B467" s="9"/>
      <c r="C467" s="9"/>
      <c r="D467" s="9"/>
      <c r="E467" s="9"/>
      <c r="F467" s="10">
        <v>44140</v>
      </c>
      <c r="G467" s="9"/>
      <c r="H467" s="8" t="s">
        <v>3140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16" x14ac:dyDescent="0.2">
      <c r="A468" s="7" t="s">
        <v>992</v>
      </c>
      <c r="B468" s="9"/>
      <c r="C468" s="9"/>
      <c r="D468" s="9"/>
      <c r="E468" s="9"/>
      <c r="F468" s="10">
        <v>44140</v>
      </c>
      <c r="G468" s="9"/>
      <c r="H468" s="8" t="s">
        <v>3140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x14ac:dyDescent="0.2">
      <c r="A469" s="13" t="s">
        <v>1121</v>
      </c>
      <c r="B469" s="15" t="s">
        <v>4237</v>
      </c>
      <c r="C469" s="15" t="s">
        <v>4238</v>
      </c>
      <c r="D469" s="14"/>
      <c r="E469" s="14"/>
      <c r="F469" s="16">
        <v>44232</v>
      </c>
      <c r="G469" s="8" t="s">
        <v>4239</v>
      </c>
      <c r="H469" s="15" t="s">
        <v>3140</v>
      </c>
      <c r="I469" s="14"/>
      <c r="J469" s="14"/>
      <c r="K469" s="17" t="s">
        <v>4241</v>
      </c>
      <c r="L469" s="15" t="s">
        <v>4242</v>
      </c>
      <c r="M469" s="16">
        <v>41540</v>
      </c>
      <c r="N469" s="15" t="s">
        <v>4243</v>
      </c>
      <c r="O469" s="15" t="s">
        <v>3144</v>
      </c>
      <c r="P469" s="15" t="s">
        <v>3175</v>
      </c>
      <c r="Q469" s="15" t="s">
        <v>4244</v>
      </c>
      <c r="R469" s="15">
        <v>688</v>
      </c>
      <c r="S469" s="15" t="s">
        <v>4245</v>
      </c>
      <c r="T469" s="15" t="s">
        <v>4246</v>
      </c>
      <c r="U469" s="15" t="s">
        <v>4247</v>
      </c>
      <c r="V469" s="17" t="s">
        <v>4248</v>
      </c>
    </row>
    <row r="470" spans="1:22" x14ac:dyDescent="0.2">
      <c r="A470" s="13"/>
      <c r="B470" s="15"/>
      <c r="C470" s="15"/>
      <c r="D470" s="14"/>
      <c r="E470" s="14"/>
      <c r="F470" s="16"/>
      <c r="G470" s="8" t="s">
        <v>4240</v>
      </c>
      <c r="H470" s="15"/>
      <c r="I470" s="14"/>
      <c r="J470" s="14"/>
      <c r="K470" s="17"/>
      <c r="L470" s="15"/>
      <c r="M470" s="16"/>
      <c r="N470" s="15"/>
      <c r="O470" s="15"/>
      <c r="P470" s="15"/>
      <c r="Q470" s="15"/>
      <c r="R470" s="15"/>
      <c r="S470" s="15"/>
      <c r="T470" s="15"/>
      <c r="U470" s="15"/>
      <c r="V470" s="17"/>
    </row>
    <row r="471" spans="1:22" x14ac:dyDescent="0.2">
      <c r="A471" s="13" t="s">
        <v>1768</v>
      </c>
      <c r="B471" s="15" t="s">
        <v>1768</v>
      </c>
      <c r="C471" s="15" t="s">
        <v>4249</v>
      </c>
      <c r="D471" s="14"/>
      <c r="E471" s="14"/>
      <c r="F471" s="16">
        <v>45000</v>
      </c>
      <c r="G471" s="8" t="s">
        <v>4250</v>
      </c>
      <c r="H471" s="15" t="s">
        <v>3140</v>
      </c>
      <c r="I471" s="14"/>
      <c r="J471" s="14"/>
      <c r="K471" s="17" t="s">
        <v>4253</v>
      </c>
      <c r="L471" s="15" t="s">
        <v>4254</v>
      </c>
      <c r="M471" s="16">
        <v>29500</v>
      </c>
      <c r="N471" s="15" t="s">
        <v>4255</v>
      </c>
      <c r="O471" s="15" t="s">
        <v>3144</v>
      </c>
      <c r="P471" s="15" t="s">
        <v>3175</v>
      </c>
      <c r="Q471" s="15" t="s">
        <v>4256</v>
      </c>
      <c r="R471" s="15">
        <v>5052</v>
      </c>
      <c r="S471" s="15" t="s">
        <v>4257</v>
      </c>
      <c r="T471" s="14"/>
      <c r="U471" s="15" t="s">
        <v>4258</v>
      </c>
      <c r="V471" s="17" t="s">
        <v>4259</v>
      </c>
    </row>
    <row r="472" spans="1:22" x14ac:dyDescent="0.2">
      <c r="A472" s="13"/>
      <c r="B472" s="15"/>
      <c r="C472" s="15"/>
      <c r="D472" s="14"/>
      <c r="E472" s="14"/>
      <c r="F472" s="16"/>
      <c r="G472" s="8" t="s">
        <v>4251</v>
      </c>
      <c r="H472" s="15"/>
      <c r="I472" s="14"/>
      <c r="J472" s="14"/>
      <c r="K472" s="17"/>
      <c r="L472" s="15"/>
      <c r="M472" s="16"/>
      <c r="N472" s="15"/>
      <c r="O472" s="15"/>
      <c r="P472" s="15"/>
      <c r="Q472" s="15"/>
      <c r="R472" s="15"/>
      <c r="S472" s="15"/>
      <c r="T472" s="14"/>
      <c r="U472" s="15"/>
      <c r="V472" s="17"/>
    </row>
    <row r="473" spans="1:22" x14ac:dyDescent="0.2">
      <c r="A473" s="13"/>
      <c r="B473" s="15"/>
      <c r="C473" s="15"/>
      <c r="D473" s="14"/>
      <c r="E473" s="14"/>
      <c r="F473" s="16"/>
      <c r="G473" s="8" t="s">
        <v>4252</v>
      </c>
      <c r="H473" s="15"/>
      <c r="I473" s="14"/>
      <c r="J473" s="14"/>
      <c r="K473" s="17"/>
      <c r="L473" s="15"/>
      <c r="M473" s="16"/>
      <c r="N473" s="15"/>
      <c r="O473" s="15"/>
      <c r="P473" s="15"/>
      <c r="Q473" s="15"/>
      <c r="R473" s="15"/>
      <c r="S473" s="15"/>
      <c r="T473" s="14"/>
      <c r="U473" s="15"/>
      <c r="V473" s="17"/>
    </row>
    <row r="474" spans="1:22" ht="16" x14ac:dyDescent="0.2">
      <c r="A474" s="7" t="s">
        <v>1900</v>
      </c>
      <c r="B474" s="8" t="s">
        <v>4260</v>
      </c>
      <c r="C474" s="8" t="s">
        <v>4261</v>
      </c>
      <c r="D474" s="9"/>
      <c r="E474" s="9"/>
      <c r="F474" s="10">
        <v>45065</v>
      </c>
      <c r="G474" s="9"/>
      <c r="H474" s="8" t="s">
        <v>3140</v>
      </c>
      <c r="I474" s="9"/>
      <c r="J474" s="9"/>
      <c r="K474" s="11" t="s">
        <v>4262</v>
      </c>
      <c r="L474" s="8" t="s">
        <v>4263</v>
      </c>
      <c r="M474" s="10">
        <v>44832</v>
      </c>
      <c r="N474" s="8" t="s">
        <v>4264</v>
      </c>
      <c r="O474" s="8" t="s">
        <v>3543</v>
      </c>
      <c r="P474" s="8" t="s">
        <v>3544</v>
      </c>
      <c r="Q474" s="8" t="s">
        <v>4265</v>
      </c>
      <c r="R474" s="8">
        <v>266</v>
      </c>
      <c r="S474" s="8" t="s">
        <v>4266</v>
      </c>
      <c r="T474" s="8" t="s">
        <v>4267</v>
      </c>
      <c r="U474" s="8" t="s">
        <v>4268</v>
      </c>
      <c r="V474" s="11" t="s">
        <v>4269</v>
      </c>
    </row>
    <row r="475" spans="1:22" ht="16" x14ac:dyDescent="0.2">
      <c r="A475" s="7" t="s">
        <v>2116</v>
      </c>
      <c r="B475" s="8" t="s">
        <v>4270</v>
      </c>
      <c r="C475" s="8" t="s">
        <v>4271</v>
      </c>
      <c r="D475" s="9"/>
      <c r="E475" s="9"/>
      <c r="F475" s="10">
        <v>45154</v>
      </c>
      <c r="G475" s="9"/>
      <c r="H475" s="8" t="s">
        <v>3140</v>
      </c>
      <c r="I475" s="9"/>
      <c r="J475" s="9"/>
      <c r="K475" s="11" t="s">
        <v>4272</v>
      </c>
      <c r="L475" s="8" t="s">
        <v>4273</v>
      </c>
      <c r="M475" s="10">
        <v>44006</v>
      </c>
      <c r="N475" s="8" t="s">
        <v>4274</v>
      </c>
      <c r="O475" s="8" t="s">
        <v>3144</v>
      </c>
      <c r="P475" s="8" t="s">
        <v>3175</v>
      </c>
      <c r="Q475" s="8" t="s">
        <v>4275</v>
      </c>
      <c r="R475" s="8">
        <v>2110</v>
      </c>
      <c r="S475" s="8" t="s">
        <v>4067</v>
      </c>
      <c r="T475" s="8" t="s">
        <v>4276</v>
      </c>
      <c r="U475" s="9"/>
      <c r="V475" s="9"/>
    </row>
    <row r="476" spans="1:22" ht="16" x14ac:dyDescent="0.2">
      <c r="A476" s="7" t="s">
        <v>795</v>
      </c>
      <c r="B476" s="9"/>
      <c r="C476" s="9"/>
      <c r="D476" s="9"/>
      <c r="E476" s="9"/>
      <c r="F476" s="10">
        <v>44607</v>
      </c>
      <c r="G476" s="9"/>
      <c r="H476" s="8" t="s">
        <v>3140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16" x14ac:dyDescent="0.2">
      <c r="A477" s="7" t="s">
        <v>4277</v>
      </c>
      <c r="B477" s="9"/>
      <c r="C477" s="9"/>
      <c r="D477" s="9"/>
      <c r="E477" s="9"/>
      <c r="F477" s="10">
        <v>44140</v>
      </c>
      <c r="G477" s="9"/>
      <c r="H477" s="8" t="s">
        <v>3140</v>
      </c>
      <c r="I477" s="9"/>
      <c r="J477" s="9"/>
      <c r="K477" s="11" t="s">
        <v>4278</v>
      </c>
      <c r="L477" s="9"/>
      <c r="M477" s="9"/>
      <c r="N477" s="9"/>
      <c r="O477" s="9"/>
      <c r="P477" s="9"/>
      <c r="Q477" s="9"/>
      <c r="R477" s="9"/>
      <c r="S477" s="9"/>
      <c r="T477" s="9"/>
      <c r="U477" s="8" t="s">
        <v>4279</v>
      </c>
      <c r="V477" s="11" t="s">
        <v>4278</v>
      </c>
    </row>
    <row r="478" spans="1:22" ht="16" x14ac:dyDescent="0.2">
      <c r="A478" s="7" t="s">
        <v>168</v>
      </c>
      <c r="B478" s="9"/>
      <c r="C478" s="9"/>
      <c r="D478" s="9"/>
      <c r="E478" s="9"/>
      <c r="F478" s="10">
        <v>44265</v>
      </c>
      <c r="G478" s="9"/>
      <c r="H478" s="8" t="s">
        <v>3140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16" x14ac:dyDescent="0.2">
      <c r="A479" s="7" t="s">
        <v>4280</v>
      </c>
      <c r="B479" s="9"/>
      <c r="C479" s="9"/>
      <c r="D479" s="9"/>
      <c r="E479" s="9"/>
      <c r="F479" s="10">
        <v>44265</v>
      </c>
      <c r="G479" s="9"/>
      <c r="H479" s="8" t="s">
        <v>3140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6" x14ac:dyDescent="0.2">
      <c r="A480" s="7" t="s">
        <v>4281</v>
      </c>
      <c r="B480" s="9"/>
      <c r="C480" s="9"/>
      <c r="D480" s="9"/>
      <c r="E480" s="9"/>
      <c r="F480" s="10">
        <v>44265</v>
      </c>
      <c r="G480" s="9"/>
      <c r="H480" s="8" t="s">
        <v>3140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ht="16" x14ac:dyDescent="0.2">
      <c r="A481" s="7" t="s">
        <v>1494</v>
      </c>
      <c r="B481" s="9"/>
      <c r="C481" s="9"/>
      <c r="D481" s="9"/>
      <c r="E481" s="9"/>
      <c r="F481" s="10">
        <v>44910</v>
      </c>
      <c r="G481" s="9"/>
      <c r="H481" s="8" t="s">
        <v>3140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ht="16" x14ac:dyDescent="0.2">
      <c r="A482" s="7" t="s">
        <v>4282</v>
      </c>
      <c r="B482" s="9"/>
      <c r="C482" s="9"/>
      <c r="D482" s="9"/>
      <c r="E482" s="9"/>
      <c r="F482" s="10">
        <v>44426</v>
      </c>
      <c r="G482" s="9"/>
      <c r="H482" s="8" t="s">
        <v>3140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ht="16" x14ac:dyDescent="0.2">
      <c r="A483" s="7" t="s">
        <v>866</v>
      </c>
      <c r="B483" s="9"/>
      <c r="C483" s="9"/>
      <c r="D483" s="9"/>
      <c r="E483" s="9"/>
      <c r="F483" s="10">
        <v>44622</v>
      </c>
      <c r="G483" s="9"/>
      <c r="H483" s="8" t="s">
        <v>3140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ht="16" x14ac:dyDescent="0.2">
      <c r="A484" s="7" t="s">
        <v>2669</v>
      </c>
      <c r="B484" s="8" t="s">
        <v>4283</v>
      </c>
      <c r="C484" s="8" t="s">
        <v>4284</v>
      </c>
      <c r="D484" s="9"/>
      <c r="E484" s="9"/>
      <c r="F484" s="10">
        <v>45342</v>
      </c>
      <c r="G484" s="9"/>
      <c r="H484" s="8" t="s">
        <v>3140</v>
      </c>
      <c r="I484" s="9"/>
      <c r="J484" s="9"/>
      <c r="K484" s="9"/>
      <c r="L484" s="8" t="s">
        <v>4285</v>
      </c>
      <c r="M484" s="10">
        <v>40282</v>
      </c>
      <c r="N484" s="8" t="s">
        <v>4286</v>
      </c>
      <c r="O484" s="8" t="s">
        <v>3326</v>
      </c>
      <c r="P484" s="8" t="s">
        <v>4287</v>
      </c>
      <c r="Q484" s="8" t="s">
        <v>4288</v>
      </c>
      <c r="R484" s="8" t="s">
        <v>3944</v>
      </c>
      <c r="S484" s="8" t="s">
        <v>4289</v>
      </c>
      <c r="T484" s="8" t="s">
        <v>4290</v>
      </c>
      <c r="U484" s="8" t="s">
        <v>4291</v>
      </c>
      <c r="V484" s="9"/>
    </row>
    <row r="485" spans="1:22" ht="16" x14ac:dyDescent="0.2">
      <c r="A485" s="7" t="s">
        <v>2013</v>
      </c>
      <c r="B485" s="9"/>
      <c r="C485" s="9"/>
      <c r="D485" s="9"/>
      <c r="E485" s="9"/>
      <c r="F485" s="10">
        <v>45112</v>
      </c>
      <c r="G485" s="9"/>
      <c r="H485" s="8" t="s">
        <v>3140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ht="16" x14ac:dyDescent="0.2">
      <c r="A486" s="7" t="s">
        <v>2464</v>
      </c>
      <c r="B486" s="8" t="s">
        <v>4292</v>
      </c>
      <c r="C486" s="8" t="s">
        <v>4293</v>
      </c>
      <c r="D486" s="9"/>
      <c r="E486" s="9"/>
      <c r="F486" s="10">
        <v>45274</v>
      </c>
      <c r="G486" s="9"/>
      <c r="H486" s="8" t="s">
        <v>3140</v>
      </c>
      <c r="I486" s="9"/>
      <c r="J486" s="9"/>
      <c r="K486" s="11" t="s">
        <v>4294</v>
      </c>
      <c r="L486" s="8" t="s">
        <v>4295</v>
      </c>
      <c r="M486" s="10">
        <v>41452</v>
      </c>
      <c r="N486" s="8" t="s">
        <v>4296</v>
      </c>
      <c r="O486" s="8" t="s">
        <v>3144</v>
      </c>
      <c r="P486" s="8" t="s">
        <v>4297</v>
      </c>
      <c r="Q486" s="8" t="s">
        <v>4298</v>
      </c>
      <c r="R486" s="8">
        <v>105</v>
      </c>
      <c r="S486" s="8" t="s">
        <v>3270</v>
      </c>
      <c r="T486" s="8" t="s">
        <v>4299</v>
      </c>
      <c r="U486" s="9"/>
      <c r="V486" s="9"/>
    </row>
    <row r="487" spans="1:22" ht="16" x14ac:dyDescent="0.2">
      <c r="A487" s="7" t="s">
        <v>2238</v>
      </c>
      <c r="B487" s="9"/>
      <c r="C487" s="9"/>
      <c r="D487" s="8" t="s">
        <v>4300</v>
      </c>
      <c r="E487" s="9"/>
      <c r="F487" s="10">
        <v>45196</v>
      </c>
      <c r="G487" s="9"/>
      <c r="H487" s="8" t="s">
        <v>3140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ht="16" x14ac:dyDescent="0.2">
      <c r="A488" s="7" t="s">
        <v>760</v>
      </c>
      <c r="B488" s="9"/>
      <c r="C488" s="9"/>
      <c r="D488" s="9"/>
      <c r="E488" s="9"/>
      <c r="F488" s="10">
        <v>44600</v>
      </c>
      <c r="G488" s="9"/>
      <c r="H488" s="8" t="s">
        <v>3140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ht="16" x14ac:dyDescent="0.2">
      <c r="A489" s="7" t="s">
        <v>1359</v>
      </c>
      <c r="B489" s="8" t="s">
        <v>4301</v>
      </c>
      <c r="C489" s="8" t="s">
        <v>4302</v>
      </c>
      <c r="D489" s="9"/>
      <c r="E489" s="9"/>
      <c r="F489" s="10">
        <v>44841</v>
      </c>
      <c r="G489" s="9"/>
      <c r="H489" s="8" t="s">
        <v>3140</v>
      </c>
      <c r="I489" s="9"/>
      <c r="J489" s="9"/>
      <c r="K489" s="11" t="s">
        <v>4303</v>
      </c>
      <c r="L489" s="8" t="s">
        <v>4304</v>
      </c>
      <c r="M489" s="10">
        <v>43676</v>
      </c>
      <c r="N489" s="8" t="s">
        <v>4305</v>
      </c>
      <c r="O489" s="8" t="s">
        <v>3144</v>
      </c>
      <c r="P489" s="8" t="s">
        <v>3175</v>
      </c>
      <c r="Q489" s="8" t="s">
        <v>4306</v>
      </c>
      <c r="R489" s="8">
        <v>1781</v>
      </c>
      <c r="S489" s="8" t="s">
        <v>4307</v>
      </c>
      <c r="T489" s="9"/>
      <c r="U489" s="8" t="s">
        <v>4308</v>
      </c>
      <c r="V489" s="11" t="s">
        <v>4309</v>
      </c>
    </row>
    <row r="490" spans="1:22" ht="16" x14ac:dyDescent="0.2">
      <c r="A490" s="7" t="s">
        <v>4310</v>
      </c>
      <c r="B490" s="8" t="s">
        <v>4311</v>
      </c>
      <c r="C490" s="8" t="s">
        <v>4312</v>
      </c>
      <c r="D490" s="9"/>
      <c r="E490" s="9"/>
      <c r="F490" s="10">
        <v>44809</v>
      </c>
      <c r="G490" s="9"/>
      <c r="H490" s="8" t="s">
        <v>3140</v>
      </c>
      <c r="I490" s="9"/>
      <c r="J490" s="9"/>
      <c r="K490" s="11" t="s">
        <v>4313</v>
      </c>
      <c r="L490" s="8" t="s">
        <v>4314</v>
      </c>
      <c r="M490" s="10">
        <v>44131</v>
      </c>
      <c r="N490" s="8" t="s">
        <v>4315</v>
      </c>
      <c r="O490" s="8" t="s">
        <v>3144</v>
      </c>
      <c r="P490" s="8" t="s">
        <v>4316</v>
      </c>
      <c r="Q490" s="8" t="s">
        <v>4317</v>
      </c>
      <c r="R490" s="8">
        <v>221</v>
      </c>
      <c r="S490" s="8" t="s">
        <v>4318</v>
      </c>
      <c r="T490" s="9"/>
      <c r="U490" s="8" t="s">
        <v>3751</v>
      </c>
      <c r="V490" s="9"/>
    </row>
  </sheetData>
  <mergeCells count="588">
    <mergeCell ref="Q471:Q473"/>
    <mergeCell ref="R471:R473"/>
    <mergeCell ref="S471:S473"/>
    <mergeCell ref="T471:T473"/>
    <mergeCell ref="U471:U473"/>
    <mergeCell ref="V471:V473"/>
    <mergeCell ref="K471:K473"/>
    <mergeCell ref="L471:L473"/>
    <mergeCell ref="M471:M473"/>
    <mergeCell ref="N471:N473"/>
    <mergeCell ref="O471:O473"/>
    <mergeCell ref="P471:P473"/>
    <mergeCell ref="V469:V470"/>
    <mergeCell ref="A471:A473"/>
    <mergeCell ref="B471:B473"/>
    <mergeCell ref="C471:C473"/>
    <mergeCell ref="D471:D473"/>
    <mergeCell ref="E471:E473"/>
    <mergeCell ref="F471:F473"/>
    <mergeCell ref="H471:H473"/>
    <mergeCell ref="I471:I473"/>
    <mergeCell ref="J471:J473"/>
    <mergeCell ref="P469:P470"/>
    <mergeCell ref="Q469:Q470"/>
    <mergeCell ref="R469:R470"/>
    <mergeCell ref="S469:S470"/>
    <mergeCell ref="T469:T470"/>
    <mergeCell ref="U469:U470"/>
    <mergeCell ref="J469:J470"/>
    <mergeCell ref="K469:K470"/>
    <mergeCell ref="L469:L470"/>
    <mergeCell ref="M469:M470"/>
    <mergeCell ref="N469:N470"/>
    <mergeCell ref="O469:O470"/>
    <mergeCell ref="U432:U448"/>
    <mergeCell ref="V432:V448"/>
    <mergeCell ref="A469:A470"/>
    <mergeCell ref="B469:B470"/>
    <mergeCell ref="C469:C470"/>
    <mergeCell ref="D469:D470"/>
    <mergeCell ref="E469:E470"/>
    <mergeCell ref="F469:F470"/>
    <mergeCell ref="H469:H470"/>
    <mergeCell ref="I469:I470"/>
    <mergeCell ref="O432:O448"/>
    <mergeCell ref="P432:P448"/>
    <mergeCell ref="Q432:Q448"/>
    <mergeCell ref="R432:R448"/>
    <mergeCell ref="S432:S448"/>
    <mergeCell ref="T432:T448"/>
    <mergeCell ref="I432:I448"/>
    <mergeCell ref="J432:J448"/>
    <mergeCell ref="K432:K448"/>
    <mergeCell ref="L432:L448"/>
    <mergeCell ref="M432:M448"/>
    <mergeCell ref="N432:N448"/>
    <mergeCell ref="T423:T431"/>
    <mergeCell ref="U423:U431"/>
    <mergeCell ref="V423:V431"/>
    <mergeCell ref="A432:A448"/>
    <mergeCell ref="B432:B448"/>
    <mergeCell ref="C432:C448"/>
    <mergeCell ref="D432:D448"/>
    <mergeCell ref="E432:E448"/>
    <mergeCell ref="F432:F448"/>
    <mergeCell ref="H432:H448"/>
    <mergeCell ref="N423:N431"/>
    <mergeCell ref="O423:O431"/>
    <mergeCell ref="P423:P431"/>
    <mergeCell ref="Q423:Q431"/>
    <mergeCell ref="R423:R431"/>
    <mergeCell ref="S423:S431"/>
    <mergeCell ref="H423:H431"/>
    <mergeCell ref="I423:I431"/>
    <mergeCell ref="J423:J431"/>
    <mergeCell ref="K423:K431"/>
    <mergeCell ref="L423:L431"/>
    <mergeCell ref="M423:M431"/>
    <mergeCell ref="A423:A431"/>
    <mergeCell ref="B423:B431"/>
    <mergeCell ref="C423:C431"/>
    <mergeCell ref="D423:D431"/>
    <mergeCell ref="E423:E431"/>
    <mergeCell ref="F423:F431"/>
    <mergeCell ref="Q417:Q420"/>
    <mergeCell ref="R417:R420"/>
    <mergeCell ref="S417:S420"/>
    <mergeCell ref="T417:T420"/>
    <mergeCell ref="U417:U420"/>
    <mergeCell ref="V417:V420"/>
    <mergeCell ref="K417:K420"/>
    <mergeCell ref="L417:L420"/>
    <mergeCell ref="M417:M420"/>
    <mergeCell ref="N417:N420"/>
    <mergeCell ref="O417:O420"/>
    <mergeCell ref="P417:P420"/>
    <mergeCell ref="V403:V413"/>
    <mergeCell ref="A417:A420"/>
    <mergeCell ref="B417:B420"/>
    <mergeCell ref="C417:C420"/>
    <mergeCell ref="D417:D420"/>
    <mergeCell ref="E417:E420"/>
    <mergeCell ref="F417:F420"/>
    <mergeCell ref="H417:H420"/>
    <mergeCell ref="I417:I420"/>
    <mergeCell ref="J417:J420"/>
    <mergeCell ref="P403:P413"/>
    <mergeCell ref="Q403:Q413"/>
    <mergeCell ref="R403:R413"/>
    <mergeCell ref="S403:S413"/>
    <mergeCell ref="T403:T413"/>
    <mergeCell ref="U403:U413"/>
    <mergeCell ref="J403:J413"/>
    <mergeCell ref="K403:K413"/>
    <mergeCell ref="L403:L413"/>
    <mergeCell ref="M403:M413"/>
    <mergeCell ref="N403:N413"/>
    <mergeCell ref="O403:O413"/>
    <mergeCell ref="U397:U400"/>
    <mergeCell ref="V397:V400"/>
    <mergeCell ref="A403:A413"/>
    <mergeCell ref="B403:B413"/>
    <mergeCell ref="C403:C413"/>
    <mergeCell ref="D403:D413"/>
    <mergeCell ref="E403:E413"/>
    <mergeCell ref="F403:F413"/>
    <mergeCell ref="H403:H413"/>
    <mergeCell ref="I403:I413"/>
    <mergeCell ref="O397:O400"/>
    <mergeCell ref="P397:P400"/>
    <mergeCell ref="Q397:Q400"/>
    <mergeCell ref="R397:R400"/>
    <mergeCell ref="S397:S400"/>
    <mergeCell ref="T397:T400"/>
    <mergeCell ref="I397:I400"/>
    <mergeCell ref="J397:J400"/>
    <mergeCell ref="K397:K400"/>
    <mergeCell ref="L397:L400"/>
    <mergeCell ref="M397:M400"/>
    <mergeCell ref="N397:N400"/>
    <mergeCell ref="T356:T379"/>
    <mergeCell ref="U356:U379"/>
    <mergeCell ref="V356:V379"/>
    <mergeCell ref="A397:A400"/>
    <mergeCell ref="B397:B400"/>
    <mergeCell ref="C397:C400"/>
    <mergeCell ref="D397:D400"/>
    <mergeCell ref="E397:E400"/>
    <mergeCell ref="F397:F400"/>
    <mergeCell ref="H397:H400"/>
    <mergeCell ref="N356:N379"/>
    <mergeCell ref="O356:O379"/>
    <mergeCell ref="P356:P379"/>
    <mergeCell ref="Q356:Q379"/>
    <mergeCell ref="R356:R379"/>
    <mergeCell ref="S356:S379"/>
    <mergeCell ref="H356:H379"/>
    <mergeCell ref="I356:I379"/>
    <mergeCell ref="J356:J379"/>
    <mergeCell ref="K356:K379"/>
    <mergeCell ref="L356:L379"/>
    <mergeCell ref="M356:M379"/>
    <mergeCell ref="A356:A379"/>
    <mergeCell ref="B356:B379"/>
    <mergeCell ref="C356:C379"/>
    <mergeCell ref="D356:D379"/>
    <mergeCell ref="E356:E379"/>
    <mergeCell ref="F356:F379"/>
    <mergeCell ref="Q350:Q355"/>
    <mergeCell ref="R350:R355"/>
    <mergeCell ref="S350:S355"/>
    <mergeCell ref="T350:T355"/>
    <mergeCell ref="U350:U355"/>
    <mergeCell ref="V350:V355"/>
    <mergeCell ref="K350:K355"/>
    <mergeCell ref="L350:L355"/>
    <mergeCell ref="M350:M355"/>
    <mergeCell ref="N350:N355"/>
    <mergeCell ref="O350:O355"/>
    <mergeCell ref="P350:P355"/>
    <mergeCell ref="V321:V324"/>
    <mergeCell ref="A350:A355"/>
    <mergeCell ref="B350:B355"/>
    <mergeCell ref="C350:C355"/>
    <mergeCell ref="D350:D355"/>
    <mergeCell ref="E350:E355"/>
    <mergeCell ref="F350:F355"/>
    <mergeCell ref="H350:H355"/>
    <mergeCell ref="I350:I355"/>
    <mergeCell ref="J350:J355"/>
    <mergeCell ref="P321:P324"/>
    <mergeCell ref="Q321:Q324"/>
    <mergeCell ref="R321:R324"/>
    <mergeCell ref="S321:S324"/>
    <mergeCell ref="T321:T324"/>
    <mergeCell ref="U321:U324"/>
    <mergeCell ref="J321:J324"/>
    <mergeCell ref="K321:K324"/>
    <mergeCell ref="L321:L324"/>
    <mergeCell ref="M321:M324"/>
    <mergeCell ref="N321:N324"/>
    <mergeCell ref="O321:O324"/>
    <mergeCell ref="U276:U312"/>
    <mergeCell ref="V276:V312"/>
    <mergeCell ref="A321:A324"/>
    <mergeCell ref="B321:B324"/>
    <mergeCell ref="C321:C324"/>
    <mergeCell ref="D321:D324"/>
    <mergeCell ref="E321:E324"/>
    <mergeCell ref="F321:F324"/>
    <mergeCell ref="H321:H324"/>
    <mergeCell ref="I321:I324"/>
    <mergeCell ref="O276:O312"/>
    <mergeCell ref="P276:P312"/>
    <mergeCell ref="Q276:Q312"/>
    <mergeCell ref="R276:R312"/>
    <mergeCell ref="S276:S312"/>
    <mergeCell ref="T276:T312"/>
    <mergeCell ref="I276:I312"/>
    <mergeCell ref="J276:J312"/>
    <mergeCell ref="K276:K312"/>
    <mergeCell ref="L276:L312"/>
    <mergeCell ref="M276:M312"/>
    <mergeCell ref="N276:N312"/>
    <mergeCell ref="T264:T269"/>
    <mergeCell ref="U264:U269"/>
    <mergeCell ref="V264:V269"/>
    <mergeCell ref="A276:A312"/>
    <mergeCell ref="B276:B312"/>
    <mergeCell ref="C276:C312"/>
    <mergeCell ref="D276:D312"/>
    <mergeCell ref="E276:E312"/>
    <mergeCell ref="F276:F312"/>
    <mergeCell ref="H276:H312"/>
    <mergeCell ref="N264:N269"/>
    <mergeCell ref="O264:O269"/>
    <mergeCell ref="P264:P269"/>
    <mergeCell ref="Q264:Q269"/>
    <mergeCell ref="R264:R269"/>
    <mergeCell ref="S264:S269"/>
    <mergeCell ref="H264:H269"/>
    <mergeCell ref="I264:I269"/>
    <mergeCell ref="J264:J269"/>
    <mergeCell ref="K264:K269"/>
    <mergeCell ref="L264:L269"/>
    <mergeCell ref="M264:M269"/>
    <mergeCell ref="A264:A269"/>
    <mergeCell ref="B264:B269"/>
    <mergeCell ref="C264:C269"/>
    <mergeCell ref="D264:D269"/>
    <mergeCell ref="E264:E269"/>
    <mergeCell ref="F264:F269"/>
    <mergeCell ref="Q253:Q258"/>
    <mergeCell ref="R253:R258"/>
    <mergeCell ref="S253:S258"/>
    <mergeCell ref="T253:T258"/>
    <mergeCell ref="U253:U258"/>
    <mergeCell ref="V253:V258"/>
    <mergeCell ref="K253:K258"/>
    <mergeCell ref="L253:L258"/>
    <mergeCell ref="M253:M258"/>
    <mergeCell ref="N253:N258"/>
    <mergeCell ref="O253:O258"/>
    <mergeCell ref="P253:P258"/>
    <mergeCell ref="V219:V251"/>
    <mergeCell ref="A253:A258"/>
    <mergeCell ref="B253:B258"/>
    <mergeCell ref="C253:C258"/>
    <mergeCell ref="D253:D258"/>
    <mergeCell ref="E253:E258"/>
    <mergeCell ref="F253:F258"/>
    <mergeCell ref="H253:H258"/>
    <mergeCell ref="I253:I258"/>
    <mergeCell ref="J253:J258"/>
    <mergeCell ref="P219:P251"/>
    <mergeCell ref="Q219:Q251"/>
    <mergeCell ref="R219:R251"/>
    <mergeCell ref="S219:S251"/>
    <mergeCell ref="T219:T251"/>
    <mergeCell ref="U219:U251"/>
    <mergeCell ref="J219:J251"/>
    <mergeCell ref="K219:K251"/>
    <mergeCell ref="L219:L251"/>
    <mergeCell ref="M219:M251"/>
    <mergeCell ref="N219:N251"/>
    <mergeCell ref="O219:O251"/>
    <mergeCell ref="U214:U216"/>
    <mergeCell ref="V214:V216"/>
    <mergeCell ref="A219:A251"/>
    <mergeCell ref="B219:B251"/>
    <mergeCell ref="C219:C251"/>
    <mergeCell ref="D219:D251"/>
    <mergeCell ref="E219:E251"/>
    <mergeCell ref="F219:F251"/>
    <mergeCell ref="H219:H251"/>
    <mergeCell ref="I219:I251"/>
    <mergeCell ref="O214:O216"/>
    <mergeCell ref="P214:P216"/>
    <mergeCell ref="Q214:Q216"/>
    <mergeCell ref="R214:R216"/>
    <mergeCell ref="S214:S216"/>
    <mergeCell ref="T214:T216"/>
    <mergeCell ref="I214:I216"/>
    <mergeCell ref="J214:J216"/>
    <mergeCell ref="K214:K216"/>
    <mergeCell ref="L214:L216"/>
    <mergeCell ref="M214:M216"/>
    <mergeCell ref="N214:N216"/>
    <mergeCell ref="T206:T210"/>
    <mergeCell ref="U206:U210"/>
    <mergeCell ref="V206:V210"/>
    <mergeCell ref="A214:A216"/>
    <mergeCell ref="B214:B216"/>
    <mergeCell ref="C214:C216"/>
    <mergeCell ref="D214:D216"/>
    <mergeCell ref="E214:E216"/>
    <mergeCell ref="F214:F216"/>
    <mergeCell ref="H214:H216"/>
    <mergeCell ref="N206:N210"/>
    <mergeCell ref="O206:O210"/>
    <mergeCell ref="P206:P210"/>
    <mergeCell ref="Q206:Q210"/>
    <mergeCell ref="R206:R210"/>
    <mergeCell ref="S206:S210"/>
    <mergeCell ref="H206:H210"/>
    <mergeCell ref="I206:I210"/>
    <mergeCell ref="J206:J210"/>
    <mergeCell ref="K206:K210"/>
    <mergeCell ref="L206:L210"/>
    <mergeCell ref="M206:M210"/>
    <mergeCell ref="A206:A210"/>
    <mergeCell ref="B206:B210"/>
    <mergeCell ref="C206:C210"/>
    <mergeCell ref="D206:D210"/>
    <mergeCell ref="E206:E210"/>
    <mergeCell ref="F206:F210"/>
    <mergeCell ref="Q199:Q200"/>
    <mergeCell ref="R199:R200"/>
    <mergeCell ref="S199:S200"/>
    <mergeCell ref="T199:T200"/>
    <mergeCell ref="U199:U200"/>
    <mergeCell ref="V199:V200"/>
    <mergeCell ref="K199:K200"/>
    <mergeCell ref="L199:L200"/>
    <mergeCell ref="M199:M200"/>
    <mergeCell ref="N199:N200"/>
    <mergeCell ref="O199:O200"/>
    <mergeCell ref="P199:P200"/>
    <mergeCell ref="V187:V195"/>
    <mergeCell ref="A199:A200"/>
    <mergeCell ref="B199:B200"/>
    <mergeCell ref="C199:C200"/>
    <mergeCell ref="D199:D200"/>
    <mergeCell ref="E199:E200"/>
    <mergeCell ref="F199:F200"/>
    <mergeCell ref="H199:H200"/>
    <mergeCell ref="I199:I200"/>
    <mergeCell ref="J199:J200"/>
    <mergeCell ref="P187:P195"/>
    <mergeCell ref="Q187:Q195"/>
    <mergeCell ref="R187:R195"/>
    <mergeCell ref="S187:S195"/>
    <mergeCell ref="T187:T195"/>
    <mergeCell ref="U187:U195"/>
    <mergeCell ref="J187:J195"/>
    <mergeCell ref="K187:K195"/>
    <mergeCell ref="L187:L195"/>
    <mergeCell ref="M187:M195"/>
    <mergeCell ref="N187:N195"/>
    <mergeCell ref="O187:O195"/>
    <mergeCell ref="U173:U181"/>
    <mergeCell ref="V173:V181"/>
    <mergeCell ref="A187:A195"/>
    <mergeCell ref="B187:B195"/>
    <mergeCell ref="C187:C195"/>
    <mergeCell ref="D187:D195"/>
    <mergeCell ref="E187:E195"/>
    <mergeCell ref="F187:F195"/>
    <mergeCell ref="H187:H195"/>
    <mergeCell ref="I187:I195"/>
    <mergeCell ref="O173:O181"/>
    <mergeCell ref="P173:P181"/>
    <mergeCell ref="Q173:Q181"/>
    <mergeCell ref="R173:R181"/>
    <mergeCell ref="S173:S181"/>
    <mergeCell ref="T173:T181"/>
    <mergeCell ref="I173:I181"/>
    <mergeCell ref="J173:J181"/>
    <mergeCell ref="K173:K181"/>
    <mergeCell ref="L173:L181"/>
    <mergeCell ref="M173:M181"/>
    <mergeCell ref="N173:N181"/>
    <mergeCell ref="T157:T162"/>
    <mergeCell ref="U157:U162"/>
    <mergeCell ref="V157:V162"/>
    <mergeCell ref="A173:A181"/>
    <mergeCell ref="B173:B181"/>
    <mergeCell ref="C173:C181"/>
    <mergeCell ref="D173:D181"/>
    <mergeCell ref="E173:E181"/>
    <mergeCell ref="F173:F181"/>
    <mergeCell ref="H173:H181"/>
    <mergeCell ref="N157:N162"/>
    <mergeCell ref="O157:O162"/>
    <mergeCell ref="P157:P162"/>
    <mergeCell ref="Q157:Q162"/>
    <mergeCell ref="R157:R162"/>
    <mergeCell ref="S157:S162"/>
    <mergeCell ref="H157:H162"/>
    <mergeCell ref="I157:I162"/>
    <mergeCell ref="J157:J162"/>
    <mergeCell ref="K157:K162"/>
    <mergeCell ref="L157:L162"/>
    <mergeCell ref="M157:M162"/>
    <mergeCell ref="A157:A162"/>
    <mergeCell ref="B157:B162"/>
    <mergeCell ref="C157:C162"/>
    <mergeCell ref="D157:D162"/>
    <mergeCell ref="E157:E162"/>
    <mergeCell ref="F157:F162"/>
    <mergeCell ref="Q145:Q150"/>
    <mergeCell ref="R145:R150"/>
    <mergeCell ref="S145:S150"/>
    <mergeCell ref="T145:T150"/>
    <mergeCell ref="U145:U150"/>
    <mergeCell ref="V145:V150"/>
    <mergeCell ref="K145:K150"/>
    <mergeCell ref="L145:L150"/>
    <mergeCell ref="M145:M150"/>
    <mergeCell ref="N145:N150"/>
    <mergeCell ref="O145:O150"/>
    <mergeCell ref="P145:P150"/>
    <mergeCell ref="V116:V125"/>
    <mergeCell ref="A145:A150"/>
    <mergeCell ref="B145:B150"/>
    <mergeCell ref="C145:C150"/>
    <mergeCell ref="D145:D150"/>
    <mergeCell ref="E145:E150"/>
    <mergeCell ref="F145:F150"/>
    <mergeCell ref="H145:H150"/>
    <mergeCell ref="I145:I150"/>
    <mergeCell ref="J145:J150"/>
    <mergeCell ref="P116:P125"/>
    <mergeCell ref="Q116:Q125"/>
    <mergeCell ref="R116:R125"/>
    <mergeCell ref="S116:S125"/>
    <mergeCell ref="T116:T125"/>
    <mergeCell ref="U116:U125"/>
    <mergeCell ref="J116:J125"/>
    <mergeCell ref="K116:K125"/>
    <mergeCell ref="L116:L125"/>
    <mergeCell ref="M116:M125"/>
    <mergeCell ref="N116:N125"/>
    <mergeCell ref="O116:O125"/>
    <mergeCell ref="U94:U100"/>
    <mergeCell ref="V94:V100"/>
    <mergeCell ref="A116:A125"/>
    <mergeCell ref="B116:B125"/>
    <mergeCell ref="C116:C125"/>
    <mergeCell ref="D116:D125"/>
    <mergeCell ref="E116:E125"/>
    <mergeCell ref="F116:F125"/>
    <mergeCell ref="H116:H125"/>
    <mergeCell ref="I116:I125"/>
    <mergeCell ref="O94:O100"/>
    <mergeCell ref="P94:P100"/>
    <mergeCell ref="Q94:Q100"/>
    <mergeCell ref="R94:R100"/>
    <mergeCell ref="S94:S100"/>
    <mergeCell ref="T94:T100"/>
    <mergeCell ref="I94:I100"/>
    <mergeCell ref="J94:J100"/>
    <mergeCell ref="K94:K100"/>
    <mergeCell ref="L94:L100"/>
    <mergeCell ref="M94:M100"/>
    <mergeCell ref="N94:N100"/>
    <mergeCell ref="T87:T91"/>
    <mergeCell ref="U87:U91"/>
    <mergeCell ref="V87:V91"/>
    <mergeCell ref="A94:A100"/>
    <mergeCell ref="B94:B100"/>
    <mergeCell ref="C94:C100"/>
    <mergeCell ref="D94:D100"/>
    <mergeCell ref="E94:E100"/>
    <mergeCell ref="F94:F100"/>
    <mergeCell ref="H94:H100"/>
    <mergeCell ref="N87:N91"/>
    <mergeCell ref="O87:O91"/>
    <mergeCell ref="P87:P91"/>
    <mergeCell ref="Q87:Q91"/>
    <mergeCell ref="R87:R91"/>
    <mergeCell ref="S87:S91"/>
    <mergeCell ref="H87:H91"/>
    <mergeCell ref="I87:I91"/>
    <mergeCell ref="J87:J91"/>
    <mergeCell ref="K87:K91"/>
    <mergeCell ref="L87:L91"/>
    <mergeCell ref="M87:M91"/>
    <mergeCell ref="A87:A91"/>
    <mergeCell ref="B87:B91"/>
    <mergeCell ref="C87:C91"/>
    <mergeCell ref="D87:D91"/>
    <mergeCell ref="E87:E91"/>
    <mergeCell ref="F87:F91"/>
    <mergeCell ref="Q78:Q81"/>
    <mergeCell ref="R78:R81"/>
    <mergeCell ref="S78:S81"/>
    <mergeCell ref="T78:T81"/>
    <mergeCell ref="U78:U81"/>
    <mergeCell ref="V78:V81"/>
    <mergeCell ref="K78:K81"/>
    <mergeCell ref="L78:L81"/>
    <mergeCell ref="M78:M81"/>
    <mergeCell ref="N78:N81"/>
    <mergeCell ref="O78:O81"/>
    <mergeCell ref="P78:P81"/>
    <mergeCell ref="V54:V67"/>
    <mergeCell ref="A78:A81"/>
    <mergeCell ref="B78:B81"/>
    <mergeCell ref="C78:C81"/>
    <mergeCell ref="D78:D81"/>
    <mergeCell ref="E78:E81"/>
    <mergeCell ref="F78:F81"/>
    <mergeCell ref="H78:H81"/>
    <mergeCell ref="I78:I81"/>
    <mergeCell ref="J78:J81"/>
    <mergeCell ref="P54:P67"/>
    <mergeCell ref="Q54:Q67"/>
    <mergeCell ref="R54:R67"/>
    <mergeCell ref="S54:S67"/>
    <mergeCell ref="T54:T67"/>
    <mergeCell ref="U54:U67"/>
    <mergeCell ref="J54:J67"/>
    <mergeCell ref="K54:K67"/>
    <mergeCell ref="L54:L67"/>
    <mergeCell ref="M54:M67"/>
    <mergeCell ref="N54:N67"/>
    <mergeCell ref="O54:O67"/>
    <mergeCell ref="U45:U48"/>
    <mergeCell ref="V45:V48"/>
    <mergeCell ref="A54:A67"/>
    <mergeCell ref="B54:B67"/>
    <mergeCell ref="C54:C67"/>
    <mergeCell ref="D54:D67"/>
    <mergeCell ref="E54:E67"/>
    <mergeCell ref="F54:F67"/>
    <mergeCell ref="H54:H67"/>
    <mergeCell ref="I54:I67"/>
    <mergeCell ref="O45:O48"/>
    <mergeCell ref="P45:P48"/>
    <mergeCell ref="Q45:Q48"/>
    <mergeCell ref="R45:R48"/>
    <mergeCell ref="S45:S48"/>
    <mergeCell ref="T45:T48"/>
    <mergeCell ref="I45:I48"/>
    <mergeCell ref="J45:J48"/>
    <mergeCell ref="K45:K48"/>
    <mergeCell ref="L45:L48"/>
    <mergeCell ref="M45:M48"/>
    <mergeCell ref="N45:N48"/>
    <mergeCell ref="T4:T19"/>
    <mergeCell ref="U4:U19"/>
    <mergeCell ref="V4:V19"/>
    <mergeCell ref="A45:A48"/>
    <mergeCell ref="B45:B48"/>
    <mergeCell ref="C45:C48"/>
    <mergeCell ref="D45:D48"/>
    <mergeCell ref="E45:E48"/>
    <mergeCell ref="F45:F48"/>
    <mergeCell ref="H45:H48"/>
    <mergeCell ref="N4:N19"/>
    <mergeCell ref="O4:O19"/>
    <mergeCell ref="P4:P19"/>
    <mergeCell ref="Q4:Q19"/>
    <mergeCell ref="R4:R19"/>
    <mergeCell ref="S4:S19"/>
    <mergeCell ref="H4:H19"/>
    <mergeCell ref="I4:I19"/>
    <mergeCell ref="J4:J19"/>
    <mergeCell ref="K4:K19"/>
    <mergeCell ref="L4:L19"/>
    <mergeCell ref="M4:M19"/>
    <mergeCell ref="A4:A19"/>
    <mergeCell ref="B4:B19"/>
    <mergeCell ref="C4:C19"/>
    <mergeCell ref="D4:D19"/>
    <mergeCell ref="E4:E19"/>
    <mergeCell ref="F4:F19"/>
  </mergeCells>
  <hyperlinks>
    <hyperlink ref="K2" r:id="rId1" display="mailto:VITOR.BATISTA@AGILLIZE.COM" xr:uid="{B594D781-067F-7A41-B146-9DBC60055250}"/>
    <hyperlink ref="K3" r:id="rId2" display="mailto:luisa@alamandahome.com.br" xr:uid="{615872D0-541A-054E-BF36-A9E212E19684}"/>
    <hyperlink ref="V3" r:id="rId3" display="mailto:luisa@alamanda.com.br" xr:uid="{A72137E1-9F2E-0D42-AD06-631CDD34A68C}"/>
    <hyperlink ref="G8" r:id="rId4" display="mailto:afkoch@globo.com" xr:uid="{8646BA58-6605-E247-B3A3-E2F43D1A2D4D}"/>
    <hyperlink ref="K4" r:id="rId5" display="mailto:afkoch@globo.com" xr:uid="{281EA1CA-6566-C34C-A056-4CF53D87B2DB}"/>
    <hyperlink ref="K21" r:id="rId6" display="mailto:FINANCEIRO@EASB.COM.BR" xr:uid="{1D357E04-0602-D349-83AE-84C3BC742DEA}"/>
    <hyperlink ref="K22" r:id="rId7" display="mailto:FINANCEIRO@ALLFORMG.COM.BR" xr:uid="{696CE0FC-0EE3-8C45-B1A6-D8A35A384530}"/>
    <hyperlink ref="K23" r:id="rId8" display="mailto:LUIS@COLUMBIACONSULTORIA.COM.BR" xr:uid="{B0445257-C52F-194C-85FB-F769C792F19B}"/>
    <hyperlink ref="K33" r:id="rId9" display="mailto:gracielecristina2010@hotmail.com" xr:uid="{870091A2-A3F6-3442-9E6E-441B34A91D8F}"/>
    <hyperlink ref="V33" r:id="rId10" display="mailto:andrea@antarestech.com.br" xr:uid="{E1B85447-DA18-C843-9466-8D31EEEA0B5C}"/>
    <hyperlink ref="K34" r:id="rId11" display="mailto:racaluel@terra.com.br" xr:uid="{936CCC49-B95C-1F4C-A67F-B3F40A4498FD}"/>
    <hyperlink ref="V34" r:id="rId12" display="mailto:raphaela@artachos.com.br" xr:uid="{CD6A0BCB-0039-134C-BA68-C3DDFEDAF151}"/>
    <hyperlink ref="K35" r:id="rId13" display="mailto:PERCONTABIL@UOL.COM.BR" xr:uid="{DC3BDB46-363A-4943-9568-398C68B29FF0}"/>
    <hyperlink ref="K39" r:id="rId14" display="mailto:ALINEF@ARASSESSORIA.SRV.BR" xr:uid="{FB304D5C-74F2-9045-9324-8802426011A1}"/>
    <hyperlink ref="K40" r:id="rId15" display="mailto:CONTABILIDADEMORAES@UOL.COM.BR" xr:uid="{BECBEB2F-7133-574E-B4B0-463F08E3F8E8}"/>
    <hyperlink ref="V40" r:id="rId16" display="mailto:valeria@belcolore.com.br" xr:uid="{EE4A82AB-F7EB-1F44-9A49-3105373190BC}"/>
    <hyperlink ref="K41" r:id="rId17" display="mailto:beto@colegiobrasilcanada.com.br" xr:uid="{60FC9306-963A-1A47-8C78-9399F437FE97}"/>
    <hyperlink ref="G42" r:id="rId18" display="https://www.geradordecpf.org/" xr:uid="{E26AFFB8-7395-A44E-B11A-01B4E0408154}"/>
    <hyperlink ref="K43" r:id="rId19" display="mailto:audrey.rocha@gabriel.bontempo.com.br" xr:uid="{D7E90CE3-6473-AE4E-B229-7928220859DF}"/>
    <hyperlink ref="K44" r:id="rId20" display="mailto:maria.silva@brentwood.com.br" xr:uid="{4D544E59-5F89-6642-A820-34E5F09E342D}"/>
    <hyperlink ref="V44" r:id="rId21" display="mailto:silvana.pimentel@brentwood.com.br" xr:uid="{8152BB5A-0A35-214E-B834-B0CD5815A6B7}"/>
    <hyperlink ref="K45" r:id="rId22" display="mailto:amanda.caroline@breton.com.br" xr:uid="{058D18E4-D264-9543-B5C7-92A325F94C9C}"/>
    <hyperlink ref="V45" r:id="rId23" display="mailto:financeiro@breton.com.br" xr:uid="{5A7A1728-4B6C-644E-8B6D-65477D9B5E5D}"/>
    <hyperlink ref="K54" r:id="rId24" display="mailto:CONTATO@OMEGAC.COM.BR" xr:uid="{280F0EA6-0A7E-7246-9112-8D2874939B97}"/>
    <hyperlink ref="V54" r:id="rId25" display="mailto:financeiro2@casamansur.com.br" xr:uid="{F3767779-91EE-6E4B-8764-A46A1474CC8F}"/>
    <hyperlink ref="K69" r:id="rId26" display="mailto:ALEX@CASAVITTA.COM" xr:uid="{6624F9B7-0836-204C-AC19-037E53CE8524}"/>
    <hyperlink ref="V69" r:id="rId27" display="mailto:contato@casavitta.com" xr:uid="{854E7037-7E21-4D4D-A3D6-1F98DBD67891}"/>
    <hyperlink ref="K70" r:id="rId28" display="mailto:capires@kmpg.com.br" xr:uid="{FEBD2D8C-2CAB-0E41-93FB-E07EB684B7EF}"/>
    <hyperlink ref="V70" r:id="rId29" display="mailto:capires@kmpg.com.br" xr:uid="{C38A320A-F44B-D749-B065-8D937F082954}"/>
    <hyperlink ref="K71" r:id="rId30" display="mailto:LIGIA@CELINADIAS.COM.BR" xr:uid="{D9AF5096-98B0-1D4C-87BE-BF2224B1CB14}"/>
    <hyperlink ref="K72" r:id="rId31" display="mailto:proconsist@terra.com.br" xr:uid="{3926E412-912D-ED48-A2AE-88572494E3E2}"/>
    <hyperlink ref="K76" r:id="rId32" display="mailto:FINANCEIRO@CODEXHOME.COM.BR" xr:uid="{9478D81E-9EE5-3342-9F58-E773509C8944}"/>
    <hyperlink ref="V76" r:id="rId33" display="mailto:assistente@codexhome.com.br" xr:uid="{9DB88DB2-3D7D-AC41-9500-F2633E803654}"/>
    <hyperlink ref="K78" r:id="rId34" display="mailto:cleber.simoes@colormix.net.br" xr:uid="{3E0CAA08-7CA6-2A4F-836E-4A4FFCE298D3}"/>
    <hyperlink ref="V78" r:id="rId35" display="mailto:gabriel@colormixstore.com.br" xr:uid="{762AB4F6-07BC-1140-AA6C-27C04A2E2FD2}"/>
    <hyperlink ref="K82" r:id="rId36" display="mailto:FINANCEIRO@CONCEITOESQUADRIAS.COM.BR" xr:uid="{7DA18CDD-0E0A-254E-9D64-763B9092854F}"/>
    <hyperlink ref="K86" r:id="rId37" display="mailto:CONTROLADORIA@CONTAAZUL.COM" xr:uid="{6A0F076E-7D6B-FB44-B527-0E38778E073B}"/>
    <hyperlink ref="V86" r:id="rId38" display="mailto:faturamento@contaazul.com" xr:uid="{08806711-242D-DA4C-8C85-73BDDF92E377}"/>
    <hyperlink ref="G91" r:id="rId39" display="mailto:financeiro@cristianabertolucci.com.br" xr:uid="{FBA56FCD-791D-5B43-8F58-879830A5A525}"/>
    <hyperlink ref="K87" r:id="rId40" display="mailto:HELENA.BARBATO@ABGALHA.COM.BR" xr:uid="{9FCCE831-93B2-A942-A1A9-F8246E182D3C}"/>
    <hyperlink ref="K92" r:id="rId41" display="mailto:ufk.cristiane@gmail.com" xr:uid="{C0C9AAC4-06AD-4247-8860-E5A47D98A6B9}"/>
    <hyperlink ref="V92" r:id="rId42" display="mailto:ufk.cristiane@gmail.com" xr:uid="{0FDA9ED7-3A30-AF41-83D9-AF41C1066B4A}"/>
    <hyperlink ref="G99" r:id="rId43" display="mailto:william.guidini@gmail.com" xr:uid="{C7F5EDBB-D01B-154D-B35B-6BD98D2B0A38}"/>
    <hyperlink ref="V94" r:id="rId44" display="mailto:danicalitott@gmail.com" xr:uid="{4D9D8E84-E618-214D-AA85-4EA9490F78E6}"/>
    <hyperlink ref="K106" r:id="rId45" display="mailto:CARLA@CONSENSOCONTABIL.COM.BR" xr:uid="{BD3477B8-16B3-004D-B307-31316963F8AD}"/>
    <hyperlink ref="V106" r:id="rId46" display="mailto:financeiro@decorlight.com.br" xr:uid="{327C06ED-B5C3-B040-9F41-F6961AE28420}"/>
    <hyperlink ref="K107" r:id="rId47" display="mailto:RODRIGO.THOMAZ@DESINGSUPPLIER.COM.BR" xr:uid="{7CFC0882-026C-2643-8860-8971843459A1}"/>
    <hyperlink ref="K112" r:id="rId48" display="mailto:SOCIETARIO@CONTABILMOYSES.COM.BR" xr:uid="{4EA69E89-D7DB-EF45-8389-C67AEA3BAABC}"/>
    <hyperlink ref="V112" r:id="rId49" display="mailto:cpd@dimlux.com.br" xr:uid="{BFFDB8CB-33F6-154F-91E1-446E03335EE6}"/>
    <hyperlink ref="K113" r:id="rId50" display="mailto:CONTATO@DIVETROKLABIN.COM.BR" xr:uid="{602088BC-9B70-5A4D-8C79-9342E96F313F}"/>
    <hyperlink ref="K115" r:id="rId51" display="mailto:REPARTICOES@CONTABILIDADEHIRATA.COM.BR" xr:uid="{EB8A1DB7-0DB2-5944-9575-2152048DBB20}"/>
    <hyperlink ref="G124" r:id="rId52" display="mailto:contasapagar@dpot.com.br" xr:uid="{F6228519-FCBD-784D-B656-09B4F9F27EBD}"/>
    <hyperlink ref="K116" r:id="rId53" display="mailto:contasapagar@dpot.com.br" xr:uid="{75D07E57-4526-3C49-9EFF-392B6DFBD77E}"/>
    <hyperlink ref="V116" r:id="rId54" display="mailto:contasapagar@dpot.com.br" xr:uid="{C3E4909A-FC6C-A34C-B17D-B6510D718E10}"/>
    <hyperlink ref="K126" r:id="rId55" display="mailto:cometa@contabilidadecometa.com.br" xr:uid="{A2CE57D7-4B95-CF4B-84C3-545A0F37B53E}"/>
    <hyperlink ref="K129" r:id="rId56" display="mailto:advenger@advenger.com.br" xr:uid="{E6E2A3F4-CCCD-6446-914C-1B1B3F2D7CAB}"/>
    <hyperlink ref="K130" r:id="rId57" display="mailto:financeiro@donew.com.br" xr:uid="{DDB3E569-8791-744C-A3F6-48ABB8BAC3AA}"/>
    <hyperlink ref="V130" r:id="rId58" display="mailto:financeiro@donew.com.br" xr:uid="{F37799F7-CBA2-7C4D-93DC-FAFF7B2F76D6}"/>
    <hyperlink ref="K133" r:id="rId59" display="mailto:saile.saile@uol.com.br" xr:uid="{D84FA409-8D71-E04E-BE89-F7DDE7E2CA35}"/>
    <hyperlink ref="K134" r:id="rId60" display="mailto:CONTATO@BERALDIN.COM.BR" xr:uid="{4BC5FA56-D160-6246-97C3-7DAF298433A2}"/>
    <hyperlink ref="K135" r:id="rId61" display="mailto:BARTOLOMEUGENU@IG.COM.BR" xr:uid="{BC42752B-F2EC-5A4F-B807-EDDFF94D9FB4}"/>
    <hyperlink ref="K136" r:id="rId62" display="mailto:ADMINISTRATIVOSP@ORLEAN.COM" xr:uid="{3D9E8269-A7A2-F144-A1E8-161672AE822B}"/>
    <hyperlink ref="K137" r:id="rId63" display="mailto:contato@espacoreformar.com.br" xr:uid="{46635338-5592-604F-B37A-A1011AD8951D}"/>
    <hyperlink ref="V137" r:id="rId64" display="mailto:contato@espacoreformar.com.br" xr:uid="{B255FDAB-F003-5140-BD5C-3C8803F839A7}"/>
    <hyperlink ref="K138" r:id="rId65" display="mailto:raquel@estarmoveis.com.br" xr:uid="{36DBCFC1-B673-5949-AE47-259F02269D13}"/>
    <hyperlink ref="V138" r:id="rId66" display="mailto:contasareceber@estarmoveis.com.br" xr:uid="{C3A11BF1-16D6-D34A-98CC-302F63046204}"/>
    <hyperlink ref="K140" r:id="rId67" display="mailto:ESCPOLIVALENTE@ESCPOLIVALENTE.COM.BR" xr:uid="{89CF14A8-1206-A24F-8464-C12AC0BB664D}"/>
    <hyperlink ref="K141" r:id="rId68" display="mailto:isabel@sobloco.com.br" xr:uid="{A43813B9-92B0-E64E-98C6-0C4410BF3D60}"/>
    <hyperlink ref="G149" r:id="rId69" display="mailto:faustoboldrini@gmail.com" xr:uid="{E8B4A506-5511-9842-AC3F-2C8BFACE689B}"/>
    <hyperlink ref="K145" r:id="rId70" display="mailto:faustoboldrini@gmail.com" xr:uid="{1182F174-F05A-044D-A467-061FE89815FC}"/>
    <hyperlink ref="K154" r:id="rId71" display="mailto:CAROLINA.FIGUEIRA@FABLAW.COM.BR" xr:uid="{44F60CC5-0DF1-964A-91A8-D36A0C7065F9}"/>
    <hyperlink ref="K157" r:id="rId72" display="mailto:HELENICERMS@HOTMAIL.COM" xr:uid="{BDB5A433-A537-A04A-A547-B3862456496F}"/>
    <hyperlink ref="V157" r:id="rId73" display="mailto:financeiro3@franccino.com.br" xr:uid="{D70F2A78-52F7-7542-996D-E87118FA3BBC}"/>
    <hyperlink ref="K163" r:id="rId74" display="mailto:HELENICERMS@HOTMAIL.COM" xr:uid="{ABC81109-2779-D547-87A4-CE8F994CB0FB}"/>
    <hyperlink ref="K169" r:id="rId75" display="mailto:contabilmello@yahoo.com.br" xr:uid="{21E08EB5-C476-5045-AEC1-B15CF3ABD35F}"/>
    <hyperlink ref="V169" r:id="rId76" display="mailto:financeiro@gapaz.com.br" xr:uid="{3C9FAD93-7E5D-EB4C-8BCB-3A01BE71390A}"/>
    <hyperlink ref="K171" r:id="rId77" display="mailto:contabilmello@yahoo.com.br" xr:uid="{B7F5F164-8A3B-A442-8EA9-24723CF7C6C6}"/>
    <hyperlink ref="V171" r:id="rId78" display="http://gapaz.com.br/" xr:uid="{A9299C8A-9600-B645-834E-EEC7AD39DAC8}"/>
    <hyperlink ref="K173" r:id="rId79" display="mailto:eugeniosilvasantos35@gmail.com" xr:uid="{6EF400EF-FFBF-DC44-8108-9C24FB761797}"/>
    <hyperlink ref="V173" r:id="rId80" display="mailto:eugeniosilvasantos35@gmail.com" xr:uid="{54972434-B73A-6D41-B9B6-3DAB2924DDA1}"/>
    <hyperlink ref="K182" r:id="rId81" display="mailto:GRANIDOMUS@GRANIDOMUS.COM.BR" xr:uid="{A47242AB-C4D1-5448-9262-EB4111292AB3}"/>
    <hyperlink ref="K185" r:id="rId82" display="mailto:CONTEMPORANEALEGAL@GMAIL.COM" xr:uid="{912F417F-3588-424E-84B8-EC647C4EC88F}"/>
    <hyperlink ref="K186" r:id="rId83" display="mailto:ADMINISTRATIVO@GALERIAHATHI.COM" xr:uid="{BED7E4CC-AB55-B947-B9DB-C927FDFB1798}"/>
    <hyperlink ref="K187" r:id="rId84" display="mailto:gerencia@incasasp.com.br" xr:uid="{20DAA960-D04E-D849-B9A0-FDA3FB75D444}"/>
    <hyperlink ref="V187" r:id="rId85" display="mailto:vendas@incasasp.com.br" xr:uid="{C2C2EAC3-334F-D143-B4FB-C1D5601DABEF}"/>
    <hyperlink ref="K196" r:id="rId86" display="mailto:CINTIA@INDUSPARQUETADM.COM.BR" xr:uid="{69030372-0039-F648-A491-0AF511742AD3}"/>
    <hyperlink ref="V196" r:id="rId87" display="mailto:sergiane@indusparquetsp.com.br" xr:uid="{9D54DAA2-E8E0-C24B-9638-D3696F017F4C}"/>
    <hyperlink ref="K197" r:id="rId88" display="mailto:roberto@invaluminio.com.br" xr:uid="{68878A1A-6787-E146-A102-1E92D456A9E3}"/>
    <hyperlink ref="V197" r:id="rId89" display="mailto:junior@invaluminio.com.br" xr:uid="{386CA159-8AEF-D442-AE6F-86AFDE8F41EE}"/>
    <hyperlink ref="K198" r:id="rId90" display="mailto:CONTABIL@JADERALMEIDA.COM" xr:uid="{FA1A2EEE-6EDA-0747-92E3-B1545F52E23F}"/>
    <hyperlink ref="K199" r:id="rId91" display="mailto:edujr7307@gmail.com" xr:uid="{83093133-8192-A242-A4CC-6C93B7949AC3}"/>
    <hyperlink ref="V199" r:id="rId92" display="mailto:edujr7307@gmail.com" xr:uid="{7F93C90E-BB84-B549-B826-2395F66F2E83}"/>
    <hyperlink ref="K204" r:id="rId93" display="mailto:SUELI@JRJ.COM.BR" xr:uid="{F71B80E3-3531-AB48-8629-B13A95598794}"/>
    <hyperlink ref="V204" r:id="rId94" display="mailto:financeiro@jrj.com.br" xr:uid="{24F82FCE-966B-9B4C-BC36-3AABC6F32CFE}"/>
    <hyperlink ref="K205" r:id="rId95" display="mailto:jorge@jsengenharia.com.br" xr:uid="{7379AD16-7A97-B744-BF8C-9FF1EC29F1E3}"/>
    <hyperlink ref="G209" r:id="rId96" display="mailto:jucovino@gmail.com" xr:uid="{505B26D8-EBD4-E841-8DFD-851963871824}"/>
    <hyperlink ref="K206" r:id="rId97" display="mailto:recoralli@hotmail.com" xr:uid="{6E41FCCA-3778-F640-8BEE-891626A6DA0A}"/>
    <hyperlink ref="V206" r:id="rId98" display="mailto:jucovino@gmail.com" xr:uid="{1B150EFF-B3A4-7E4A-B2D2-46CAFB6A6F7F}"/>
    <hyperlink ref="K212" r:id="rId99" display="mailto:tfkoch@gmail.com" xr:uid="{8A8C3DB4-E430-0B4D-AB65-DE40C0BA3384}"/>
    <hyperlink ref="K214" r:id="rId100" display="mailto:kcunha195@gmail.com" xr:uid="{87B19D82-BFA8-0242-AF57-D527F0FF49A3}"/>
    <hyperlink ref="G236" r:id="rId101" display="mailto:labluzsp@labluz.com.br" xr:uid="{934B308A-57CD-2B44-8CC7-E05A7ECF0918}"/>
    <hyperlink ref="G237" r:id="rId102" display="http://www.labluz.com.br/" xr:uid="{9A61FCF0-46EA-A743-A8C9-2B79579092EE}"/>
    <hyperlink ref="K219" r:id="rId103" display="mailto:labluzsp@labluz.com.br" xr:uid="{09EF2E9C-8BED-994E-9844-17E33A1458DB}"/>
    <hyperlink ref="V219" r:id="rId104" display="mailto:jesse@labluz.com.br" xr:uid="{5B6DBD55-83EA-8D4E-8EC8-03851DBA2FD3}"/>
    <hyperlink ref="K252" r:id="rId105" display="mailto:ENILDA@LIDERINTERIORES.COM.BR" xr:uid="{DD8970A3-5F1D-4F41-B178-6FB4A89ADD32}"/>
    <hyperlink ref="K253" r:id="rId106" display="mailto:contato@lilianpimenta.com.br" xr:uid="{62976F80-BC36-0741-8798-6C7D4608A931}"/>
    <hyperlink ref="V253" r:id="rId107" display="mailto:contato@lilianpimenta.com.br" xr:uid="{EF74D570-E045-A94B-81A4-A34333DCF19B}"/>
    <hyperlink ref="K262" r:id="rId108" display="mailto:lcafici@gmail.com" xr:uid="{704D1FDA-808E-B24B-B1FD-AA14CA6408DD}"/>
    <hyperlink ref="V262" r:id="rId109" display="mailto:lcafici@gmail.com" xr:uid="{6054F70F-FAC0-0D45-B8D5-A41A84300CBC}"/>
    <hyperlink ref="V263" r:id="rId110" display="mailto:luciene@cblreciclagem.com.br" xr:uid="{64B46671-B634-764D-9D5A-A15A539A4E50}"/>
    <hyperlink ref="K264" r:id="rId111" display="mailto:isabel@sobloco.com.br" xr:uid="{F90AD1AF-AAF0-9646-AC35-B346EC4A931D}"/>
    <hyperlink ref="V264" r:id="rId112" display="mailto:lf@sobloco.com.br" xr:uid="{3188F2A9-467C-164D-8710-30A89AA306AE}"/>
    <hyperlink ref="K270" r:id="rId113" display="mailto:fiscal@lumini.com.br" xr:uid="{ED382777-E925-424B-9871-DA39CB1C34B5}"/>
    <hyperlink ref="V270" r:id="rId114" display="mailto:maryanne@lumini.com.br" xr:uid="{46A2DC96-55BD-F649-A8CC-EBD8C35D8FA1}"/>
    <hyperlink ref="K271" r:id="rId115" display="mailto:OSMAIR.BERNARDINO@LUSTRECO.COM.BR" xr:uid="{0CB8663A-4C72-F84C-BF38-283A996162C5}"/>
    <hyperlink ref="K272" r:id="rId116" display="mailto:FISCAL@MADE55.COM" xr:uid="{6665BB56-5801-1444-BF51-672CE2F0783D}"/>
    <hyperlink ref="K274" r:id="rId117" display="mailto:ANA@BYKAMY.COM" xr:uid="{4AB9EAED-C43E-134F-9C73-66B5D79C46E6}"/>
    <hyperlink ref="V274" r:id="rId118" display="mailto:noemia@bykamy.com.br" xr:uid="{CF209EB9-CCF0-1644-9A45-04549C8888EA}"/>
    <hyperlink ref="K275" r:id="rId119" display="mailto:FINANCEIRO@MAISONTECIDOS.COM.BR" xr:uid="{91823F29-94B1-0E45-B20B-F4B07F68A142}"/>
    <hyperlink ref="V275" r:id="rId120" display="mailto:financeiro@maisontecidos.com.br" xr:uid="{6BF80421-F46E-EA47-9636-450B470CDB88}"/>
    <hyperlink ref="G304" r:id="rId121" display="mailto:victor.financeiro@maisrevestimentos.com.br" xr:uid="{7089CAE1-A947-8A43-AFE4-89F3FDA0B307}"/>
    <hyperlink ref="K276" r:id="rId122" display="mailto:SANTOANDRE@MAISREVESTIMENTOS.COM.BR" xr:uid="{2D4A17D1-B82E-F549-86A9-D371BC618522}"/>
    <hyperlink ref="K314" r:id="rId123" display="mailto:marcello@bertoni.com.br" xr:uid="{54B1C7DA-856E-244B-A005-74D8C188EB2D}"/>
    <hyperlink ref="K315" r:id="rId124" display="mailto:marcello@bertoni.com.br" xr:uid="{5E74EB10-9E5F-FF42-A22A-3829D148839B}"/>
    <hyperlink ref="K318" r:id="rId125" display="mailto:ESCRITORIOCENTRAL@CONTABILIDADE-ECC.COM.BR" xr:uid="{423025CB-2C5B-7644-8A92-84FFF58609D9}"/>
    <hyperlink ref="K320" r:id="rId126" display="mailto:unicont@terra.com.br" xr:uid="{F19F3199-5E7D-B44D-8671-126992B63C07}"/>
    <hyperlink ref="K326" r:id="rId127" display="mailto:belstrapetti@gmail.com" xr:uid="{E672041E-81DA-2F42-8BDC-816EAA93F907}"/>
    <hyperlink ref="V328" r:id="rId128" display="mailto:isabel@sobloco.com.br" xr:uid="{51E1FA2C-E16A-8840-8D64-01677016A52B}"/>
    <hyperlink ref="K339" r:id="rId129" display="mailto:MILENAWM1@GMAIL.COM" xr:uid="{4C98A3CA-2A69-5E48-A480-336B3F2C0595}"/>
    <hyperlink ref="V344" r:id="rId130" display="mailto:vera@montblancmarmores.com.br" xr:uid="{57BA858F-801A-DA49-8320-90FB60A09F54}"/>
    <hyperlink ref="K345" r:id="rId131" display="mailto:CRISTIANELOPES@BONOMI.COM.BR" xr:uid="{AACE6500-2DD4-3942-811F-BA718D9488E3}"/>
    <hyperlink ref="K346" r:id="rId132" display="mailto:NIDE@MULTLOCK.COM.BR" xr:uid="{9E758E9C-9B64-7946-94C6-0EC70DD38359}"/>
    <hyperlink ref="V346" r:id="rId133" display="mailto:luciana@multlock.com.br" xr:uid="{1CA9176D-6029-654F-9B84-A762A0EB7636}"/>
    <hyperlink ref="K347" r:id="rId134" display="mailto:FINANCEIRO@MUMA.COM.BR" xr:uid="{824F7DB8-5861-8C4F-96BC-94B605B799B3}"/>
    <hyperlink ref="V347" r:id="rId135" display="mailto:sidineia@muma.com.br" xr:uid="{CDBF7506-0D91-4D4C-9BD1-00745A2E16A4}"/>
    <hyperlink ref="G350" r:id="rId136" display="http://www.obrafacilmais.com.br/" xr:uid="{73A90DD8-62F3-754C-AD13-AD73E9B5EF06}"/>
    <hyperlink ref="K350" r:id="rId137" display="mailto:bruno@lojaobrafacil.com.br" xr:uid="{ECA29A6D-7274-E347-9AAF-9A2B83EDF0A5}"/>
    <hyperlink ref="V350" r:id="rId138" display="mailto:venda@lojaobrafacil.com.br" xr:uid="{0B3F35D2-CAD0-1A48-96E9-0A117AB3A4B5}"/>
    <hyperlink ref="G362" r:id="rId139" display="mailto:pagliotto@pedrasabao.com.br" xr:uid="{A12C37D4-8C25-104E-BFC3-54F684EA83D4}"/>
    <hyperlink ref="G365" r:id="rId140" display="http://www.pedrasabao.com.br/" xr:uid="{A44D479D-07A3-324C-A528-0702AD7A8441}"/>
    <hyperlink ref="K356" r:id="rId141" display="mailto:PAGLIOTTO@PEDRASDESABAO.COM.BR" xr:uid="{28188527-32BC-F54B-9105-596A95F0109D}"/>
    <hyperlink ref="V356" r:id="rId142" display="mailto:pagliotto@pedrasabao.com.br" xr:uid="{B4A8FB76-B47F-9A4A-BB1A-6F072ADB76CF}"/>
    <hyperlink ref="K381" r:id="rId143" display="mailto:gustavo@parquetsp.com.br" xr:uid="{AF9FB5AF-E8E9-D34A-93BC-1D2382858193}"/>
    <hyperlink ref="V381" r:id="rId144" display="mailto:vendas4@parquetsp.com.br" xr:uid="{184A3240-95C3-3043-9C11-60B43255551E}"/>
    <hyperlink ref="K383" r:id="rId145" display="mailto:patchouly@patchouly.com.br" xr:uid="{6183B49A-35A2-0449-A6E0-14B45226B6D8}"/>
    <hyperlink ref="K392" r:id="rId146" display="mailto:CAMILADOSSE@YAHOO.COM.BR" xr:uid="{4ED4E647-4E3E-CA46-AE92-E5EC81764DBF}"/>
    <hyperlink ref="K395" r:id="rId147" display="mailto:GISLENE@PEDRASMUNDIAL.COM.BR" xr:uid="{5D22ED79-1DDA-7944-8D10-D74A44629084}"/>
    <hyperlink ref="K396" r:id="rId148" display="mailto:renata.machado@pluripiso.com.br" xr:uid="{A03904CF-A028-3841-BCFF-493C59E295D5}"/>
    <hyperlink ref="K397" r:id="rId149" display="mailto:ded@pormade.com.br" xr:uid="{D9C5B858-2501-3E43-A4C4-41A064BE0EE5}"/>
    <hyperlink ref="V397" r:id="rId150" display="mailto:sr5.4@pormade.com.br" xr:uid="{3960EE07-B996-A249-8C7A-BC446342B4DB}"/>
    <hyperlink ref="G407" r:id="rId151" display="mailto:priscila.ribeiro@portobelloshop.com.br" xr:uid="{F9C908E9-6B2A-6A43-A5C5-346902BCDE2F}"/>
    <hyperlink ref="K403" r:id="rId152" display="mailto:alex.linhares@portobelloshop.com.br" xr:uid="{A15FEF93-D62A-B648-AC0A-B3EB75F2C37F}"/>
    <hyperlink ref="V403" r:id="rId153" display="mailto:alex.linhares@portobelloshop.com.br" xr:uid="{5CFDD917-38F2-6446-99DB-C508602083A0}"/>
    <hyperlink ref="K415" r:id="rId154" display="mailto:JOAO@POSITANODESIGN.COM.BR" xr:uid="{755CEA67-E819-7444-8959-22C683056BD6}"/>
    <hyperlink ref="K417" r:id="rId155" display="mailto:marcenaria.promoveis@gmail.com" xr:uid="{6F7A74DB-67EB-5D4B-B764-D1F1C86AE08C}"/>
    <hyperlink ref="V417" r:id="rId156" display="mailto:marcenaria.promoveis@gmail.com" xr:uid="{68BE3F24-E417-5245-A372-D6CC422BD462}"/>
    <hyperlink ref="K422" r:id="rId157" display="mailto:CRISTIANELOPES@BONOMI.COM.BR" xr:uid="{C9B05126-DE57-B645-B014-7FFD3112F470}"/>
    <hyperlink ref="K423" r:id="rId158" display="mailto:flavio@ftrlegal.com.br" xr:uid="{BB815C93-687B-B840-AFE7-457E56B69FBE}"/>
    <hyperlink ref="V423" r:id="rId159" display="mailto:pedroso@quakertextil.com.br" xr:uid="{A015FAF5-7814-BA47-A3DC-996360000218}"/>
    <hyperlink ref="K432" r:id="rId160" display="mailto:fabianogonzaga@quakertextil.com.br" xr:uid="{9FF4013A-A715-C34B-AAA5-13D4E131B5B4}"/>
    <hyperlink ref="V432" r:id="rId161" display="mailto:pedroso@quakertextil.com.br" xr:uid="{AE96D8FD-02E8-AD49-92EC-498FDE927241}"/>
    <hyperlink ref="K449" r:id="rId162" display="mailto:CONTABIL@QUARTOSETC.COM.BR" xr:uid="{A0A4F2A7-C34E-534D-AFC1-2E6552960DFA}"/>
    <hyperlink ref="V449" r:id="rId163" display="mailto:comercial2@quartosetc.com.br" xr:uid="{5EC12028-73B9-9B48-B578-15ED9153F7A4}"/>
    <hyperlink ref="K450" r:id="rId164" display="mailto:FINANCEIRO@RANIERIMARMORES.COM.BR" xr:uid="{EB5C4743-3F2C-084D-96DB-9FBC892C845C}"/>
    <hyperlink ref="K459" r:id="rId165" display="mailto:ARNALDO@CONTABILIPIRANGA.COM.BR" xr:uid="{428A83EE-2511-424C-A85A-3B7FBC5A0B37}"/>
    <hyperlink ref="K460" r:id="rId166" display="mailto:COIFASEPROJETOSOFICIAL@GMAIL.COM" xr:uid="{C28A8E6E-BCB8-FF4C-BE4A-96B991389A3A}"/>
    <hyperlink ref="K462" r:id="rId167" display="mailto:mariana@soleart.com.br" xr:uid="{4F1A7D13-86B9-2B4D-942A-D851FBD80985}"/>
    <hyperlink ref="V462" r:id="rId168" display="mailto:mariana@soleart.com.br" xr:uid="{B3F02ACF-3021-E847-A9E6-21886D499D2A}"/>
    <hyperlink ref="K463" r:id="rId169" display="mailto:COMERCIAL@SRSKYVIDROS.COM.BR" xr:uid="{768F7A63-1997-094E-9210-3A7A7A913FA4}"/>
    <hyperlink ref="K464" r:id="rId170" display="mailto:RACALUEL@TERRA.COM.BR" xr:uid="{3D72CF4E-CDAB-0E45-97EC-5568CDFAF96D}"/>
    <hyperlink ref="K469" r:id="rId171" display="mailto:edvaldo@poloar.com.br" xr:uid="{AC3F623F-0019-1D45-8D82-FC87E6CB8D73}"/>
    <hyperlink ref="V469" r:id="rId172" display="mailto:damascena.deise@grupostr.com.br" xr:uid="{EFE9AFA4-3B0C-A043-B49E-935F8DB80CD9}"/>
    <hyperlink ref="K471" r:id="rId173" display="mailto:helio@garutti.com.br" xr:uid="{F18E8822-BC4D-C849-9552-1BD871DD7A47}"/>
    <hyperlink ref="V471" r:id="rId174" display="mailto:gabriela@svetlana.com.br" xr:uid="{E0D54004-0EE5-B845-9E4C-8BBB3E1D2799}"/>
    <hyperlink ref="K474" r:id="rId175" display="mailto:NFE@TENSOFLEX.COM.BR" xr:uid="{8F91039B-72B6-C547-9E91-A6084631718B}"/>
    <hyperlink ref="V474" r:id="rId176" display="mailto:financeiro@tensoflex.com.br" xr:uid="{CFF9484A-D402-6F47-A0D1-07E5DF580599}"/>
    <hyperlink ref="K475" r:id="rId177" display="mailto:CAROL@TERABYTE.COM.BR" xr:uid="{AD877B6B-999D-5746-BB9D-8F3804D1CCF6}"/>
    <hyperlink ref="K477" r:id="rId178" display="mailto:tzboli@gmail.com" xr:uid="{8F5C243D-4EDE-3D46-BBB6-0D4290D915E6}"/>
    <hyperlink ref="V477" r:id="rId179" display="mailto:tzboli@gmail.com" xr:uid="{35C48467-8CF0-AF49-80F5-0D803E007F61}"/>
    <hyperlink ref="K486" r:id="rId180" display="mailto:avelarcontabil@uol.com.br" xr:uid="{248DD661-810B-C946-AAF4-F422A1E213C0}"/>
    <hyperlink ref="K489" r:id="rId181" display="mailto:ATENDIMENTO@VNCONTABIL.COM.BR" xr:uid="{D52430D2-8A94-B64E-BD89-F1F63F7ABBBE}"/>
    <hyperlink ref="V489" r:id="rId182" display="mailto:fernanda@wentz.design" xr:uid="{4A86F28B-AE1F-004C-ACBF-E8AD94C6479F}"/>
    <hyperlink ref="K490" r:id="rId183" display="mailto:GILSON@CRIVITTA.COM.BR" xr:uid="{D39CA655-EF79-904E-A38B-4E85202DE2B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Extrato Financeiro</vt:lpstr>
      <vt:lpstr>Cadastro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Isabela Silva</cp:lastModifiedBy>
  <dcterms:created xsi:type="dcterms:W3CDTF">2024-03-13T14:18:14Z</dcterms:created>
  <dcterms:modified xsi:type="dcterms:W3CDTF">2024-03-13T19:51:32Z</dcterms:modified>
</cp:coreProperties>
</file>